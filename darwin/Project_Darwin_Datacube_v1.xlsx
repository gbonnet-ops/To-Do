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nue Overview" sheetId="2" state="visible" r:id="rId2"/>
    <sheet name="Software vs Services" sheetId="3" state="visible" r:id="rId3"/>
    <sheet name="By Department" sheetId="4" state="visible" r:id="rId4"/>
    <sheet name="By Product" sheetId="5" state="visible" r:id="rId5"/>
    <sheet name="By Geography" sheetId="6" state="visible" r:id="rId6"/>
    <sheet name="Cohort Analysis" sheetId="7" state="visible" r:id="rId7"/>
    <sheet name="Client Dynamics" sheetId="8" state="visible" r:id="rId8"/>
    <sheet name="Client Concentration" sheetId="9" state="visible" r:id="rId9"/>
    <sheet name="Cross-sell" sheetId="10" state="visible" r:id="rId10"/>
    <sheet name="Helper_Clients" sheetId="11" state="hidden" r:id="rId11"/>
    <sheet name="Source_Evolution" sheetId="12" state="visible" r:id="rId12"/>
    <sheet name="Source_Inf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i val="1"/>
      <color rgb="FF666666"/>
      <sz val="9"/>
    </font>
    <font>
      <name val="Arial"/>
      <b val="1"/>
      <color rgb="FF173B57"/>
      <sz val="14"/>
    </font>
    <font>
      <name val="Arial"/>
      <i val="1"/>
      <sz val="10"/>
    </font>
    <font>
      <name val="Arial"/>
      <sz val="10"/>
    </font>
    <font>
      <name val="Arial"/>
      <b val="1"/>
      <color rgb="FFFFFFFF"/>
      <sz val="11"/>
    </font>
    <font>
      <name val="Arial"/>
      <sz val="9"/>
    </font>
    <font>
      <name val="Arial"/>
      <b val="1"/>
      <sz val="10"/>
    </font>
    <font>
      <name val="Arial"/>
      <b val="1"/>
      <color rgb="FF173B57"/>
      <sz val="11"/>
    </font>
    <font>
      <name val="Arial"/>
      <b val="1"/>
      <color rgb="FF173B57"/>
      <sz val="18"/>
    </font>
    <font>
      <name val="Arial"/>
      <i val="1"/>
      <color rgb="FF666666"/>
      <sz val="10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73B5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0" fontId="8" fillId="0" borderId="0" pivotButton="0" quotePrefix="0" xfId="0"/>
    <xf numFmtId="3" fontId="4" fillId="0" borderId="1" applyAlignment="1" pivotButton="0" quotePrefix="0" xfId="0">
      <alignment horizontal="right"/>
    </xf>
    <xf numFmtId="0" fontId="2" fillId="0" borderId="0" pivotButton="0" quotePrefix="0" xfId="0"/>
    <xf numFmtId="3" fontId="7" fillId="4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2" fontId="7" fillId="0" borderId="1" applyAlignment="1" pivotButton="0" quotePrefix="0" xfId="0">
      <alignment horizontal="right"/>
    </xf>
    <xf numFmtId="3" fontId="0" fillId="0" borderId="0" pivotButton="0" quotePrefix="0" xfId="0"/>
    <xf numFmtId="1" fontId="0" fillId="0" borderId="0" pivotButton="0" quotePrefix="0" xfId="0"/>
    <xf numFmtId="0" fontId="6" fillId="2" borderId="1" pivotButton="0" quotePrefix="0" xfId="0"/>
    <xf numFmtId="3" fontId="6" fillId="2" borderId="1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D9F2D9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73B57"/>
    <outlinePr summaryBelow="1" summaryRight="1"/>
    <pageSetUpPr/>
  </sheetPr>
  <dimension ref="A1:N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PROJECT DARWIN — Datacube Summary</t>
        </is>
      </c>
    </row>
    <row r="2">
      <c r="A2" s="2" t="inlineStr">
        <is>
          <t>Currency: £ GBP — Source: GMSL_Revenue_Lines_Clip.xlsx (5 Apr 2026) — All FY actuals</t>
        </is>
      </c>
    </row>
    <row r="4">
      <c r="A4" s="3" t="inlineStr">
        <is>
          <t>Key metric</t>
        </is>
      </c>
      <c r="B4" s="3" t="inlineStr">
        <is>
          <t>FY2014A</t>
        </is>
      </c>
      <c r="C4" s="3" t="inlineStr">
        <is>
          <t>FY2015A</t>
        </is>
      </c>
      <c r="D4" s="3" t="inlineStr">
        <is>
          <t>FY2016A</t>
        </is>
      </c>
      <c r="E4" s="3" t="inlineStr">
        <is>
          <t>FY2017A</t>
        </is>
      </c>
      <c r="F4" s="3" t="inlineStr">
        <is>
          <t>FY2018A</t>
        </is>
      </c>
      <c r="G4" s="3" t="inlineStr">
        <is>
          <t>FY2019A</t>
        </is>
      </c>
      <c r="H4" s="3" t="inlineStr">
        <is>
          <t>FY2020A</t>
        </is>
      </c>
      <c r="I4" s="3" t="inlineStr">
        <is>
          <t>FY2021A</t>
        </is>
      </c>
      <c r="J4" s="3" t="inlineStr">
        <is>
          <t>FY2022A</t>
        </is>
      </c>
      <c r="K4" s="3" t="inlineStr">
        <is>
          <t>FY2023A</t>
        </is>
      </c>
      <c r="L4" s="3" t="inlineStr">
        <is>
          <t>FY2024A</t>
        </is>
      </c>
      <c r="M4" s="3" t="inlineStr">
        <is>
          <t>FY2025A</t>
        </is>
      </c>
      <c r="N4" s="3" t="inlineStr">
        <is>
          <t>FY2026A</t>
        </is>
      </c>
    </row>
    <row r="5">
      <c r="A5" s="4" t="inlineStr">
        <is>
          <t>Total revenue (£)</t>
        </is>
      </c>
      <c r="B5" s="5">
        <f>'Revenue Overview'!B4</f>
        <v/>
      </c>
      <c r="C5" s="5">
        <f>'Revenue Overview'!C4</f>
        <v/>
      </c>
      <c r="D5" s="5">
        <f>'Revenue Overview'!D4</f>
        <v/>
      </c>
      <c r="E5" s="5">
        <f>'Revenue Overview'!E4</f>
        <v/>
      </c>
      <c r="F5" s="5">
        <f>'Revenue Overview'!F4</f>
        <v/>
      </c>
      <c r="G5" s="5">
        <f>'Revenue Overview'!G4</f>
        <v/>
      </c>
      <c r="H5" s="5">
        <f>'Revenue Overview'!H4</f>
        <v/>
      </c>
      <c r="I5" s="5">
        <f>'Revenue Overview'!I4</f>
        <v/>
      </c>
      <c r="J5" s="5">
        <f>'Revenue Overview'!J4</f>
        <v/>
      </c>
      <c r="K5" s="5">
        <f>'Revenue Overview'!K4</f>
        <v/>
      </c>
      <c r="L5" s="5">
        <f>'Revenue Overview'!L4</f>
        <v/>
      </c>
      <c r="M5" s="5">
        <f>'Revenue Overview'!M4</f>
        <v/>
      </c>
      <c r="N5" s="5">
        <f>'Revenue Overview'!N4</f>
        <v/>
      </c>
    </row>
    <row r="6">
      <c r="A6" s="6" t="inlineStr">
        <is>
          <t>YoY growth</t>
        </is>
      </c>
      <c r="B6" s="7">
        <f>'Revenue Overview'!B5</f>
        <v/>
      </c>
      <c r="C6" s="7">
        <f>'Revenue Overview'!C5</f>
        <v/>
      </c>
      <c r="D6" s="7">
        <f>'Revenue Overview'!D5</f>
        <v/>
      </c>
      <c r="E6" s="7">
        <f>'Revenue Overview'!E5</f>
        <v/>
      </c>
      <c r="F6" s="7">
        <f>'Revenue Overview'!F5</f>
        <v/>
      </c>
      <c r="G6" s="7">
        <f>'Revenue Overview'!G5</f>
        <v/>
      </c>
      <c r="H6" s="7">
        <f>'Revenue Overview'!H5</f>
        <v/>
      </c>
      <c r="I6" s="7">
        <f>'Revenue Overview'!I5</f>
        <v/>
      </c>
      <c r="J6" s="7">
        <f>'Revenue Overview'!J5</f>
        <v/>
      </c>
      <c r="K6" s="7">
        <f>'Revenue Overview'!K5</f>
        <v/>
      </c>
      <c r="L6" s="7">
        <f>'Revenue Overview'!L5</f>
        <v/>
      </c>
      <c r="M6" s="7">
        <f>'Revenue Overview'!M5</f>
        <v/>
      </c>
      <c r="N6" s="7">
        <f>'Revenue Overview'!N5</f>
        <v/>
      </c>
    </row>
    <row r="7">
      <c r="A7" s="6" t="inlineStr">
        <is>
          <t>Indexed (FY14 = 100)</t>
        </is>
      </c>
      <c r="B7" s="8">
        <f>'Revenue Overview'!B6</f>
        <v/>
      </c>
      <c r="C7" s="8">
        <f>'Revenue Overview'!C6</f>
        <v/>
      </c>
      <c r="D7" s="8">
        <f>'Revenue Overview'!D6</f>
        <v/>
      </c>
      <c r="E7" s="8">
        <f>'Revenue Overview'!E6</f>
        <v/>
      </c>
      <c r="F7" s="8">
        <f>'Revenue Overview'!F6</f>
        <v/>
      </c>
      <c r="G7" s="8">
        <f>'Revenue Overview'!G6</f>
        <v/>
      </c>
      <c r="H7" s="8">
        <f>'Revenue Overview'!H6</f>
        <v/>
      </c>
      <c r="I7" s="8">
        <f>'Revenue Overview'!I6</f>
        <v/>
      </c>
      <c r="J7" s="8">
        <f>'Revenue Overview'!J6</f>
        <v/>
      </c>
      <c r="K7" s="8">
        <f>'Revenue Overview'!K6</f>
        <v/>
      </c>
      <c r="L7" s="8">
        <f>'Revenue Overview'!L6</f>
        <v/>
      </c>
      <c r="M7" s="8">
        <f>'Revenue Overview'!M6</f>
        <v/>
      </c>
      <c r="N7" s="8">
        <f>'Revenue Overview'!N6</f>
        <v/>
      </c>
    </row>
    <row r="9">
      <c r="A9" s="9" t="inlineStr">
        <is>
          <t>Software vs Services</t>
        </is>
      </c>
    </row>
    <row r="10">
      <c r="A10" s="4" t="inlineStr">
        <is>
          <t>Software revenue (£)</t>
        </is>
      </c>
      <c r="B10" s="5">
        <f>'Software vs Services'!B5</f>
        <v/>
      </c>
      <c r="C10" s="5">
        <f>'Software vs Services'!C5</f>
        <v/>
      </c>
      <c r="D10" s="5">
        <f>'Software vs Services'!D5</f>
        <v/>
      </c>
      <c r="E10" s="5">
        <f>'Software vs Services'!E5</f>
        <v/>
      </c>
      <c r="F10" s="5">
        <f>'Software vs Services'!F5</f>
        <v/>
      </c>
      <c r="G10" s="5">
        <f>'Software vs Services'!G5</f>
        <v/>
      </c>
      <c r="H10" s="5">
        <f>'Software vs Services'!H5</f>
        <v/>
      </c>
      <c r="I10" s="5">
        <f>'Software vs Services'!I5</f>
        <v/>
      </c>
      <c r="J10" s="5">
        <f>'Software vs Services'!J5</f>
        <v/>
      </c>
      <c r="K10" s="5">
        <f>'Software vs Services'!K5</f>
        <v/>
      </c>
      <c r="L10" s="5">
        <f>'Software vs Services'!L5</f>
        <v/>
      </c>
      <c r="M10" s="5">
        <f>'Software vs Services'!M5</f>
        <v/>
      </c>
      <c r="N10" s="5">
        <f>'Software vs Services'!N5</f>
        <v/>
      </c>
    </row>
    <row r="11">
      <c r="A11" s="4" t="inlineStr">
        <is>
          <t>Services revenue (£)</t>
        </is>
      </c>
      <c r="B11" s="5">
        <f>'Software vs Services'!B6</f>
        <v/>
      </c>
      <c r="C11" s="5">
        <f>'Software vs Services'!C6</f>
        <v/>
      </c>
      <c r="D11" s="5">
        <f>'Software vs Services'!D6</f>
        <v/>
      </c>
      <c r="E11" s="5">
        <f>'Software vs Services'!E6</f>
        <v/>
      </c>
      <c r="F11" s="5">
        <f>'Software vs Services'!F6</f>
        <v/>
      </c>
      <c r="G11" s="5">
        <f>'Software vs Services'!G6</f>
        <v/>
      </c>
      <c r="H11" s="5">
        <f>'Software vs Services'!H6</f>
        <v/>
      </c>
      <c r="I11" s="5">
        <f>'Software vs Services'!I6</f>
        <v/>
      </c>
      <c r="J11" s="5">
        <f>'Software vs Services'!J6</f>
        <v/>
      </c>
      <c r="K11" s="5">
        <f>'Software vs Services'!K6</f>
        <v/>
      </c>
      <c r="L11" s="5">
        <f>'Software vs Services'!L6</f>
        <v/>
      </c>
      <c r="M11" s="5">
        <f>'Software vs Services'!M6</f>
        <v/>
      </c>
      <c r="N11" s="5">
        <f>'Software vs Services'!N6</f>
        <v/>
      </c>
    </row>
    <row r="12">
      <c r="A12" s="6" t="inlineStr">
        <is>
          <t>Software % of total</t>
        </is>
      </c>
      <c r="B12" s="7">
        <f>'Software vs Services'!B9</f>
        <v/>
      </c>
      <c r="C12" s="7">
        <f>'Software vs Services'!C9</f>
        <v/>
      </c>
      <c r="D12" s="7">
        <f>'Software vs Services'!D9</f>
        <v/>
      </c>
      <c r="E12" s="7">
        <f>'Software vs Services'!E9</f>
        <v/>
      </c>
      <c r="F12" s="7">
        <f>'Software vs Services'!F9</f>
        <v/>
      </c>
      <c r="G12" s="7">
        <f>'Software vs Services'!G9</f>
        <v/>
      </c>
      <c r="H12" s="7">
        <f>'Software vs Services'!H9</f>
        <v/>
      </c>
      <c r="I12" s="7">
        <f>'Software vs Services'!I9</f>
        <v/>
      </c>
      <c r="J12" s="7">
        <f>'Software vs Services'!J9</f>
        <v/>
      </c>
      <c r="K12" s="7">
        <f>'Software vs Services'!K9</f>
        <v/>
      </c>
      <c r="L12" s="7">
        <f>'Software vs Services'!L9</f>
        <v/>
      </c>
      <c r="M12" s="7">
        <f>'Software vs Services'!M9</f>
        <v/>
      </c>
      <c r="N12" s="7">
        <f>'Software vs Services'!N9</f>
        <v/>
      </c>
    </row>
    <row r="13">
      <c r="A13" s="6" t="inlineStr">
        <is>
          <t>Software YoY growth</t>
        </is>
      </c>
      <c r="B13" s="7">
        <f>'Software vs Services'!B12</f>
        <v/>
      </c>
      <c r="C13" s="7">
        <f>'Software vs Services'!C12</f>
        <v/>
      </c>
      <c r="D13" s="7">
        <f>'Software vs Services'!D12</f>
        <v/>
      </c>
      <c r="E13" s="7">
        <f>'Software vs Services'!E12</f>
        <v/>
      </c>
      <c r="F13" s="7">
        <f>'Software vs Services'!F12</f>
        <v/>
      </c>
      <c r="G13" s="7">
        <f>'Software vs Services'!G12</f>
        <v/>
      </c>
      <c r="H13" s="7">
        <f>'Software vs Services'!H12</f>
        <v/>
      </c>
      <c r="I13" s="7">
        <f>'Software vs Services'!I12</f>
        <v/>
      </c>
      <c r="J13" s="7">
        <f>'Software vs Services'!J12</f>
        <v/>
      </c>
      <c r="K13" s="7">
        <f>'Software vs Services'!K12</f>
        <v/>
      </c>
      <c r="L13" s="7">
        <f>'Software vs Services'!L12</f>
        <v/>
      </c>
      <c r="M13" s="7">
        <f>'Software vs Services'!M12</f>
        <v/>
      </c>
      <c r="N13" s="7">
        <f>'Software vs Services'!N12</f>
        <v/>
      </c>
    </row>
    <row r="14">
      <c r="A14" s="6" t="inlineStr">
        <is>
          <t>Services YoY growth</t>
        </is>
      </c>
      <c r="B14" s="7">
        <f>'Software vs Services'!B13</f>
        <v/>
      </c>
      <c r="C14" s="7">
        <f>'Software vs Services'!C13</f>
        <v/>
      </c>
      <c r="D14" s="7">
        <f>'Software vs Services'!D13</f>
        <v/>
      </c>
      <c r="E14" s="7">
        <f>'Software vs Services'!E13</f>
        <v/>
      </c>
      <c r="F14" s="7">
        <f>'Software vs Services'!F13</f>
        <v/>
      </c>
      <c r="G14" s="7">
        <f>'Software vs Services'!G13</f>
        <v/>
      </c>
      <c r="H14" s="7">
        <f>'Software vs Services'!H13</f>
        <v/>
      </c>
      <c r="I14" s="7">
        <f>'Software vs Services'!I13</f>
        <v/>
      </c>
      <c r="J14" s="7">
        <f>'Software vs Services'!J13</f>
        <v/>
      </c>
      <c r="K14" s="7">
        <f>'Software vs Services'!K13</f>
        <v/>
      </c>
      <c r="L14" s="7">
        <f>'Software vs Services'!L13</f>
        <v/>
      </c>
      <c r="M14" s="7">
        <f>'Software vs Services'!M13</f>
        <v/>
      </c>
      <c r="N14" s="7">
        <f>'Software vs Services'!N13</f>
        <v/>
      </c>
    </row>
    <row r="16">
      <c r="A16" s="9" t="inlineStr">
        <is>
          <t>Client base</t>
        </is>
      </c>
    </row>
    <row r="17">
      <c r="A17" s="4" t="inlineStr">
        <is>
          <t># Active clients</t>
        </is>
      </c>
      <c r="B17" s="5">
        <f>'Client Dynamics'!B5</f>
        <v/>
      </c>
      <c r="C17" s="5">
        <f>'Client Dynamics'!C5</f>
        <v/>
      </c>
      <c r="D17" s="5">
        <f>'Client Dynamics'!D5</f>
        <v/>
      </c>
      <c r="E17" s="5">
        <f>'Client Dynamics'!E5</f>
        <v/>
      </c>
      <c r="F17" s="5">
        <f>'Client Dynamics'!F5</f>
        <v/>
      </c>
      <c r="G17" s="5">
        <f>'Client Dynamics'!G5</f>
        <v/>
      </c>
      <c r="H17" s="5">
        <f>'Client Dynamics'!H5</f>
        <v/>
      </c>
      <c r="I17" s="5">
        <f>'Client Dynamics'!I5</f>
        <v/>
      </c>
      <c r="J17" s="5">
        <f>'Client Dynamics'!J5</f>
        <v/>
      </c>
      <c r="K17" s="5">
        <f>'Client Dynamics'!K5</f>
        <v/>
      </c>
      <c r="L17" s="5">
        <f>'Client Dynamics'!L5</f>
        <v/>
      </c>
      <c r="M17" s="5">
        <f>'Client Dynamics'!M5</f>
        <v/>
      </c>
      <c r="N17" s="5">
        <f>'Client Dynamics'!N5</f>
        <v/>
      </c>
    </row>
    <row r="18">
      <c r="A18" s="6" t="inlineStr">
        <is>
          <t># New clients</t>
        </is>
      </c>
      <c r="B18" s="10">
        <f>'Client Dynamics'!B6</f>
        <v/>
      </c>
      <c r="C18" s="10">
        <f>'Client Dynamics'!C6</f>
        <v/>
      </c>
      <c r="D18" s="10">
        <f>'Client Dynamics'!D6</f>
        <v/>
      </c>
      <c r="E18" s="10">
        <f>'Client Dynamics'!E6</f>
        <v/>
      </c>
      <c r="F18" s="10">
        <f>'Client Dynamics'!F6</f>
        <v/>
      </c>
      <c r="G18" s="10">
        <f>'Client Dynamics'!G6</f>
        <v/>
      </c>
      <c r="H18" s="10">
        <f>'Client Dynamics'!H6</f>
        <v/>
      </c>
      <c r="I18" s="10">
        <f>'Client Dynamics'!I6</f>
        <v/>
      </c>
      <c r="J18" s="10">
        <f>'Client Dynamics'!J6</f>
        <v/>
      </c>
      <c r="K18" s="10">
        <f>'Client Dynamics'!K6</f>
        <v/>
      </c>
      <c r="L18" s="10">
        <f>'Client Dynamics'!L6</f>
        <v/>
      </c>
      <c r="M18" s="10">
        <f>'Client Dynamics'!M6</f>
        <v/>
      </c>
      <c r="N18" s="10">
        <f>'Client Dynamics'!N6</f>
        <v/>
      </c>
    </row>
    <row r="19">
      <c r="A19" s="6" t="inlineStr">
        <is>
          <t># Churned clients</t>
        </is>
      </c>
      <c r="B19" s="10">
        <f>'Client Dynamics'!B7</f>
        <v/>
      </c>
      <c r="C19" s="10">
        <f>'Client Dynamics'!C7</f>
        <v/>
      </c>
      <c r="D19" s="10">
        <f>'Client Dynamics'!D7</f>
        <v/>
      </c>
      <c r="E19" s="10">
        <f>'Client Dynamics'!E7</f>
        <v/>
      </c>
      <c r="F19" s="10">
        <f>'Client Dynamics'!F7</f>
        <v/>
      </c>
      <c r="G19" s="10">
        <f>'Client Dynamics'!G7</f>
        <v/>
      </c>
      <c r="H19" s="10">
        <f>'Client Dynamics'!H7</f>
        <v/>
      </c>
      <c r="I19" s="10">
        <f>'Client Dynamics'!I7</f>
        <v/>
      </c>
      <c r="J19" s="10">
        <f>'Client Dynamics'!J7</f>
        <v/>
      </c>
      <c r="K19" s="10">
        <f>'Client Dynamics'!K7</f>
        <v/>
      </c>
      <c r="L19" s="10">
        <f>'Client Dynamics'!L7</f>
        <v/>
      </c>
      <c r="M19" s="10">
        <f>'Client Dynamics'!M7</f>
        <v/>
      </c>
      <c r="N19" s="10">
        <f>'Client Dynamics'!N7</f>
        <v/>
      </c>
    </row>
    <row r="20">
      <c r="A20" s="6" t="inlineStr">
        <is>
          <t>Logo retention %</t>
        </is>
      </c>
      <c r="B20" s="7">
        <f>'Client Dynamics'!B10</f>
        <v/>
      </c>
      <c r="C20" s="7">
        <f>'Client Dynamics'!C10</f>
        <v/>
      </c>
      <c r="D20" s="7">
        <f>'Client Dynamics'!D10</f>
        <v/>
      </c>
      <c r="E20" s="7">
        <f>'Client Dynamics'!E10</f>
        <v/>
      </c>
      <c r="F20" s="7">
        <f>'Client Dynamics'!F10</f>
        <v/>
      </c>
      <c r="G20" s="7">
        <f>'Client Dynamics'!G10</f>
        <v/>
      </c>
      <c r="H20" s="7">
        <f>'Client Dynamics'!H10</f>
        <v/>
      </c>
      <c r="I20" s="7">
        <f>'Client Dynamics'!I10</f>
        <v/>
      </c>
      <c r="J20" s="7">
        <f>'Client Dynamics'!J10</f>
        <v/>
      </c>
      <c r="K20" s="7">
        <f>'Client Dynamics'!K10</f>
        <v/>
      </c>
      <c r="L20" s="7">
        <f>'Client Dynamics'!L10</f>
        <v/>
      </c>
      <c r="M20" s="7">
        <f>'Client Dynamics'!M10</f>
        <v/>
      </c>
      <c r="N20" s="7">
        <f>'Client Dynamics'!N10</f>
        <v/>
      </c>
    </row>
    <row r="21">
      <c r="A21" s="6" t="inlineStr">
        <is>
          <t>GRR — same client base</t>
        </is>
      </c>
      <c r="B21" s="7">
        <f>'Client Dynamics'!B11</f>
        <v/>
      </c>
      <c r="C21" s="7">
        <f>'Client Dynamics'!C11</f>
        <v/>
      </c>
      <c r="D21" s="7">
        <f>'Client Dynamics'!D11</f>
        <v/>
      </c>
      <c r="E21" s="7">
        <f>'Client Dynamics'!E11</f>
        <v/>
      </c>
      <c r="F21" s="7">
        <f>'Client Dynamics'!F11</f>
        <v/>
      </c>
      <c r="G21" s="7">
        <f>'Client Dynamics'!G11</f>
        <v/>
      </c>
      <c r="H21" s="7">
        <f>'Client Dynamics'!H11</f>
        <v/>
      </c>
      <c r="I21" s="7">
        <f>'Client Dynamics'!I11</f>
        <v/>
      </c>
      <c r="J21" s="7">
        <f>'Client Dynamics'!J11</f>
        <v/>
      </c>
      <c r="K21" s="7">
        <f>'Client Dynamics'!K11</f>
        <v/>
      </c>
      <c r="L21" s="7">
        <f>'Client Dynamics'!L11</f>
        <v/>
      </c>
      <c r="M21" s="7">
        <f>'Client Dynamics'!M11</f>
        <v/>
      </c>
      <c r="N21" s="7">
        <f>'Client Dynamics'!N11</f>
        <v/>
      </c>
    </row>
    <row r="22">
      <c r="A22" s="6" t="inlineStr">
        <is>
          <t>NRR — w/ expansion</t>
        </is>
      </c>
      <c r="B22" s="7">
        <f>'Client Dynamics'!B12</f>
        <v/>
      </c>
      <c r="C22" s="7">
        <f>'Client Dynamics'!C12</f>
        <v/>
      </c>
      <c r="D22" s="7">
        <f>'Client Dynamics'!D12</f>
        <v/>
      </c>
      <c r="E22" s="7">
        <f>'Client Dynamics'!E12</f>
        <v/>
      </c>
      <c r="F22" s="7">
        <f>'Client Dynamics'!F12</f>
        <v/>
      </c>
      <c r="G22" s="7">
        <f>'Client Dynamics'!G12</f>
        <v/>
      </c>
      <c r="H22" s="7">
        <f>'Client Dynamics'!H12</f>
        <v/>
      </c>
      <c r="I22" s="7">
        <f>'Client Dynamics'!I12</f>
        <v/>
      </c>
      <c r="J22" s="7">
        <f>'Client Dynamics'!J12</f>
        <v/>
      </c>
      <c r="K22" s="7">
        <f>'Client Dynamics'!K12</f>
        <v/>
      </c>
      <c r="L22" s="7">
        <f>'Client Dynamics'!L12</f>
        <v/>
      </c>
      <c r="M22" s="7">
        <f>'Client Dynamics'!M12</f>
        <v/>
      </c>
      <c r="N22" s="7">
        <f>'Client Dynamics'!N12</f>
        <v/>
      </c>
    </row>
    <row r="23">
      <c r="A23" s="6" t="inlineStr">
        <is>
          <t>ARPC (£)</t>
        </is>
      </c>
      <c r="B23" s="10">
        <f>'Client Dynamics'!B14</f>
        <v/>
      </c>
      <c r="C23" s="10">
        <f>'Client Dynamics'!C14</f>
        <v/>
      </c>
      <c r="D23" s="10">
        <f>'Client Dynamics'!D14</f>
        <v/>
      </c>
      <c r="E23" s="10">
        <f>'Client Dynamics'!E14</f>
        <v/>
      </c>
      <c r="F23" s="10">
        <f>'Client Dynamics'!F14</f>
        <v/>
      </c>
      <c r="G23" s="10">
        <f>'Client Dynamics'!G14</f>
        <v/>
      </c>
      <c r="H23" s="10">
        <f>'Client Dynamics'!H14</f>
        <v/>
      </c>
      <c r="I23" s="10">
        <f>'Client Dynamics'!I14</f>
        <v/>
      </c>
      <c r="J23" s="10">
        <f>'Client Dynamics'!J14</f>
        <v/>
      </c>
      <c r="K23" s="10">
        <f>'Client Dynamics'!K14</f>
        <v/>
      </c>
      <c r="L23" s="10">
        <f>'Client Dynamics'!L14</f>
        <v/>
      </c>
      <c r="M23" s="10">
        <f>'Client Dynamics'!M14</f>
        <v/>
      </c>
      <c r="N23" s="10">
        <f>'Client Dynamics'!N14</f>
        <v/>
      </c>
    </row>
    <row r="25">
      <c r="A25" s="9" t="inlineStr">
        <is>
          <t>Concentration</t>
        </is>
      </c>
    </row>
    <row r="26">
      <c r="A26" s="6" t="inlineStr">
        <is>
          <t>Top 1 client share</t>
        </is>
      </c>
      <c r="B26" s="7">
        <f>'Client Concentration'!B5</f>
        <v/>
      </c>
      <c r="C26" s="7">
        <f>'Client Concentration'!C5</f>
        <v/>
      </c>
      <c r="D26" s="7">
        <f>'Client Concentration'!D5</f>
        <v/>
      </c>
      <c r="E26" s="7">
        <f>'Client Concentration'!E5</f>
        <v/>
      </c>
      <c r="F26" s="7">
        <f>'Client Concentration'!F5</f>
        <v/>
      </c>
      <c r="G26" s="7">
        <f>'Client Concentration'!G5</f>
        <v/>
      </c>
      <c r="H26" s="7">
        <f>'Client Concentration'!H5</f>
        <v/>
      </c>
      <c r="I26" s="7">
        <f>'Client Concentration'!I5</f>
        <v/>
      </c>
      <c r="J26" s="7">
        <f>'Client Concentration'!J5</f>
        <v/>
      </c>
      <c r="K26" s="7">
        <f>'Client Concentration'!K5</f>
        <v/>
      </c>
      <c r="L26" s="7">
        <f>'Client Concentration'!L5</f>
        <v/>
      </c>
      <c r="M26" s="7">
        <f>'Client Concentration'!M5</f>
        <v/>
      </c>
      <c r="N26" s="7">
        <f>'Client Concentration'!N5</f>
        <v/>
      </c>
    </row>
    <row r="27">
      <c r="A27" s="6" t="inlineStr">
        <is>
          <t>Top 5 client share</t>
        </is>
      </c>
      <c r="B27" s="7">
        <f>'Client Concentration'!B6</f>
        <v/>
      </c>
      <c r="C27" s="7">
        <f>'Client Concentration'!C6</f>
        <v/>
      </c>
      <c r="D27" s="7">
        <f>'Client Concentration'!D6</f>
        <v/>
      </c>
      <c r="E27" s="7">
        <f>'Client Concentration'!E6</f>
        <v/>
      </c>
      <c r="F27" s="7">
        <f>'Client Concentration'!F6</f>
        <v/>
      </c>
      <c r="G27" s="7">
        <f>'Client Concentration'!G6</f>
        <v/>
      </c>
      <c r="H27" s="7">
        <f>'Client Concentration'!H6</f>
        <v/>
      </c>
      <c r="I27" s="7">
        <f>'Client Concentration'!I6</f>
        <v/>
      </c>
      <c r="J27" s="7">
        <f>'Client Concentration'!J6</f>
        <v/>
      </c>
      <c r="K27" s="7">
        <f>'Client Concentration'!K6</f>
        <v/>
      </c>
      <c r="L27" s="7">
        <f>'Client Concentration'!L6</f>
        <v/>
      </c>
      <c r="M27" s="7">
        <f>'Client Concentration'!M6</f>
        <v/>
      </c>
      <c r="N27" s="7">
        <f>'Client Concentration'!N6</f>
        <v/>
      </c>
    </row>
    <row r="28">
      <c r="A28" s="6" t="inlineStr">
        <is>
          <t>Top 10 client share</t>
        </is>
      </c>
      <c r="B28" s="7">
        <f>'Client Concentration'!B7</f>
        <v/>
      </c>
      <c r="C28" s="7">
        <f>'Client Concentration'!C7</f>
        <v/>
      </c>
      <c r="D28" s="7">
        <f>'Client Concentration'!D7</f>
        <v/>
      </c>
      <c r="E28" s="7">
        <f>'Client Concentration'!E7</f>
        <v/>
      </c>
      <c r="F28" s="7">
        <f>'Client Concentration'!F7</f>
        <v/>
      </c>
      <c r="G28" s="7">
        <f>'Client Concentration'!G7</f>
        <v/>
      </c>
      <c r="H28" s="7">
        <f>'Client Concentration'!H7</f>
        <v/>
      </c>
      <c r="I28" s="7">
        <f>'Client Concentration'!I7</f>
        <v/>
      </c>
      <c r="J28" s="7">
        <f>'Client Concentration'!J7</f>
        <v/>
      </c>
      <c r="K28" s="7">
        <f>'Client Concentration'!K7</f>
        <v/>
      </c>
      <c r="L28" s="7">
        <f>'Client Concentration'!L7</f>
        <v/>
      </c>
      <c r="M28" s="7">
        <f>'Client Concentration'!M7</f>
        <v/>
      </c>
      <c r="N28" s="7">
        <f>'Client Concentration'!N7</f>
        <v/>
      </c>
    </row>
    <row r="29">
      <c r="A29" s="6" t="inlineStr">
        <is>
          <t>Top 20 client share</t>
        </is>
      </c>
      <c r="B29" s="7">
        <f>'Client Concentration'!B8</f>
        <v/>
      </c>
      <c r="C29" s="7">
        <f>'Client Concentration'!C8</f>
        <v/>
      </c>
      <c r="D29" s="7">
        <f>'Client Concentration'!D8</f>
        <v/>
      </c>
      <c r="E29" s="7">
        <f>'Client Concentration'!E8</f>
        <v/>
      </c>
      <c r="F29" s="7">
        <f>'Client Concentration'!F8</f>
        <v/>
      </c>
      <c r="G29" s="7">
        <f>'Client Concentration'!G8</f>
        <v/>
      </c>
      <c r="H29" s="7">
        <f>'Client Concentration'!H8</f>
        <v/>
      </c>
      <c r="I29" s="7">
        <f>'Client Concentration'!I8</f>
        <v/>
      </c>
      <c r="J29" s="7">
        <f>'Client Concentration'!J8</f>
        <v/>
      </c>
      <c r="K29" s="7">
        <f>'Client Concentration'!K8</f>
        <v/>
      </c>
      <c r="L29" s="7">
        <f>'Client Concentration'!L8</f>
        <v/>
      </c>
      <c r="M29" s="7">
        <f>'Client Concentration'!M8</f>
        <v/>
      </c>
      <c r="N29" s="7">
        <f>'Client Concentration'!N8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B57"/>
    <outlinePr summaryBelow="1" summaryRight="1"/>
    <pageSetUpPr/>
  </sheetPr>
  <dimension ref="A1:P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  <col width="1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Revenue Overview — Project Darwin (£ GBP)</t>
        </is>
      </c>
    </row>
    <row r="3">
      <c r="A3" s="3" t="inlineStr">
        <is>
          <t>Metric</t>
        </is>
      </c>
      <c r="B3" s="3" t="inlineStr">
        <is>
          <t>FY2014A</t>
        </is>
      </c>
      <c r="C3" s="3" t="inlineStr">
        <is>
          <t>FY2015A</t>
        </is>
      </c>
      <c r="D3" s="3" t="inlineStr">
        <is>
          <t>FY2016A</t>
        </is>
      </c>
      <c r="E3" s="3" t="inlineStr">
        <is>
          <t>FY2017A</t>
        </is>
      </c>
      <c r="F3" s="3" t="inlineStr">
        <is>
          <t>FY2018A</t>
        </is>
      </c>
      <c r="G3" s="3" t="inlineStr">
        <is>
          <t>FY2019A</t>
        </is>
      </c>
      <c r="H3" s="3" t="inlineStr">
        <is>
          <t>FY2020A</t>
        </is>
      </c>
      <c r="I3" s="3" t="inlineStr">
        <is>
          <t>FY2021A</t>
        </is>
      </c>
      <c r="J3" s="3" t="inlineStr">
        <is>
          <t>FY2022A</t>
        </is>
      </c>
      <c r="K3" s="3" t="inlineStr">
        <is>
          <t>FY2023A</t>
        </is>
      </c>
      <c r="L3" s="3" t="inlineStr">
        <is>
          <t>FY2024A</t>
        </is>
      </c>
      <c r="M3" s="3" t="inlineStr">
        <is>
          <t>FY2025A</t>
        </is>
      </c>
      <c r="N3" s="3" t="inlineStr">
        <is>
          <t>FY2026A</t>
        </is>
      </c>
      <c r="O3" s="3" t="inlineStr">
        <is>
          <t>CAGR FY14-FY23</t>
        </is>
      </c>
      <c r="P3" s="3" t="inlineStr">
        <is>
          <t>CAGR FY14-FY26</t>
        </is>
      </c>
    </row>
    <row r="4">
      <c r="A4" s="4" t="inlineStr">
        <is>
          <t>Total revenue (£)</t>
        </is>
      </c>
      <c r="B4" s="12">
        <f>SUM(Source_Evolution!$E$3:$E$731)</f>
        <v/>
      </c>
      <c r="C4" s="12">
        <f>SUM(Source_Evolution!$F$3:$F$731)</f>
        <v/>
      </c>
      <c r="D4" s="12">
        <f>SUM(Source_Evolution!$G$3:$G$731)</f>
        <v/>
      </c>
      <c r="E4" s="12">
        <f>SUM(Source_Evolution!$H$3:$H$731)</f>
        <v/>
      </c>
      <c r="F4" s="12">
        <f>SUM(Source_Evolution!$I$3:$I$731)</f>
        <v/>
      </c>
      <c r="G4" s="12">
        <f>SUM(Source_Evolution!$J$3:$J$731)</f>
        <v/>
      </c>
      <c r="H4" s="12">
        <f>SUM(Source_Evolution!$K$3:$K$731)</f>
        <v/>
      </c>
      <c r="I4" s="12">
        <f>SUM(Source_Evolution!$L$3:$L$731)</f>
        <v/>
      </c>
      <c r="J4" s="12">
        <f>SUM(Source_Evolution!$M$3:$M$731)</f>
        <v/>
      </c>
      <c r="K4" s="12">
        <f>SUM(Source_Evolution!$N$3:$N$731)</f>
        <v/>
      </c>
      <c r="L4" s="12">
        <f>SUM(Source_Evolution!$O$3:$O$731)</f>
        <v/>
      </c>
      <c r="M4" s="12">
        <f>SUM(Source_Evolution!$P$3:$P$731)</f>
        <v/>
      </c>
      <c r="N4" s="12">
        <f>SUM(Source_Evolution!$Q$3:$Q$731)</f>
        <v/>
      </c>
      <c r="O4" s="13">
        <f>IFERROR((J4/B4)^(1/9)-1,"-")</f>
        <v/>
      </c>
      <c r="P4" s="13">
        <f>IFERROR((N4/B4)^(1/12)-1,"-")</f>
        <v/>
      </c>
    </row>
    <row r="5">
      <c r="A5" s="6" t="inlineStr">
        <is>
          <t>YoY growth %</t>
        </is>
      </c>
      <c r="B5" s="14" t="inlineStr">
        <is>
          <t>-</t>
        </is>
      </c>
      <c r="C5" s="7">
        <f>IFERROR(C4/B4-1,"-")</f>
        <v/>
      </c>
      <c r="D5" s="7">
        <f>IFERROR(D4/C4-1,"-")</f>
        <v/>
      </c>
      <c r="E5" s="7">
        <f>IFERROR(E4/D4-1,"-")</f>
        <v/>
      </c>
      <c r="F5" s="7">
        <f>IFERROR(F4/E4-1,"-")</f>
        <v/>
      </c>
      <c r="G5" s="7">
        <f>IFERROR(G4/F4-1,"-")</f>
        <v/>
      </c>
      <c r="H5" s="7">
        <f>IFERROR(H4/G4-1,"-")</f>
        <v/>
      </c>
      <c r="I5" s="7">
        <f>IFERROR(I4/H4-1,"-")</f>
        <v/>
      </c>
      <c r="J5" s="7">
        <f>IFERROR(J4/I4-1,"-")</f>
        <v/>
      </c>
      <c r="K5" s="7">
        <f>IFERROR(K4/J4-1,"-")</f>
        <v/>
      </c>
      <c r="L5" s="7">
        <f>IFERROR(L4/K4-1,"-")</f>
        <v/>
      </c>
      <c r="M5" s="7">
        <f>IFERROR(M4/L4-1,"-")</f>
        <v/>
      </c>
      <c r="N5" s="7">
        <f>IFERROR(N4/M4-1,"-")</f>
        <v/>
      </c>
    </row>
    <row r="6">
      <c r="A6" s="6" t="inlineStr">
        <is>
          <t>Indexed (FY14 = 100)</t>
        </is>
      </c>
      <c r="B6" s="8">
        <f>IFERROR(B4/$B$4*100,"-")</f>
        <v/>
      </c>
      <c r="C6" s="8">
        <f>IFERROR(C4/$B$4*100,"-")</f>
        <v/>
      </c>
      <c r="D6" s="8">
        <f>IFERROR(D4/$B$4*100,"-")</f>
        <v/>
      </c>
      <c r="E6" s="8">
        <f>IFERROR(E4/$B$4*100,"-")</f>
        <v/>
      </c>
      <c r="F6" s="8">
        <f>IFERROR(F4/$B$4*100,"-")</f>
        <v/>
      </c>
      <c r="G6" s="8">
        <f>IFERROR(G4/$B$4*100,"-")</f>
        <v/>
      </c>
      <c r="H6" s="8">
        <f>IFERROR(H4/$B$4*100,"-")</f>
        <v/>
      </c>
      <c r="I6" s="8">
        <f>IFERROR(I4/$B$4*100,"-")</f>
        <v/>
      </c>
      <c r="J6" s="8">
        <f>IFERROR(J4/$B$4*100,"-")</f>
        <v/>
      </c>
      <c r="K6" s="8">
        <f>IFERROR(K4/$B$4*100,"-")</f>
        <v/>
      </c>
      <c r="L6" s="8">
        <f>IFERROR(L4/$B$4*100,"-")</f>
        <v/>
      </c>
      <c r="M6" s="8">
        <f>IFERROR(M4/$B$4*100,"-")</f>
        <v/>
      </c>
      <c r="N6" s="8">
        <f>IFERROR(N4/$B$4*100,"-")</f>
        <v/>
      </c>
    </row>
    <row r="8">
      <c r="A8" s="6" t="inlineStr">
        <is>
          <t># Active revenue lines</t>
        </is>
      </c>
      <c r="B8" s="10">
        <f>COUNTIFS(Source_Evolution!$E$3:$E$731,"&gt;0")</f>
        <v/>
      </c>
      <c r="C8" s="10">
        <f>COUNTIFS(Source_Evolution!$F$3:$F$731,"&gt;0")</f>
        <v/>
      </c>
      <c r="D8" s="10">
        <f>COUNTIFS(Source_Evolution!$G$3:$G$731,"&gt;0")</f>
        <v/>
      </c>
      <c r="E8" s="10">
        <f>COUNTIFS(Source_Evolution!$H$3:$H$731,"&gt;0")</f>
        <v/>
      </c>
      <c r="F8" s="10">
        <f>COUNTIFS(Source_Evolution!$I$3:$I$731,"&gt;0")</f>
        <v/>
      </c>
      <c r="G8" s="10">
        <f>COUNTIFS(Source_Evolution!$J$3:$J$731,"&gt;0")</f>
        <v/>
      </c>
      <c r="H8" s="10">
        <f>COUNTIFS(Source_Evolution!$K$3:$K$731,"&gt;0")</f>
        <v/>
      </c>
      <c r="I8" s="10">
        <f>COUNTIFS(Source_Evolution!$L$3:$L$731,"&gt;0")</f>
        <v/>
      </c>
      <c r="J8" s="10">
        <f>COUNTIFS(Source_Evolution!$M$3:$M$731,"&gt;0")</f>
        <v/>
      </c>
      <c r="K8" s="10">
        <f>COUNTIFS(Source_Evolution!$N$3:$N$731,"&gt;0")</f>
        <v/>
      </c>
      <c r="L8" s="10">
        <f>COUNTIFS(Source_Evolution!$O$3:$O$731,"&gt;0")</f>
        <v/>
      </c>
      <c r="M8" s="10">
        <f>COUNTIFS(Source_Evolution!$P$3:$P$731,"&gt;0")</f>
        <v/>
      </c>
      <c r="N8" s="10">
        <f>COUNTIFS(Source_Evolution!$Q$3:$Q$731,"&gt;0")</f>
        <v/>
      </c>
    </row>
  </sheetData>
  <conditionalFormatting sqref="C5:N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73B57"/>
    <outlinePr summaryBelow="1" summaryRight="1"/>
    <pageSetUpPr/>
  </sheetPr>
  <dimension ref="A1:O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Software vs Services — Revenue split (£ GBP)</t>
        </is>
      </c>
    </row>
    <row r="2">
      <c r="A2" s="15" t="inlineStr">
        <is>
          <t>Software = Dept "Software". Services = Dept "Operations" + "CVA" + "Power".</t>
        </is>
      </c>
    </row>
    <row r="4">
      <c r="A4" s="3" t="inlineStr">
        <is>
          <t>Metric</t>
        </is>
      </c>
      <c r="B4" s="3" t="inlineStr">
        <is>
          <t>FY2014A</t>
        </is>
      </c>
      <c r="C4" s="3" t="inlineStr">
        <is>
          <t>FY2015A</t>
        </is>
      </c>
      <c r="D4" s="3" t="inlineStr">
        <is>
          <t>FY2016A</t>
        </is>
      </c>
      <c r="E4" s="3" t="inlineStr">
        <is>
          <t>FY2017A</t>
        </is>
      </c>
      <c r="F4" s="3" t="inlineStr">
        <is>
          <t>FY2018A</t>
        </is>
      </c>
      <c r="G4" s="3" t="inlineStr">
        <is>
          <t>FY2019A</t>
        </is>
      </c>
      <c r="H4" s="3" t="inlineStr">
        <is>
          <t>FY2020A</t>
        </is>
      </c>
      <c r="I4" s="3" t="inlineStr">
        <is>
          <t>FY2021A</t>
        </is>
      </c>
      <c r="J4" s="3" t="inlineStr">
        <is>
          <t>FY2022A</t>
        </is>
      </c>
      <c r="K4" s="3" t="inlineStr">
        <is>
          <t>FY2023A</t>
        </is>
      </c>
      <c r="L4" s="3" t="inlineStr">
        <is>
          <t>FY2024A</t>
        </is>
      </c>
      <c r="M4" s="3" t="inlineStr">
        <is>
          <t>FY2025A</t>
        </is>
      </c>
      <c r="N4" s="3" t="inlineStr">
        <is>
          <t>FY2026A</t>
        </is>
      </c>
      <c r="O4" s="3" t="inlineStr">
        <is>
          <t>CAGR FY14-FY26</t>
        </is>
      </c>
    </row>
    <row r="5">
      <c r="A5" s="4" t="inlineStr">
        <is>
          <t>Software revenue (£)</t>
        </is>
      </c>
      <c r="B5" s="5">
        <f>SUMIFS(Source_Evolution!$E$3:$E$731,Source_Evolution!$B$3:$B$731,"Software")</f>
        <v/>
      </c>
      <c r="C5" s="5">
        <f>SUMIFS(Source_Evolution!$F$3:$F$731,Source_Evolution!$B$3:$B$731,"Software")</f>
        <v/>
      </c>
      <c r="D5" s="5">
        <f>SUMIFS(Source_Evolution!$G$3:$G$731,Source_Evolution!$B$3:$B$731,"Software")</f>
        <v/>
      </c>
      <c r="E5" s="5">
        <f>SUMIFS(Source_Evolution!$H$3:$H$731,Source_Evolution!$B$3:$B$731,"Software")</f>
        <v/>
      </c>
      <c r="F5" s="5">
        <f>SUMIFS(Source_Evolution!$I$3:$I$731,Source_Evolution!$B$3:$B$731,"Software")</f>
        <v/>
      </c>
      <c r="G5" s="5">
        <f>SUMIFS(Source_Evolution!$J$3:$J$731,Source_Evolution!$B$3:$B$731,"Software")</f>
        <v/>
      </c>
      <c r="H5" s="5">
        <f>SUMIFS(Source_Evolution!$K$3:$K$731,Source_Evolution!$B$3:$B$731,"Software")</f>
        <v/>
      </c>
      <c r="I5" s="5">
        <f>SUMIFS(Source_Evolution!$L$3:$L$731,Source_Evolution!$B$3:$B$731,"Software")</f>
        <v/>
      </c>
      <c r="J5" s="5">
        <f>SUMIFS(Source_Evolution!$M$3:$M$731,Source_Evolution!$B$3:$B$731,"Software")</f>
        <v/>
      </c>
      <c r="K5" s="5">
        <f>SUMIFS(Source_Evolution!$N$3:$N$731,Source_Evolution!$B$3:$B$731,"Software")</f>
        <v/>
      </c>
      <c r="L5" s="5">
        <f>SUMIFS(Source_Evolution!$O$3:$O$731,Source_Evolution!$B$3:$B$731,"Software")</f>
        <v/>
      </c>
      <c r="M5" s="5">
        <f>SUMIFS(Source_Evolution!$P$3:$P$731,Source_Evolution!$B$3:$B$731,"Software")</f>
        <v/>
      </c>
      <c r="N5" s="5">
        <f>SUMIFS(Source_Evolution!$Q$3:$Q$731,Source_Evolution!$B$3:$B$731,"Software")</f>
        <v/>
      </c>
      <c r="O5" s="13">
        <f>IFERROR((N5/B5)^(1/12)-1,"-")</f>
        <v/>
      </c>
    </row>
    <row r="6">
      <c r="A6" s="4" t="inlineStr">
        <is>
          <t>Services revenue (£)</t>
        </is>
      </c>
      <c r="B6" s="5">
        <f>SUMIFS(Source_Evolution!$E$3:$E$731,Source_Evolution!$B$3:$B$731,"Operations")+SUMIFS(Source_Evolution!$E$3:$E$731,Source_Evolution!$B$3:$B$731,"CVA")+SUMIFS(Source_Evolution!$E$3:$E$731,Source_Evolution!$B$3:$B$731,"Power")</f>
        <v/>
      </c>
      <c r="C6" s="5">
        <f>SUMIFS(Source_Evolution!$F$3:$F$731,Source_Evolution!$B$3:$B$731,"Operations")+SUMIFS(Source_Evolution!$F$3:$F$731,Source_Evolution!$B$3:$B$731,"CVA")+SUMIFS(Source_Evolution!$F$3:$F$731,Source_Evolution!$B$3:$B$731,"Power")</f>
        <v/>
      </c>
      <c r="D6" s="5">
        <f>SUMIFS(Source_Evolution!$G$3:$G$731,Source_Evolution!$B$3:$B$731,"Operations")+SUMIFS(Source_Evolution!$G$3:$G$731,Source_Evolution!$B$3:$B$731,"CVA")+SUMIFS(Source_Evolution!$G$3:$G$731,Source_Evolution!$B$3:$B$731,"Power")</f>
        <v/>
      </c>
      <c r="E6" s="5">
        <f>SUMIFS(Source_Evolution!$H$3:$H$731,Source_Evolution!$B$3:$B$731,"Operations")+SUMIFS(Source_Evolution!$H$3:$H$731,Source_Evolution!$B$3:$B$731,"CVA")+SUMIFS(Source_Evolution!$H$3:$H$731,Source_Evolution!$B$3:$B$731,"Power")</f>
        <v/>
      </c>
      <c r="F6" s="5">
        <f>SUMIFS(Source_Evolution!$I$3:$I$731,Source_Evolution!$B$3:$B$731,"Operations")+SUMIFS(Source_Evolution!$I$3:$I$731,Source_Evolution!$B$3:$B$731,"CVA")+SUMIFS(Source_Evolution!$I$3:$I$731,Source_Evolution!$B$3:$B$731,"Power")</f>
        <v/>
      </c>
      <c r="G6" s="5">
        <f>SUMIFS(Source_Evolution!$J$3:$J$731,Source_Evolution!$B$3:$B$731,"Operations")+SUMIFS(Source_Evolution!$J$3:$J$731,Source_Evolution!$B$3:$B$731,"CVA")+SUMIFS(Source_Evolution!$J$3:$J$731,Source_Evolution!$B$3:$B$731,"Power")</f>
        <v/>
      </c>
      <c r="H6" s="5">
        <f>SUMIFS(Source_Evolution!$K$3:$K$731,Source_Evolution!$B$3:$B$731,"Operations")+SUMIFS(Source_Evolution!$K$3:$K$731,Source_Evolution!$B$3:$B$731,"CVA")+SUMIFS(Source_Evolution!$K$3:$K$731,Source_Evolution!$B$3:$B$731,"Power")</f>
        <v/>
      </c>
      <c r="I6" s="5">
        <f>SUMIFS(Source_Evolution!$L$3:$L$731,Source_Evolution!$B$3:$B$731,"Operations")+SUMIFS(Source_Evolution!$L$3:$L$731,Source_Evolution!$B$3:$B$731,"CVA")+SUMIFS(Source_Evolution!$L$3:$L$731,Source_Evolution!$B$3:$B$731,"Power")</f>
        <v/>
      </c>
      <c r="J6" s="5">
        <f>SUMIFS(Source_Evolution!$M$3:$M$731,Source_Evolution!$B$3:$B$731,"Operations")+SUMIFS(Source_Evolution!$M$3:$M$731,Source_Evolution!$B$3:$B$731,"CVA")+SUMIFS(Source_Evolution!$M$3:$M$731,Source_Evolution!$B$3:$B$731,"Power")</f>
        <v/>
      </c>
      <c r="K6" s="5">
        <f>SUMIFS(Source_Evolution!$N$3:$N$731,Source_Evolution!$B$3:$B$731,"Operations")+SUMIFS(Source_Evolution!$N$3:$N$731,Source_Evolution!$B$3:$B$731,"CVA")+SUMIFS(Source_Evolution!$N$3:$N$731,Source_Evolution!$B$3:$B$731,"Power")</f>
        <v/>
      </c>
      <c r="L6" s="5">
        <f>SUMIFS(Source_Evolution!$O$3:$O$731,Source_Evolution!$B$3:$B$731,"Operations")+SUMIFS(Source_Evolution!$O$3:$O$731,Source_Evolution!$B$3:$B$731,"CVA")+SUMIFS(Source_Evolution!$O$3:$O$731,Source_Evolution!$B$3:$B$731,"Power")</f>
        <v/>
      </c>
      <c r="M6" s="5">
        <f>SUMIFS(Source_Evolution!$P$3:$P$731,Source_Evolution!$B$3:$B$731,"Operations")+SUMIFS(Source_Evolution!$P$3:$P$731,Source_Evolution!$B$3:$B$731,"CVA")+SUMIFS(Source_Evolution!$P$3:$P$731,Source_Evolution!$B$3:$B$731,"Power")</f>
        <v/>
      </c>
      <c r="N6" s="5">
        <f>SUMIFS(Source_Evolution!$Q$3:$Q$731,Source_Evolution!$B$3:$B$731,"Operations")+SUMIFS(Source_Evolution!$Q$3:$Q$731,Source_Evolution!$B$3:$B$731,"CVA")+SUMIFS(Source_Evolution!$Q$3:$Q$731,Source_Evolution!$B$3:$B$731,"Power")</f>
        <v/>
      </c>
      <c r="O6" s="13">
        <f>IFERROR((N6/B6)^(1/12)-1,"-")</f>
        <v/>
      </c>
    </row>
    <row r="7">
      <c r="A7" s="4" t="inlineStr">
        <is>
          <t>Total revenue (£)</t>
        </is>
      </c>
      <c r="B7" s="12">
        <f>B5+B6</f>
        <v/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I5+I6</f>
        <v/>
      </c>
      <c r="J7" s="12">
        <f>J5+J6</f>
        <v/>
      </c>
      <c r="K7" s="12">
        <f>K5+K6</f>
        <v/>
      </c>
      <c r="L7" s="12">
        <f>L5+L6</f>
        <v/>
      </c>
      <c r="M7" s="12">
        <f>M5+M6</f>
        <v/>
      </c>
      <c r="N7" s="12">
        <f>N5+N6</f>
        <v/>
      </c>
      <c r="O7" s="13">
        <f>IFERROR((N7/B7)^(1/12)-1,"-")</f>
        <v/>
      </c>
    </row>
    <row r="9">
      <c r="A9" s="6" t="inlineStr">
        <is>
          <t>Software % of total</t>
        </is>
      </c>
      <c r="B9" s="7">
        <f>IFERROR(B5/B7,"-")</f>
        <v/>
      </c>
      <c r="C9" s="7">
        <f>IFERROR(C5/C7,"-")</f>
        <v/>
      </c>
      <c r="D9" s="7">
        <f>IFERROR(D5/D7,"-")</f>
        <v/>
      </c>
      <c r="E9" s="7">
        <f>IFERROR(E5/E7,"-")</f>
        <v/>
      </c>
      <c r="F9" s="7">
        <f>IFERROR(F5/F7,"-")</f>
        <v/>
      </c>
      <c r="G9" s="7">
        <f>IFERROR(G5/G7,"-")</f>
        <v/>
      </c>
      <c r="H9" s="7">
        <f>IFERROR(H5/H7,"-")</f>
        <v/>
      </c>
      <c r="I9" s="7">
        <f>IFERROR(I5/I7,"-")</f>
        <v/>
      </c>
      <c r="J9" s="7">
        <f>IFERROR(J5/J7,"-")</f>
        <v/>
      </c>
      <c r="K9" s="7">
        <f>IFERROR(K5/K7,"-")</f>
        <v/>
      </c>
      <c r="L9" s="7">
        <f>IFERROR(L5/L7,"-")</f>
        <v/>
      </c>
      <c r="M9" s="7">
        <f>IFERROR(M5/M7,"-")</f>
        <v/>
      </c>
      <c r="N9" s="7">
        <f>IFERROR(N5/N7,"-")</f>
        <v/>
      </c>
    </row>
    <row r="10">
      <c r="A10" s="6" t="inlineStr">
        <is>
          <t>Services % of total</t>
        </is>
      </c>
      <c r="B10" s="7">
        <f>IFERROR(B6/B7,"-")</f>
        <v/>
      </c>
      <c r="C10" s="7">
        <f>IFERROR(C6/C7,"-")</f>
        <v/>
      </c>
      <c r="D10" s="7">
        <f>IFERROR(D6/D7,"-")</f>
        <v/>
      </c>
      <c r="E10" s="7">
        <f>IFERROR(E6/E7,"-")</f>
        <v/>
      </c>
      <c r="F10" s="7">
        <f>IFERROR(F6/F7,"-")</f>
        <v/>
      </c>
      <c r="G10" s="7">
        <f>IFERROR(G6/G7,"-")</f>
        <v/>
      </c>
      <c r="H10" s="7">
        <f>IFERROR(H6/H7,"-")</f>
        <v/>
      </c>
      <c r="I10" s="7">
        <f>IFERROR(I6/I7,"-")</f>
        <v/>
      </c>
      <c r="J10" s="7">
        <f>IFERROR(J6/J7,"-")</f>
        <v/>
      </c>
      <c r="K10" s="7">
        <f>IFERROR(K6/K7,"-")</f>
        <v/>
      </c>
      <c r="L10" s="7">
        <f>IFERROR(L6/L7,"-")</f>
        <v/>
      </c>
      <c r="M10" s="7">
        <f>IFERROR(M6/M7,"-")</f>
        <v/>
      </c>
      <c r="N10" s="7">
        <f>IFERROR(N6/N7,"-")</f>
        <v/>
      </c>
    </row>
    <row r="12">
      <c r="A12" s="6" t="inlineStr">
        <is>
          <t>Software YoY growth</t>
        </is>
      </c>
      <c r="B12" s="14" t="inlineStr">
        <is>
          <t>-</t>
        </is>
      </c>
      <c r="C12" s="7">
        <f>IFERROR(C5/B5-1,"-")</f>
        <v/>
      </c>
      <c r="D12" s="7">
        <f>IFERROR(D5/C5-1,"-")</f>
        <v/>
      </c>
      <c r="E12" s="7">
        <f>IFERROR(E5/D5-1,"-")</f>
        <v/>
      </c>
      <c r="F12" s="7">
        <f>IFERROR(F5/E5-1,"-")</f>
        <v/>
      </c>
      <c r="G12" s="7">
        <f>IFERROR(G5/F5-1,"-")</f>
        <v/>
      </c>
      <c r="H12" s="7">
        <f>IFERROR(H5/G5-1,"-")</f>
        <v/>
      </c>
      <c r="I12" s="7">
        <f>IFERROR(I5/H5-1,"-")</f>
        <v/>
      </c>
      <c r="J12" s="7">
        <f>IFERROR(J5/I5-1,"-")</f>
        <v/>
      </c>
      <c r="K12" s="7">
        <f>IFERROR(K5/J5-1,"-")</f>
        <v/>
      </c>
      <c r="L12" s="7">
        <f>IFERROR(L5/K5-1,"-")</f>
        <v/>
      </c>
      <c r="M12" s="7">
        <f>IFERROR(M5/L5-1,"-")</f>
        <v/>
      </c>
      <c r="N12" s="7">
        <f>IFERROR(N5/M5-1,"-")</f>
        <v/>
      </c>
    </row>
    <row r="13">
      <c r="A13" s="6" t="inlineStr">
        <is>
          <t>Services YoY growth</t>
        </is>
      </c>
      <c r="B13" s="14" t="inlineStr">
        <is>
          <t>-</t>
        </is>
      </c>
      <c r="C13" s="7">
        <f>IFERROR(C6/B6-1,"-")</f>
        <v/>
      </c>
      <c r="D13" s="7">
        <f>IFERROR(D6/C6-1,"-")</f>
        <v/>
      </c>
      <c r="E13" s="7">
        <f>IFERROR(E6/D6-1,"-")</f>
        <v/>
      </c>
      <c r="F13" s="7">
        <f>IFERROR(F6/E6-1,"-")</f>
        <v/>
      </c>
      <c r="G13" s="7">
        <f>IFERROR(G6/F6-1,"-")</f>
        <v/>
      </c>
      <c r="H13" s="7">
        <f>IFERROR(H6/G6-1,"-")</f>
        <v/>
      </c>
      <c r="I13" s="7">
        <f>IFERROR(I6/H6-1,"-")</f>
        <v/>
      </c>
      <c r="J13" s="7">
        <f>IFERROR(J6/I6-1,"-")</f>
        <v/>
      </c>
      <c r="K13" s="7">
        <f>IFERROR(K6/J6-1,"-")</f>
        <v/>
      </c>
      <c r="L13" s="7">
        <f>IFERROR(L6/K6-1,"-")</f>
        <v/>
      </c>
      <c r="M13" s="7">
        <f>IFERROR(M6/L6-1,"-")</f>
        <v/>
      </c>
      <c r="N13" s="7">
        <f>IFERROR(N6/M6-1,"-")</f>
        <v/>
      </c>
    </row>
    <row r="15">
      <c r="A15" s="6" t="inlineStr">
        <is>
          <t># Software revenue lines</t>
        </is>
      </c>
      <c r="B15" s="10">
        <f>COUNTIFS(Source_Evolution!$B$3:$B$731,"Software",Source_Evolution!$E$3:$E$731,"&gt;0")</f>
        <v/>
      </c>
      <c r="C15" s="10">
        <f>COUNTIFS(Source_Evolution!$B$3:$B$731,"Software",Source_Evolution!$F$3:$F$731,"&gt;0")</f>
        <v/>
      </c>
      <c r="D15" s="10">
        <f>COUNTIFS(Source_Evolution!$B$3:$B$731,"Software",Source_Evolution!$G$3:$G$731,"&gt;0")</f>
        <v/>
      </c>
      <c r="E15" s="10">
        <f>COUNTIFS(Source_Evolution!$B$3:$B$731,"Software",Source_Evolution!$H$3:$H$731,"&gt;0")</f>
        <v/>
      </c>
      <c r="F15" s="10">
        <f>COUNTIFS(Source_Evolution!$B$3:$B$731,"Software",Source_Evolution!$I$3:$I$731,"&gt;0")</f>
        <v/>
      </c>
      <c r="G15" s="10">
        <f>COUNTIFS(Source_Evolution!$B$3:$B$731,"Software",Source_Evolution!$J$3:$J$731,"&gt;0")</f>
        <v/>
      </c>
      <c r="H15" s="10">
        <f>COUNTIFS(Source_Evolution!$B$3:$B$731,"Software",Source_Evolution!$K$3:$K$731,"&gt;0")</f>
        <v/>
      </c>
      <c r="I15" s="10">
        <f>COUNTIFS(Source_Evolution!$B$3:$B$731,"Software",Source_Evolution!$L$3:$L$731,"&gt;0")</f>
        <v/>
      </c>
      <c r="J15" s="10">
        <f>COUNTIFS(Source_Evolution!$B$3:$B$731,"Software",Source_Evolution!$M$3:$M$731,"&gt;0")</f>
        <v/>
      </c>
      <c r="K15" s="10">
        <f>COUNTIFS(Source_Evolution!$B$3:$B$731,"Software",Source_Evolution!$N$3:$N$731,"&gt;0")</f>
        <v/>
      </c>
      <c r="L15" s="10">
        <f>COUNTIFS(Source_Evolution!$B$3:$B$731,"Software",Source_Evolution!$O$3:$O$731,"&gt;0")</f>
        <v/>
      </c>
      <c r="M15" s="10">
        <f>COUNTIFS(Source_Evolution!$B$3:$B$731,"Software",Source_Evolution!$P$3:$P$731,"&gt;0")</f>
        <v/>
      </c>
      <c r="N15" s="10">
        <f>COUNTIFS(Source_Evolution!$B$3:$B$731,"Software",Source_Evolution!$Q$3:$Q$731,"&gt;0")</f>
        <v/>
      </c>
    </row>
    <row r="16">
      <c r="A16" s="6" t="inlineStr">
        <is>
          <t># Services revenue lines</t>
        </is>
      </c>
      <c r="B16" s="10">
        <f>COUNTIFS(Source_Evolution!$B$3:$B$731,"&lt;&gt;Software",Source_Evolution!$E$3:$E$731,"&gt;0")</f>
        <v/>
      </c>
      <c r="C16" s="10">
        <f>COUNTIFS(Source_Evolution!$B$3:$B$731,"&lt;&gt;Software",Source_Evolution!$F$3:$F$731,"&gt;0")</f>
        <v/>
      </c>
      <c r="D16" s="10">
        <f>COUNTIFS(Source_Evolution!$B$3:$B$731,"&lt;&gt;Software",Source_Evolution!$G$3:$G$731,"&gt;0")</f>
        <v/>
      </c>
      <c r="E16" s="10">
        <f>COUNTIFS(Source_Evolution!$B$3:$B$731,"&lt;&gt;Software",Source_Evolution!$H$3:$H$731,"&gt;0")</f>
        <v/>
      </c>
      <c r="F16" s="10">
        <f>COUNTIFS(Source_Evolution!$B$3:$B$731,"&lt;&gt;Software",Source_Evolution!$I$3:$I$731,"&gt;0")</f>
        <v/>
      </c>
      <c r="G16" s="10">
        <f>COUNTIFS(Source_Evolution!$B$3:$B$731,"&lt;&gt;Software",Source_Evolution!$J$3:$J$731,"&gt;0")</f>
        <v/>
      </c>
      <c r="H16" s="10">
        <f>COUNTIFS(Source_Evolution!$B$3:$B$731,"&lt;&gt;Software",Source_Evolution!$K$3:$K$731,"&gt;0")</f>
        <v/>
      </c>
      <c r="I16" s="10">
        <f>COUNTIFS(Source_Evolution!$B$3:$B$731,"&lt;&gt;Software",Source_Evolution!$L$3:$L$731,"&gt;0")</f>
        <v/>
      </c>
      <c r="J16" s="10">
        <f>COUNTIFS(Source_Evolution!$B$3:$B$731,"&lt;&gt;Software",Source_Evolution!$M$3:$M$731,"&gt;0")</f>
        <v/>
      </c>
      <c r="K16" s="10">
        <f>COUNTIFS(Source_Evolution!$B$3:$B$731,"&lt;&gt;Software",Source_Evolution!$N$3:$N$731,"&gt;0")</f>
        <v/>
      </c>
      <c r="L16" s="10">
        <f>COUNTIFS(Source_Evolution!$B$3:$B$731,"&lt;&gt;Software",Source_Evolution!$O$3:$O$731,"&gt;0")</f>
        <v/>
      </c>
      <c r="M16" s="10">
        <f>COUNTIFS(Source_Evolution!$B$3:$B$731,"&lt;&gt;Software",Source_Evolution!$P$3:$P$731,"&gt;0")</f>
        <v/>
      </c>
      <c r="N16" s="10">
        <f>COUNTIFS(Source_Evolution!$B$3:$B$731,"&lt;&gt;Software",Source_Evolution!$Q$3:$Q$731,"&gt;0")</f>
        <v/>
      </c>
    </row>
  </sheetData>
  <conditionalFormatting sqref="C12:N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13:N1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73B57"/>
    <outlinePr summaryBelow="1" summaryRight="1"/>
    <pageSetUpPr/>
  </sheetPr>
  <dimension ref="A1:O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Revenue by Department (£ GBP)</t>
        </is>
      </c>
    </row>
    <row r="3">
      <c r="A3" s="3" t="inlineStr">
        <is>
          <t>Department</t>
        </is>
      </c>
      <c r="B3" s="3" t="inlineStr">
        <is>
          <t>FY2014A</t>
        </is>
      </c>
      <c r="C3" s="3" t="inlineStr">
        <is>
          <t>FY2015A</t>
        </is>
      </c>
      <c r="D3" s="3" t="inlineStr">
        <is>
          <t>FY2016A</t>
        </is>
      </c>
      <c r="E3" s="3" t="inlineStr">
        <is>
          <t>FY2017A</t>
        </is>
      </c>
      <c r="F3" s="3" t="inlineStr">
        <is>
          <t>FY2018A</t>
        </is>
      </c>
      <c r="G3" s="3" t="inlineStr">
        <is>
          <t>FY2019A</t>
        </is>
      </c>
      <c r="H3" s="3" t="inlineStr">
        <is>
          <t>FY2020A</t>
        </is>
      </c>
      <c r="I3" s="3" t="inlineStr">
        <is>
          <t>FY2021A</t>
        </is>
      </c>
      <c r="J3" s="3" t="inlineStr">
        <is>
          <t>FY2022A</t>
        </is>
      </c>
      <c r="K3" s="3" t="inlineStr">
        <is>
          <t>FY2023A</t>
        </is>
      </c>
      <c r="L3" s="3" t="inlineStr">
        <is>
          <t>FY2024A</t>
        </is>
      </c>
      <c r="M3" s="3" t="inlineStr">
        <is>
          <t>FY2025A</t>
        </is>
      </c>
      <c r="N3" s="3" t="inlineStr">
        <is>
          <t>FY2026A</t>
        </is>
      </c>
      <c r="O3" s="3" t="inlineStr">
        <is>
          <t>CAGR FY14-FY26</t>
        </is>
      </c>
    </row>
    <row r="4">
      <c r="A4" s="6" t="inlineStr">
        <is>
          <t>Software</t>
        </is>
      </c>
      <c r="B4" s="10">
        <f>SUMIFS(Source_Evolution!$E$3:$E$731,Source_Evolution!$B$3:$B$731,"Software")</f>
        <v/>
      </c>
      <c r="C4" s="10">
        <f>SUMIFS(Source_Evolution!$F$3:$F$731,Source_Evolution!$B$3:$B$731,"Software")</f>
        <v/>
      </c>
      <c r="D4" s="10">
        <f>SUMIFS(Source_Evolution!$G$3:$G$731,Source_Evolution!$B$3:$B$731,"Software")</f>
        <v/>
      </c>
      <c r="E4" s="10">
        <f>SUMIFS(Source_Evolution!$H$3:$H$731,Source_Evolution!$B$3:$B$731,"Software")</f>
        <v/>
      </c>
      <c r="F4" s="10">
        <f>SUMIFS(Source_Evolution!$I$3:$I$731,Source_Evolution!$B$3:$B$731,"Software")</f>
        <v/>
      </c>
      <c r="G4" s="10">
        <f>SUMIFS(Source_Evolution!$J$3:$J$731,Source_Evolution!$B$3:$B$731,"Software")</f>
        <v/>
      </c>
      <c r="H4" s="10">
        <f>SUMIFS(Source_Evolution!$K$3:$K$731,Source_Evolution!$B$3:$B$731,"Software")</f>
        <v/>
      </c>
      <c r="I4" s="10">
        <f>SUMIFS(Source_Evolution!$L$3:$L$731,Source_Evolution!$B$3:$B$731,"Software")</f>
        <v/>
      </c>
      <c r="J4" s="10">
        <f>SUMIFS(Source_Evolution!$M$3:$M$731,Source_Evolution!$B$3:$B$731,"Software")</f>
        <v/>
      </c>
      <c r="K4" s="10">
        <f>SUMIFS(Source_Evolution!$N$3:$N$731,Source_Evolution!$B$3:$B$731,"Software")</f>
        <v/>
      </c>
      <c r="L4" s="10">
        <f>SUMIFS(Source_Evolution!$O$3:$O$731,Source_Evolution!$B$3:$B$731,"Software")</f>
        <v/>
      </c>
      <c r="M4" s="10">
        <f>SUMIFS(Source_Evolution!$P$3:$P$731,Source_Evolution!$B$3:$B$731,"Software")</f>
        <v/>
      </c>
      <c r="N4" s="10">
        <f>SUMIFS(Source_Evolution!$Q$3:$Q$731,Source_Evolution!$B$3:$B$731,"Software")</f>
        <v/>
      </c>
      <c r="O4" s="7">
        <f>IFERROR((N4/B4)^(1/12)-1,"-")</f>
        <v/>
      </c>
    </row>
    <row r="5">
      <c r="A5" s="6" t="inlineStr">
        <is>
          <t>Operations</t>
        </is>
      </c>
      <c r="B5" s="10">
        <f>SUMIFS(Source_Evolution!$E$3:$E$731,Source_Evolution!$B$3:$B$731,"Operations")</f>
        <v/>
      </c>
      <c r="C5" s="10">
        <f>SUMIFS(Source_Evolution!$F$3:$F$731,Source_Evolution!$B$3:$B$731,"Operations")</f>
        <v/>
      </c>
      <c r="D5" s="10">
        <f>SUMIFS(Source_Evolution!$G$3:$G$731,Source_Evolution!$B$3:$B$731,"Operations")</f>
        <v/>
      </c>
      <c r="E5" s="10">
        <f>SUMIFS(Source_Evolution!$H$3:$H$731,Source_Evolution!$B$3:$B$731,"Operations")</f>
        <v/>
      </c>
      <c r="F5" s="10">
        <f>SUMIFS(Source_Evolution!$I$3:$I$731,Source_Evolution!$B$3:$B$731,"Operations")</f>
        <v/>
      </c>
      <c r="G5" s="10">
        <f>SUMIFS(Source_Evolution!$J$3:$J$731,Source_Evolution!$B$3:$B$731,"Operations")</f>
        <v/>
      </c>
      <c r="H5" s="10">
        <f>SUMIFS(Source_Evolution!$K$3:$K$731,Source_Evolution!$B$3:$B$731,"Operations")</f>
        <v/>
      </c>
      <c r="I5" s="10">
        <f>SUMIFS(Source_Evolution!$L$3:$L$731,Source_Evolution!$B$3:$B$731,"Operations")</f>
        <v/>
      </c>
      <c r="J5" s="10">
        <f>SUMIFS(Source_Evolution!$M$3:$M$731,Source_Evolution!$B$3:$B$731,"Operations")</f>
        <v/>
      </c>
      <c r="K5" s="10">
        <f>SUMIFS(Source_Evolution!$N$3:$N$731,Source_Evolution!$B$3:$B$731,"Operations")</f>
        <v/>
      </c>
      <c r="L5" s="10">
        <f>SUMIFS(Source_Evolution!$O$3:$O$731,Source_Evolution!$B$3:$B$731,"Operations")</f>
        <v/>
      </c>
      <c r="M5" s="10">
        <f>SUMIFS(Source_Evolution!$P$3:$P$731,Source_Evolution!$B$3:$B$731,"Operations")</f>
        <v/>
      </c>
      <c r="N5" s="10">
        <f>SUMIFS(Source_Evolution!$Q$3:$Q$731,Source_Evolution!$B$3:$B$731,"Operations")</f>
        <v/>
      </c>
      <c r="O5" s="7">
        <f>IFERROR((N5/B5)^(1/12)-1,"-")</f>
        <v/>
      </c>
    </row>
    <row r="6">
      <c r="A6" s="6" t="inlineStr">
        <is>
          <t>CVA</t>
        </is>
      </c>
      <c r="B6" s="10">
        <f>SUMIFS(Source_Evolution!$E$3:$E$731,Source_Evolution!$B$3:$B$731,"CVA")</f>
        <v/>
      </c>
      <c r="C6" s="10">
        <f>SUMIFS(Source_Evolution!$F$3:$F$731,Source_Evolution!$B$3:$B$731,"CVA")</f>
        <v/>
      </c>
      <c r="D6" s="10">
        <f>SUMIFS(Source_Evolution!$G$3:$G$731,Source_Evolution!$B$3:$B$731,"CVA")</f>
        <v/>
      </c>
      <c r="E6" s="10">
        <f>SUMIFS(Source_Evolution!$H$3:$H$731,Source_Evolution!$B$3:$B$731,"CVA")</f>
        <v/>
      </c>
      <c r="F6" s="10">
        <f>SUMIFS(Source_Evolution!$I$3:$I$731,Source_Evolution!$B$3:$B$731,"CVA")</f>
        <v/>
      </c>
      <c r="G6" s="10">
        <f>SUMIFS(Source_Evolution!$J$3:$J$731,Source_Evolution!$B$3:$B$731,"CVA")</f>
        <v/>
      </c>
      <c r="H6" s="10">
        <f>SUMIFS(Source_Evolution!$K$3:$K$731,Source_Evolution!$B$3:$B$731,"CVA")</f>
        <v/>
      </c>
      <c r="I6" s="10">
        <f>SUMIFS(Source_Evolution!$L$3:$L$731,Source_Evolution!$B$3:$B$731,"CVA")</f>
        <v/>
      </c>
      <c r="J6" s="10">
        <f>SUMIFS(Source_Evolution!$M$3:$M$731,Source_Evolution!$B$3:$B$731,"CVA")</f>
        <v/>
      </c>
      <c r="K6" s="10">
        <f>SUMIFS(Source_Evolution!$N$3:$N$731,Source_Evolution!$B$3:$B$731,"CVA")</f>
        <v/>
      </c>
      <c r="L6" s="10">
        <f>SUMIFS(Source_Evolution!$O$3:$O$731,Source_Evolution!$B$3:$B$731,"CVA")</f>
        <v/>
      </c>
      <c r="M6" s="10">
        <f>SUMIFS(Source_Evolution!$P$3:$P$731,Source_Evolution!$B$3:$B$731,"CVA")</f>
        <v/>
      </c>
      <c r="N6" s="10">
        <f>SUMIFS(Source_Evolution!$Q$3:$Q$731,Source_Evolution!$B$3:$B$731,"CVA")</f>
        <v/>
      </c>
      <c r="O6" s="7">
        <f>IFERROR((N6/B6)^(1/12)-1,"-")</f>
        <v/>
      </c>
    </row>
    <row r="7">
      <c r="A7" s="6" t="inlineStr">
        <is>
          <t>Power</t>
        </is>
      </c>
      <c r="B7" s="10">
        <f>SUMIFS(Source_Evolution!$E$3:$E$731,Source_Evolution!$B$3:$B$731,"Power")</f>
        <v/>
      </c>
      <c r="C7" s="10">
        <f>SUMIFS(Source_Evolution!$F$3:$F$731,Source_Evolution!$B$3:$B$731,"Power")</f>
        <v/>
      </c>
      <c r="D7" s="10">
        <f>SUMIFS(Source_Evolution!$G$3:$G$731,Source_Evolution!$B$3:$B$731,"Power")</f>
        <v/>
      </c>
      <c r="E7" s="10">
        <f>SUMIFS(Source_Evolution!$H$3:$H$731,Source_Evolution!$B$3:$B$731,"Power")</f>
        <v/>
      </c>
      <c r="F7" s="10">
        <f>SUMIFS(Source_Evolution!$I$3:$I$731,Source_Evolution!$B$3:$B$731,"Power")</f>
        <v/>
      </c>
      <c r="G7" s="10">
        <f>SUMIFS(Source_Evolution!$J$3:$J$731,Source_Evolution!$B$3:$B$731,"Power")</f>
        <v/>
      </c>
      <c r="H7" s="10">
        <f>SUMIFS(Source_Evolution!$K$3:$K$731,Source_Evolution!$B$3:$B$731,"Power")</f>
        <v/>
      </c>
      <c r="I7" s="10">
        <f>SUMIFS(Source_Evolution!$L$3:$L$731,Source_Evolution!$B$3:$B$731,"Power")</f>
        <v/>
      </c>
      <c r="J7" s="10">
        <f>SUMIFS(Source_Evolution!$M$3:$M$731,Source_Evolution!$B$3:$B$731,"Power")</f>
        <v/>
      </c>
      <c r="K7" s="10">
        <f>SUMIFS(Source_Evolution!$N$3:$N$731,Source_Evolution!$B$3:$B$731,"Power")</f>
        <v/>
      </c>
      <c r="L7" s="10">
        <f>SUMIFS(Source_Evolution!$O$3:$O$731,Source_Evolution!$B$3:$B$731,"Power")</f>
        <v/>
      </c>
      <c r="M7" s="10">
        <f>SUMIFS(Source_Evolution!$P$3:$P$731,Source_Evolution!$B$3:$B$731,"Power")</f>
        <v/>
      </c>
      <c r="N7" s="10">
        <f>SUMIFS(Source_Evolution!$Q$3:$Q$731,Source_Evolution!$B$3:$B$731,"Power")</f>
        <v/>
      </c>
      <c r="O7" s="7">
        <f>IFERROR((N7/B7)^(1/12)-1,"-")</f>
        <v/>
      </c>
    </row>
    <row r="8">
      <c r="A8" s="4" t="inlineStr">
        <is>
          <t>Total</t>
        </is>
      </c>
      <c r="B8" s="12">
        <f>SUM(B4:B7)</f>
        <v/>
      </c>
      <c r="C8" s="12">
        <f>SUM(C4:C7)</f>
        <v/>
      </c>
      <c r="D8" s="12">
        <f>SUM(D4:D7)</f>
        <v/>
      </c>
      <c r="E8" s="12">
        <f>SUM(E4:E7)</f>
        <v/>
      </c>
      <c r="F8" s="12">
        <f>SUM(F4:F7)</f>
        <v/>
      </c>
      <c r="G8" s="12">
        <f>SUM(G4:G7)</f>
        <v/>
      </c>
      <c r="H8" s="12">
        <f>SUM(H4:H7)</f>
        <v/>
      </c>
      <c r="I8" s="12">
        <f>SUM(I4:I7)</f>
        <v/>
      </c>
      <c r="J8" s="12">
        <f>SUM(J4:J7)</f>
        <v/>
      </c>
      <c r="K8" s="12">
        <f>SUM(K4:K7)</f>
        <v/>
      </c>
      <c r="L8" s="12">
        <f>SUM(L4:L7)</f>
        <v/>
      </c>
      <c r="M8" s="12">
        <f>SUM(M4:M7)</f>
        <v/>
      </c>
      <c r="N8" s="12">
        <f>SUM(N4:N7)</f>
        <v/>
      </c>
      <c r="O8" s="13">
        <f>IFERROR((N8/B8)^(1/12)-1,"-")</f>
        <v/>
      </c>
    </row>
    <row r="10">
      <c r="A10" s="9" t="inlineStr">
        <is>
          <t>% Mix</t>
        </is>
      </c>
    </row>
    <row r="11">
      <c r="A11" s="6" t="inlineStr">
        <is>
          <t>Software</t>
        </is>
      </c>
      <c r="B11" s="7">
        <f>IFERROR(B4/B8,"-")</f>
        <v/>
      </c>
      <c r="C11" s="7">
        <f>IFERROR(C4/C8,"-")</f>
        <v/>
      </c>
      <c r="D11" s="7">
        <f>IFERROR(D4/D8,"-")</f>
        <v/>
      </c>
      <c r="E11" s="7">
        <f>IFERROR(E4/E8,"-")</f>
        <v/>
      </c>
      <c r="F11" s="7">
        <f>IFERROR(F4/F8,"-")</f>
        <v/>
      </c>
      <c r="G11" s="7">
        <f>IFERROR(G4/G8,"-")</f>
        <v/>
      </c>
      <c r="H11" s="7">
        <f>IFERROR(H4/H8,"-")</f>
        <v/>
      </c>
      <c r="I11" s="7">
        <f>IFERROR(I4/I8,"-")</f>
        <v/>
      </c>
      <c r="J11" s="7">
        <f>IFERROR(J4/J8,"-")</f>
        <v/>
      </c>
      <c r="K11" s="7">
        <f>IFERROR(K4/K8,"-")</f>
        <v/>
      </c>
      <c r="L11" s="7">
        <f>IFERROR(L4/L8,"-")</f>
        <v/>
      </c>
      <c r="M11" s="7">
        <f>IFERROR(M4/M8,"-")</f>
        <v/>
      </c>
      <c r="N11" s="7">
        <f>IFERROR(N4/N8,"-")</f>
        <v/>
      </c>
    </row>
    <row r="12">
      <c r="A12" s="6" t="inlineStr">
        <is>
          <t>Operations</t>
        </is>
      </c>
      <c r="B12" s="7">
        <f>IFERROR(B5/B8,"-")</f>
        <v/>
      </c>
      <c r="C12" s="7">
        <f>IFERROR(C5/C8,"-")</f>
        <v/>
      </c>
      <c r="D12" s="7">
        <f>IFERROR(D5/D8,"-")</f>
        <v/>
      </c>
      <c r="E12" s="7">
        <f>IFERROR(E5/E8,"-")</f>
        <v/>
      </c>
      <c r="F12" s="7">
        <f>IFERROR(F5/F8,"-")</f>
        <v/>
      </c>
      <c r="G12" s="7">
        <f>IFERROR(G5/G8,"-")</f>
        <v/>
      </c>
      <c r="H12" s="7">
        <f>IFERROR(H5/H8,"-")</f>
        <v/>
      </c>
      <c r="I12" s="7">
        <f>IFERROR(I5/I8,"-")</f>
        <v/>
      </c>
      <c r="J12" s="7">
        <f>IFERROR(J5/J8,"-")</f>
        <v/>
      </c>
      <c r="K12" s="7">
        <f>IFERROR(K5/K8,"-")</f>
        <v/>
      </c>
      <c r="L12" s="7">
        <f>IFERROR(L5/L8,"-")</f>
        <v/>
      </c>
      <c r="M12" s="7">
        <f>IFERROR(M5/M8,"-")</f>
        <v/>
      </c>
      <c r="N12" s="7">
        <f>IFERROR(N5/N8,"-")</f>
        <v/>
      </c>
    </row>
    <row r="13">
      <c r="A13" s="6" t="inlineStr">
        <is>
          <t>CVA</t>
        </is>
      </c>
      <c r="B13" s="7">
        <f>IFERROR(B6/B8,"-")</f>
        <v/>
      </c>
      <c r="C13" s="7">
        <f>IFERROR(C6/C8,"-")</f>
        <v/>
      </c>
      <c r="D13" s="7">
        <f>IFERROR(D6/D8,"-")</f>
        <v/>
      </c>
      <c r="E13" s="7">
        <f>IFERROR(E6/E8,"-")</f>
        <v/>
      </c>
      <c r="F13" s="7">
        <f>IFERROR(F6/F8,"-")</f>
        <v/>
      </c>
      <c r="G13" s="7">
        <f>IFERROR(G6/G8,"-")</f>
        <v/>
      </c>
      <c r="H13" s="7">
        <f>IFERROR(H6/H8,"-")</f>
        <v/>
      </c>
      <c r="I13" s="7">
        <f>IFERROR(I6/I8,"-")</f>
        <v/>
      </c>
      <c r="J13" s="7">
        <f>IFERROR(J6/J8,"-")</f>
        <v/>
      </c>
      <c r="K13" s="7">
        <f>IFERROR(K6/K8,"-")</f>
        <v/>
      </c>
      <c r="L13" s="7">
        <f>IFERROR(L6/L8,"-")</f>
        <v/>
      </c>
      <c r="M13" s="7">
        <f>IFERROR(M6/M8,"-")</f>
        <v/>
      </c>
      <c r="N13" s="7">
        <f>IFERROR(N6/N8,"-")</f>
        <v/>
      </c>
    </row>
    <row r="14">
      <c r="A14" s="6" t="inlineStr">
        <is>
          <t>Power</t>
        </is>
      </c>
      <c r="B14" s="7">
        <f>IFERROR(B7/B8,"-")</f>
        <v/>
      </c>
      <c r="C14" s="7">
        <f>IFERROR(C7/C8,"-")</f>
        <v/>
      </c>
      <c r="D14" s="7">
        <f>IFERROR(D7/D8,"-")</f>
        <v/>
      </c>
      <c r="E14" s="7">
        <f>IFERROR(E7/E8,"-")</f>
        <v/>
      </c>
      <c r="F14" s="7">
        <f>IFERROR(F7/F8,"-")</f>
        <v/>
      </c>
      <c r="G14" s="7">
        <f>IFERROR(G7/G8,"-")</f>
        <v/>
      </c>
      <c r="H14" s="7">
        <f>IFERROR(H7/H8,"-")</f>
        <v/>
      </c>
      <c r="I14" s="7">
        <f>IFERROR(I7/I8,"-")</f>
        <v/>
      </c>
      <c r="J14" s="7">
        <f>IFERROR(J7/J8,"-")</f>
        <v/>
      </c>
      <c r="K14" s="7">
        <f>IFERROR(K7/K8,"-")</f>
        <v/>
      </c>
      <c r="L14" s="7">
        <f>IFERROR(L7/L8,"-")</f>
        <v/>
      </c>
      <c r="M14" s="7">
        <f>IFERROR(M7/M8,"-")</f>
        <v/>
      </c>
      <c r="N14" s="7">
        <f>IFERROR(N7/N8,"-")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73B57"/>
    <outlinePr summaryBelow="1" summaryRight="1"/>
    <pageSetUpPr/>
  </sheetPr>
  <dimension ref="A1:P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Revenue by Product (£ GBP)</t>
        </is>
      </c>
    </row>
    <row r="3">
      <c r="A3" s="3" t="inlineStr">
        <is>
          <t>Product</t>
        </is>
      </c>
      <c r="B3" s="3" t="inlineStr">
        <is>
          <t>FY2014A</t>
        </is>
      </c>
      <c r="C3" s="3" t="inlineStr">
        <is>
          <t>FY2015A</t>
        </is>
      </c>
      <c r="D3" s="3" t="inlineStr">
        <is>
          <t>FY2016A</t>
        </is>
      </c>
      <c r="E3" s="3" t="inlineStr">
        <is>
          <t>FY2017A</t>
        </is>
      </c>
      <c r="F3" s="3" t="inlineStr">
        <is>
          <t>FY2018A</t>
        </is>
      </c>
      <c r="G3" s="3" t="inlineStr">
        <is>
          <t>FY2019A</t>
        </is>
      </c>
      <c r="H3" s="3" t="inlineStr">
        <is>
          <t>FY2020A</t>
        </is>
      </c>
      <c r="I3" s="3" t="inlineStr">
        <is>
          <t>FY2021A</t>
        </is>
      </c>
      <c r="J3" s="3" t="inlineStr">
        <is>
          <t>FY2022A</t>
        </is>
      </c>
      <c r="K3" s="3" t="inlineStr">
        <is>
          <t>FY2023A</t>
        </is>
      </c>
      <c r="L3" s="3" t="inlineStr">
        <is>
          <t>FY2024A</t>
        </is>
      </c>
      <c r="M3" s="3" t="inlineStr">
        <is>
          <t>FY2025A</t>
        </is>
      </c>
      <c r="N3" s="3" t="inlineStr">
        <is>
          <t>FY2026A</t>
        </is>
      </c>
      <c r="O3" s="3" t="inlineStr">
        <is>
          <t>CAGR FY14-FY26</t>
        </is>
      </c>
      <c r="P3" s="3" t="inlineStr">
        <is>
          <t>% of FY26</t>
        </is>
      </c>
    </row>
    <row r="4">
      <c r="A4" s="6" t="inlineStr">
        <is>
          <t>CVA</t>
        </is>
      </c>
      <c r="B4" s="10">
        <f>SUMIFS(Source_Evolution!$E$3:$E$731,Source_Evolution!$C$3:$C$731,"CVA")</f>
        <v/>
      </c>
      <c r="C4" s="10">
        <f>SUMIFS(Source_Evolution!$F$3:$F$731,Source_Evolution!$C$3:$C$731,"CVA")</f>
        <v/>
      </c>
      <c r="D4" s="10">
        <f>SUMIFS(Source_Evolution!$G$3:$G$731,Source_Evolution!$C$3:$C$731,"CVA")</f>
        <v/>
      </c>
      <c r="E4" s="10">
        <f>SUMIFS(Source_Evolution!$H$3:$H$731,Source_Evolution!$C$3:$C$731,"CVA")</f>
        <v/>
      </c>
      <c r="F4" s="10">
        <f>SUMIFS(Source_Evolution!$I$3:$I$731,Source_Evolution!$C$3:$C$731,"CVA")</f>
        <v/>
      </c>
      <c r="G4" s="10">
        <f>SUMIFS(Source_Evolution!$J$3:$J$731,Source_Evolution!$C$3:$C$731,"CVA")</f>
        <v/>
      </c>
      <c r="H4" s="10">
        <f>SUMIFS(Source_Evolution!$K$3:$K$731,Source_Evolution!$C$3:$C$731,"CVA")</f>
        <v/>
      </c>
      <c r="I4" s="10">
        <f>SUMIFS(Source_Evolution!$L$3:$L$731,Source_Evolution!$C$3:$C$731,"CVA")</f>
        <v/>
      </c>
      <c r="J4" s="10">
        <f>SUMIFS(Source_Evolution!$M$3:$M$731,Source_Evolution!$C$3:$C$731,"CVA")</f>
        <v/>
      </c>
      <c r="K4" s="10">
        <f>SUMIFS(Source_Evolution!$N$3:$N$731,Source_Evolution!$C$3:$C$731,"CVA")</f>
        <v/>
      </c>
      <c r="L4" s="10">
        <f>SUMIFS(Source_Evolution!$O$3:$O$731,Source_Evolution!$C$3:$C$731,"CVA")</f>
        <v/>
      </c>
      <c r="M4" s="10">
        <f>SUMIFS(Source_Evolution!$P$3:$P$731,Source_Evolution!$C$3:$C$731,"CVA")</f>
        <v/>
      </c>
      <c r="N4" s="10">
        <f>SUMIFS(Source_Evolution!$Q$3:$Q$731,Source_Evolution!$C$3:$C$731,"CVA")</f>
        <v/>
      </c>
      <c r="O4" s="7">
        <f>IFERROR((N4/B4)^(1/12)-1,"-")</f>
        <v/>
      </c>
      <c r="P4" s="7">
        <f>IFERROR(N4/N$23,"-")</f>
        <v/>
      </c>
    </row>
    <row r="5">
      <c r="A5" s="6" t="inlineStr">
        <is>
          <t>Chorus</t>
        </is>
      </c>
      <c r="B5" s="10">
        <f>SUMIFS(Source_Evolution!$E$3:$E$731,Source_Evolution!$C$3:$C$731,"Chorus")</f>
        <v/>
      </c>
      <c r="C5" s="10">
        <f>SUMIFS(Source_Evolution!$F$3:$F$731,Source_Evolution!$C$3:$C$731,"Chorus")</f>
        <v/>
      </c>
      <c r="D5" s="10">
        <f>SUMIFS(Source_Evolution!$G$3:$G$731,Source_Evolution!$C$3:$C$731,"Chorus")</f>
        <v/>
      </c>
      <c r="E5" s="10">
        <f>SUMIFS(Source_Evolution!$H$3:$H$731,Source_Evolution!$C$3:$C$731,"Chorus")</f>
        <v/>
      </c>
      <c r="F5" s="10">
        <f>SUMIFS(Source_Evolution!$I$3:$I$731,Source_Evolution!$C$3:$C$731,"Chorus")</f>
        <v/>
      </c>
      <c r="G5" s="10">
        <f>SUMIFS(Source_Evolution!$J$3:$J$731,Source_Evolution!$C$3:$C$731,"Chorus")</f>
        <v/>
      </c>
      <c r="H5" s="10">
        <f>SUMIFS(Source_Evolution!$K$3:$K$731,Source_Evolution!$C$3:$C$731,"Chorus")</f>
        <v/>
      </c>
      <c r="I5" s="10">
        <f>SUMIFS(Source_Evolution!$L$3:$L$731,Source_Evolution!$C$3:$C$731,"Chorus")</f>
        <v/>
      </c>
      <c r="J5" s="10">
        <f>SUMIFS(Source_Evolution!$M$3:$M$731,Source_Evolution!$C$3:$C$731,"Chorus")</f>
        <v/>
      </c>
      <c r="K5" s="10">
        <f>SUMIFS(Source_Evolution!$N$3:$N$731,Source_Evolution!$C$3:$C$731,"Chorus")</f>
        <v/>
      </c>
      <c r="L5" s="10">
        <f>SUMIFS(Source_Evolution!$O$3:$O$731,Source_Evolution!$C$3:$C$731,"Chorus")</f>
        <v/>
      </c>
      <c r="M5" s="10">
        <f>SUMIFS(Source_Evolution!$P$3:$P$731,Source_Evolution!$C$3:$C$731,"Chorus")</f>
        <v/>
      </c>
      <c r="N5" s="10">
        <f>SUMIFS(Source_Evolution!$Q$3:$Q$731,Source_Evolution!$C$3:$C$731,"Chorus")</f>
        <v/>
      </c>
      <c r="O5" s="7">
        <f>IFERROR((N5/B5)^(1/12)-1,"-")</f>
        <v/>
      </c>
      <c r="P5" s="7">
        <f>IFERROR(N5/N$23,"-")</f>
        <v/>
      </c>
    </row>
    <row r="6">
      <c r="A6" s="6" t="inlineStr">
        <is>
          <t>CodeRunner</t>
        </is>
      </c>
      <c r="B6" s="10">
        <f>SUMIFS(Source_Evolution!$E$3:$E$731,Source_Evolution!$C$3:$C$731,"CodeRunner")</f>
        <v/>
      </c>
      <c r="C6" s="10">
        <f>SUMIFS(Source_Evolution!$F$3:$F$731,Source_Evolution!$C$3:$C$731,"CodeRunner")</f>
        <v/>
      </c>
      <c r="D6" s="10">
        <f>SUMIFS(Source_Evolution!$G$3:$G$731,Source_Evolution!$C$3:$C$731,"CodeRunner")</f>
        <v/>
      </c>
      <c r="E6" s="10">
        <f>SUMIFS(Source_Evolution!$H$3:$H$731,Source_Evolution!$C$3:$C$731,"CodeRunner")</f>
        <v/>
      </c>
      <c r="F6" s="10">
        <f>SUMIFS(Source_Evolution!$I$3:$I$731,Source_Evolution!$C$3:$C$731,"CodeRunner")</f>
        <v/>
      </c>
      <c r="G6" s="10">
        <f>SUMIFS(Source_Evolution!$J$3:$J$731,Source_Evolution!$C$3:$C$731,"CodeRunner")</f>
        <v/>
      </c>
      <c r="H6" s="10">
        <f>SUMIFS(Source_Evolution!$K$3:$K$731,Source_Evolution!$C$3:$C$731,"CodeRunner")</f>
        <v/>
      </c>
      <c r="I6" s="10">
        <f>SUMIFS(Source_Evolution!$L$3:$L$731,Source_Evolution!$C$3:$C$731,"CodeRunner")</f>
        <v/>
      </c>
      <c r="J6" s="10">
        <f>SUMIFS(Source_Evolution!$M$3:$M$731,Source_Evolution!$C$3:$C$731,"CodeRunner")</f>
        <v/>
      </c>
      <c r="K6" s="10">
        <f>SUMIFS(Source_Evolution!$N$3:$N$731,Source_Evolution!$C$3:$C$731,"CodeRunner")</f>
        <v/>
      </c>
      <c r="L6" s="10">
        <f>SUMIFS(Source_Evolution!$O$3:$O$731,Source_Evolution!$C$3:$C$731,"CodeRunner")</f>
        <v/>
      </c>
      <c r="M6" s="10">
        <f>SUMIFS(Source_Evolution!$P$3:$P$731,Source_Evolution!$C$3:$C$731,"CodeRunner")</f>
        <v/>
      </c>
      <c r="N6" s="10">
        <f>SUMIFS(Source_Evolution!$Q$3:$Q$731,Source_Evolution!$C$3:$C$731,"CodeRunner")</f>
        <v/>
      </c>
      <c r="O6" s="7">
        <f>IFERROR((N6/B6)^(1/12)-1,"-")</f>
        <v/>
      </c>
      <c r="P6" s="7">
        <f>IFERROR(N6/N$23,"-")</f>
        <v/>
      </c>
    </row>
    <row r="7">
      <c r="A7" s="6" t="inlineStr">
        <is>
          <t>Demand Text</t>
        </is>
      </c>
      <c r="B7" s="10">
        <f>SUMIFS(Source_Evolution!$E$3:$E$731,Source_Evolution!$C$3:$C$731,"Demand Text")</f>
        <v/>
      </c>
      <c r="C7" s="10">
        <f>SUMIFS(Source_Evolution!$F$3:$F$731,Source_Evolution!$C$3:$C$731,"Demand Text")</f>
        <v/>
      </c>
      <c r="D7" s="10">
        <f>SUMIFS(Source_Evolution!$G$3:$G$731,Source_Evolution!$C$3:$C$731,"Demand Text")</f>
        <v/>
      </c>
      <c r="E7" s="10">
        <f>SUMIFS(Source_Evolution!$H$3:$H$731,Source_Evolution!$C$3:$C$731,"Demand Text")</f>
        <v/>
      </c>
      <c r="F7" s="10">
        <f>SUMIFS(Source_Evolution!$I$3:$I$731,Source_Evolution!$C$3:$C$731,"Demand Text")</f>
        <v/>
      </c>
      <c r="G7" s="10">
        <f>SUMIFS(Source_Evolution!$J$3:$J$731,Source_Evolution!$C$3:$C$731,"Demand Text")</f>
        <v/>
      </c>
      <c r="H7" s="10">
        <f>SUMIFS(Source_Evolution!$K$3:$K$731,Source_Evolution!$C$3:$C$731,"Demand Text")</f>
        <v/>
      </c>
      <c r="I7" s="10">
        <f>SUMIFS(Source_Evolution!$L$3:$L$731,Source_Evolution!$C$3:$C$731,"Demand Text")</f>
        <v/>
      </c>
      <c r="J7" s="10">
        <f>SUMIFS(Source_Evolution!$M$3:$M$731,Source_Evolution!$C$3:$C$731,"Demand Text")</f>
        <v/>
      </c>
      <c r="K7" s="10">
        <f>SUMIFS(Source_Evolution!$N$3:$N$731,Source_Evolution!$C$3:$C$731,"Demand Text")</f>
        <v/>
      </c>
      <c r="L7" s="10">
        <f>SUMIFS(Source_Evolution!$O$3:$O$731,Source_Evolution!$C$3:$C$731,"Demand Text")</f>
        <v/>
      </c>
      <c r="M7" s="10">
        <f>SUMIFS(Source_Evolution!$P$3:$P$731,Source_Evolution!$C$3:$C$731,"Demand Text")</f>
        <v/>
      </c>
      <c r="N7" s="10">
        <f>SUMIFS(Source_Evolution!$Q$3:$Q$731,Source_Evolution!$C$3:$C$731,"Demand Text")</f>
        <v/>
      </c>
      <c r="O7" s="7">
        <f>IFERROR((N7/B7)^(1/12)-1,"-")</f>
        <v/>
      </c>
      <c r="P7" s="7">
        <f>IFERROR(N7/N$23,"-")</f>
        <v/>
      </c>
    </row>
    <row r="8">
      <c r="A8" s="6" t="inlineStr">
        <is>
          <t>ENOM</t>
        </is>
      </c>
      <c r="B8" s="10">
        <f>SUMIFS(Source_Evolution!$E$3:$E$731,Source_Evolution!$C$3:$C$731,"ENOM")</f>
        <v/>
      </c>
      <c r="C8" s="10">
        <f>SUMIFS(Source_Evolution!$F$3:$F$731,Source_Evolution!$C$3:$C$731,"ENOM")</f>
        <v/>
      </c>
      <c r="D8" s="10">
        <f>SUMIFS(Source_Evolution!$G$3:$G$731,Source_Evolution!$C$3:$C$731,"ENOM")</f>
        <v/>
      </c>
      <c r="E8" s="10">
        <f>SUMIFS(Source_Evolution!$H$3:$H$731,Source_Evolution!$C$3:$C$731,"ENOM")</f>
        <v/>
      </c>
      <c r="F8" s="10">
        <f>SUMIFS(Source_Evolution!$I$3:$I$731,Source_Evolution!$C$3:$C$731,"ENOM")</f>
        <v/>
      </c>
      <c r="G8" s="10">
        <f>SUMIFS(Source_Evolution!$J$3:$J$731,Source_Evolution!$C$3:$C$731,"ENOM")</f>
        <v/>
      </c>
      <c r="H8" s="10">
        <f>SUMIFS(Source_Evolution!$K$3:$K$731,Source_Evolution!$C$3:$C$731,"ENOM")</f>
        <v/>
      </c>
      <c r="I8" s="10">
        <f>SUMIFS(Source_Evolution!$L$3:$L$731,Source_Evolution!$C$3:$C$731,"ENOM")</f>
        <v/>
      </c>
      <c r="J8" s="10">
        <f>SUMIFS(Source_Evolution!$M$3:$M$731,Source_Evolution!$C$3:$C$731,"ENOM")</f>
        <v/>
      </c>
      <c r="K8" s="10">
        <f>SUMIFS(Source_Evolution!$N$3:$N$731,Source_Evolution!$C$3:$C$731,"ENOM")</f>
        <v/>
      </c>
      <c r="L8" s="10">
        <f>SUMIFS(Source_Evolution!$O$3:$O$731,Source_Evolution!$C$3:$C$731,"ENOM")</f>
        <v/>
      </c>
      <c r="M8" s="10">
        <f>SUMIFS(Source_Evolution!$P$3:$P$731,Source_Evolution!$C$3:$C$731,"ENOM")</f>
        <v/>
      </c>
      <c r="N8" s="10">
        <f>SUMIFS(Source_Evolution!$Q$3:$Q$731,Source_Evolution!$C$3:$C$731,"ENOM")</f>
        <v/>
      </c>
      <c r="O8" s="7">
        <f>IFERROR((N8/B8)^(1/12)-1,"-")</f>
        <v/>
      </c>
      <c r="P8" s="7">
        <f>IFERROR(N8/N$23,"-")</f>
        <v/>
      </c>
    </row>
    <row r="9">
      <c r="A9" s="6" t="inlineStr">
        <is>
          <t>ENOM+</t>
        </is>
      </c>
      <c r="B9" s="10">
        <f>SUMIFS(Source_Evolution!$E$3:$E$731,Source_Evolution!$C$3:$C$731,"ENOM+")</f>
        <v/>
      </c>
      <c r="C9" s="10">
        <f>SUMIFS(Source_Evolution!$F$3:$F$731,Source_Evolution!$C$3:$C$731,"ENOM+")</f>
        <v/>
      </c>
      <c r="D9" s="10">
        <f>SUMIFS(Source_Evolution!$G$3:$G$731,Source_Evolution!$C$3:$C$731,"ENOM+")</f>
        <v/>
      </c>
      <c r="E9" s="10">
        <f>SUMIFS(Source_Evolution!$H$3:$H$731,Source_Evolution!$C$3:$C$731,"ENOM+")</f>
        <v/>
      </c>
      <c r="F9" s="10">
        <f>SUMIFS(Source_Evolution!$I$3:$I$731,Source_Evolution!$C$3:$C$731,"ENOM+")</f>
        <v/>
      </c>
      <c r="G9" s="10">
        <f>SUMIFS(Source_Evolution!$J$3:$J$731,Source_Evolution!$C$3:$C$731,"ENOM+")</f>
        <v/>
      </c>
      <c r="H9" s="10">
        <f>SUMIFS(Source_Evolution!$K$3:$K$731,Source_Evolution!$C$3:$C$731,"ENOM+")</f>
        <v/>
      </c>
      <c r="I9" s="10">
        <f>SUMIFS(Source_Evolution!$L$3:$L$731,Source_Evolution!$C$3:$C$731,"ENOM+")</f>
        <v/>
      </c>
      <c r="J9" s="10">
        <f>SUMIFS(Source_Evolution!$M$3:$M$731,Source_Evolution!$C$3:$C$731,"ENOM+")</f>
        <v/>
      </c>
      <c r="K9" s="10">
        <f>SUMIFS(Source_Evolution!$N$3:$N$731,Source_Evolution!$C$3:$C$731,"ENOM+")</f>
        <v/>
      </c>
      <c r="L9" s="10">
        <f>SUMIFS(Source_Evolution!$O$3:$O$731,Source_Evolution!$C$3:$C$731,"ENOM+")</f>
        <v/>
      </c>
      <c r="M9" s="10">
        <f>SUMIFS(Source_Evolution!$P$3:$P$731,Source_Evolution!$C$3:$C$731,"ENOM+")</f>
        <v/>
      </c>
      <c r="N9" s="10">
        <f>SUMIFS(Source_Evolution!$Q$3:$Q$731,Source_Evolution!$C$3:$C$731,"ENOM+")</f>
        <v/>
      </c>
      <c r="O9" s="7">
        <f>IFERROR((N9/B9)^(1/12)-1,"-")</f>
        <v/>
      </c>
      <c r="P9" s="7">
        <f>IFERROR(N9/N$23,"-")</f>
        <v/>
      </c>
    </row>
    <row r="10">
      <c r="A10" s="6" t="inlineStr">
        <is>
          <t>EuroRunner</t>
        </is>
      </c>
      <c r="B10" s="10">
        <f>SUMIFS(Source_Evolution!$E$3:$E$731,Source_Evolution!$C$3:$C$731,"EuroRunner")</f>
        <v/>
      </c>
      <c r="C10" s="10">
        <f>SUMIFS(Source_Evolution!$F$3:$F$731,Source_Evolution!$C$3:$C$731,"EuroRunner")</f>
        <v/>
      </c>
      <c r="D10" s="10">
        <f>SUMIFS(Source_Evolution!$G$3:$G$731,Source_Evolution!$C$3:$C$731,"EuroRunner")</f>
        <v/>
      </c>
      <c r="E10" s="10">
        <f>SUMIFS(Source_Evolution!$H$3:$H$731,Source_Evolution!$C$3:$C$731,"EuroRunner")</f>
        <v/>
      </c>
      <c r="F10" s="10">
        <f>SUMIFS(Source_Evolution!$I$3:$I$731,Source_Evolution!$C$3:$C$731,"EuroRunner")</f>
        <v/>
      </c>
      <c r="G10" s="10">
        <f>SUMIFS(Source_Evolution!$J$3:$J$731,Source_Evolution!$C$3:$C$731,"EuroRunner")</f>
        <v/>
      </c>
      <c r="H10" s="10">
        <f>SUMIFS(Source_Evolution!$K$3:$K$731,Source_Evolution!$C$3:$C$731,"EuroRunner")</f>
        <v/>
      </c>
      <c r="I10" s="10">
        <f>SUMIFS(Source_Evolution!$L$3:$L$731,Source_Evolution!$C$3:$C$731,"EuroRunner")</f>
        <v/>
      </c>
      <c r="J10" s="10">
        <f>SUMIFS(Source_Evolution!$M$3:$M$731,Source_Evolution!$C$3:$C$731,"EuroRunner")</f>
        <v/>
      </c>
      <c r="K10" s="10">
        <f>SUMIFS(Source_Evolution!$N$3:$N$731,Source_Evolution!$C$3:$C$731,"EuroRunner")</f>
        <v/>
      </c>
      <c r="L10" s="10">
        <f>SUMIFS(Source_Evolution!$O$3:$O$731,Source_Evolution!$C$3:$C$731,"EuroRunner")</f>
        <v/>
      </c>
      <c r="M10" s="10">
        <f>SUMIFS(Source_Evolution!$P$3:$P$731,Source_Evolution!$C$3:$C$731,"EuroRunner")</f>
        <v/>
      </c>
      <c r="N10" s="10">
        <f>SUMIFS(Source_Evolution!$Q$3:$Q$731,Source_Evolution!$C$3:$C$731,"EuroRunner")</f>
        <v/>
      </c>
      <c r="O10" s="7">
        <f>IFERROR((N10/B10)^(1/12)-1,"-")</f>
        <v/>
      </c>
      <c r="P10" s="7">
        <f>IFERROR(N10/N$23,"-")</f>
        <v/>
      </c>
    </row>
    <row r="11">
      <c r="A11" s="6" t="inlineStr">
        <is>
          <t>Fluxys Software</t>
        </is>
      </c>
      <c r="B11" s="10">
        <f>SUMIFS(Source_Evolution!$E$3:$E$731,Source_Evolution!$C$3:$C$731,"Fluxys Software")</f>
        <v/>
      </c>
      <c r="C11" s="10">
        <f>SUMIFS(Source_Evolution!$F$3:$F$731,Source_Evolution!$C$3:$C$731,"Fluxys Software")</f>
        <v/>
      </c>
      <c r="D11" s="10">
        <f>SUMIFS(Source_Evolution!$G$3:$G$731,Source_Evolution!$C$3:$C$731,"Fluxys Software")</f>
        <v/>
      </c>
      <c r="E11" s="10">
        <f>SUMIFS(Source_Evolution!$H$3:$H$731,Source_Evolution!$C$3:$C$731,"Fluxys Software")</f>
        <v/>
      </c>
      <c r="F11" s="10">
        <f>SUMIFS(Source_Evolution!$I$3:$I$731,Source_Evolution!$C$3:$C$731,"Fluxys Software")</f>
        <v/>
      </c>
      <c r="G11" s="10">
        <f>SUMIFS(Source_Evolution!$J$3:$J$731,Source_Evolution!$C$3:$C$731,"Fluxys Software")</f>
        <v/>
      </c>
      <c r="H11" s="10">
        <f>SUMIFS(Source_Evolution!$K$3:$K$731,Source_Evolution!$C$3:$C$731,"Fluxys Software")</f>
        <v/>
      </c>
      <c r="I11" s="10">
        <f>SUMIFS(Source_Evolution!$L$3:$L$731,Source_Evolution!$C$3:$C$731,"Fluxys Software")</f>
        <v/>
      </c>
      <c r="J11" s="10">
        <f>SUMIFS(Source_Evolution!$M$3:$M$731,Source_Evolution!$C$3:$C$731,"Fluxys Software")</f>
        <v/>
      </c>
      <c r="K11" s="10">
        <f>SUMIFS(Source_Evolution!$N$3:$N$731,Source_Evolution!$C$3:$C$731,"Fluxys Software")</f>
        <v/>
      </c>
      <c r="L11" s="10">
        <f>SUMIFS(Source_Evolution!$O$3:$O$731,Source_Evolution!$C$3:$C$731,"Fluxys Software")</f>
        <v/>
      </c>
      <c r="M11" s="10">
        <f>SUMIFS(Source_Evolution!$P$3:$P$731,Source_Evolution!$C$3:$C$731,"Fluxys Software")</f>
        <v/>
      </c>
      <c r="N11" s="10">
        <f>SUMIFS(Source_Evolution!$Q$3:$Q$731,Source_Evolution!$C$3:$C$731,"Fluxys Software")</f>
        <v/>
      </c>
      <c r="O11" s="7">
        <f>IFERROR((N11/B11)^(1/12)-1,"-")</f>
        <v/>
      </c>
      <c r="P11" s="7">
        <f>IFERROR(N11/N$23,"-")</f>
        <v/>
      </c>
    </row>
    <row r="12">
      <c r="A12" s="6" t="inlineStr">
        <is>
          <t>Hosting</t>
        </is>
      </c>
      <c r="B12" s="10">
        <f>SUMIFS(Source_Evolution!$E$3:$E$731,Source_Evolution!$C$3:$C$731,"Hosting")</f>
        <v/>
      </c>
      <c r="C12" s="10">
        <f>SUMIFS(Source_Evolution!$F$3:$F$731,Source_Evolution!$C$3:$C$731,"Hosting")</f>
        <v/>
      </c>
      <c r="D12" s="10">
        <f>SUMIFS(Source_Evolution!$G$3:$G$731,Source_Evolution!$C$3:$C$731,"Hosting")</f>
        <v/>
      </c>
      <c r="E12" s="10">
        <f>SUMIFS(Source_Evolution!$H$3:$H$731,Source_Evolution!$C$3:$C$731,"Hosting")</f>
        <v/>
      </c>
      <c r="F12" s="10">
        <f>SUMIFS(Source_Evolution!$I$3:$I$731,Source_Evolution!$C$3:$C$731,"Hosting")</f>
        <v/>
      </c>
      <c r="G12" s="10">
        <f>SUMIFS(Source_Evolution!$J$3:$J$731,Source_Evolution!$C$3:$C$731,"Hosting")</f>
        <v/>
      </c>
      <c r="H12" s="10">
        <f>SUMIFS(Source_Evolution!$K$3:$K$731,Source_Evolution!$C$3:$C$731,"Hosting")</f>
        <v/>
      </c>
      <c r="I12" s="10">
        <f>SUMIFS(Source_Evolution!$L$3:$L$731,Source_Evolution!$C$3:$C$731,"Hosting")</f>
        <v/>
      </c>
      <c r="J12" s="10">
        <f>SUMIFS(Source_Evolution!$M$3:$M$731,Source_Evolution!$C$3:$C$731,"Hosting")</f>
        <v/>
      </c>
      <c r="K12" s="10">
        <f>SUMIFS(Source_Evolution!$N$3:$N$731,Source_Evolution!$C$3:$C$731,"Hosting")</f>
        <v/>
      </c>
      <c r="L12" s="10">
        <f>SUMIFS(Source_Evolution!$O$3:$O$731,Source_Evolution!$C$3:$C$731,"Hosting")</f>
        <v/>
      </c>
      <c r="M12" s="10">
        <f>SUMIFS(Source_Evolution!$P$3:$P$731,Source_Evolution!$C$3:$C$731,"Hosting")</f>
        <v/>
      </c>
      <c r="N12" s="10">
        <f>SUMIFS(Source_Evolution!$Q$3:$Q$731,Source_Evolution!$C$3:$C$731,"Hosting")</f>
        <v/>
      </c>
      <c r="O12" s="7">
        <f>IFERROR((N12/B12)^(1/12)-1,"-")</f>
        <v/>
      </c>
      <c r="P12" s="7">
        <f>IFERROR(N12/N$23,"-")</f>
        <v/>
      </c>
    </row>
    <row r="13">
      <c r="A13" s="6" t="inlineStr">
        <is>
          <t>IT Other</t>
        </is>
      </c>
      <c r="B13" s="10">
        <f>SUMIFS(Source_Evolution!$E$3:$E$731,Source_Evolution!$C$3:$C$731,"IT Other")</f>
        <v/>
      </c>
      <c r="C13" s="10">
        <f>SUMIFS(Source_Evolution!$F$3:$F$731,Source_Evolution!$C$3:$C$731,"IT Other")</f>
        <v/>
      </c>
      <c r="D13" s="10">
        <f>SUMIFS(Source_Evolution!$G$3:$G$731,Source_Evolution!$C$3:$C$731,"IT Other")</f>
        <v/>
      </c>
      <c r="E13" s="10">
        <f>SUMIFS(Source_Evolution!$H$3:$H$731,Source_Evolution!$C$3:$C$731,"IT Other")</f>
        <v/>
      </c>
      <c r="F13" s="10">
        <f>SUMIFS(Source_Evolution!$I$3:$I$731,Source_Evolution!$C$3:$C$731,"IT Other")</f>
        <v/>
      </c>
      <c r="G13" s="10">
        <f>SUMIFS(Source_Evolution!$J$3:$J$731,Source_Evolution!$C$3:$C$731,"IT Other")</f>
        <v/>
      </c>
      <c r="H13" s="10">
        <f>SUMIFS(Source_Evolution!$K$3:$K$731,Source_Evolution!$C$3:$C$731,"IT Other")</f>
        <v/>
      </c>
      <c r="I13" s="10">
        <f>SUMIFS(Source_Evolution!$L$3:$L$731,Source_Evolution!$C$3:$C$731,"IT Other")</f>
        <v/>
      </c>
      <c r="J13" s="10">
        <f>SUMIFS(Source_Evolution!$M$3:$M$731,Source_Evolution!$C$3:$C$731,"IT Other")</f>
        <v/>
      </c>
      <c r="K13" s="10">
        <f>SUMIFS(Source_Evolution!$N$3:$N$731,Source_Evolution!$C$3:$C$731,"IT Other")</f>
        <v/>
      </c>
      <c r="L13" s="10">
        <f>SUMIFS(Source_Evolution!$O$3:$O$731,Source_Evolution!$C$3:$C$731,"IT Other")</f>
        <v/>
      </c>
      <c r="M13" s="10">
        <f>SUMIFS(Source_Evolution!$P$3:$P$731,Source_Evolution!$C$3:$C$731,"IT Other")</f>
        <v/>
      </c>
      <c r="N13" s="10">
        <f>SUMIFS(Source_Evolution!$Q$3:$Q$731,Source_Evolution!$C$3:$C$731,"IT Other")</f>
        <v/>
      </c>
      <c r="O13" s="7">
        <f>IFERROR((N13/B13)^(1/12)-1,"-")</f>
        <v/>
      </c>
      <c r="P13" s="7">
        <f>IFERROR(N13/N$23,"-")</f>
        <v/>
      </c>
    </row>
    <row r="14">
      <c r="A14" s="6" t="inlineStr">
        <is>
          <t>Inform</t>
        </is>
      </c>
      <c r="B14" s="10">
        <f>SUMIFS(Source_Evolution!$E$3:$E$731,Source_Evolution!$C$3:$C$731,"Inform")</f>
        <v/>
      </c>
      <c r="C14" s="10">
        <f>SUMIFS(Source_Evolution!$F$3:$F$731,Source_Evolution!$C$3:$C$731,"Inform")</f>
        <v/>
      </c>
      <c r="D14" s="10">
        <f>SUMIFS(Source_Evolution!$G$3:$G$731,Source_Evolution!$C$3:$C$731,"Inform")</f>
        <v/>
      </c>
      <c r="E14" s="10">
        <f>SUMIFS(Source_Evolution!$H$3:$H$731,Source_Evolution!$C$3:$C$731,"Inform")</f>
        <v/>
      </c>
      <c r="F14" s="10">
        <f>SUMIFS(Source_Evolution!$I$3:$I$731,Source_Evolution!$C$3:$C$731,"Inform")</f>
        <v/>
      </c>
      <c r="G14" s="10">
        <f>SUMIFS(Source_Evolution!$J$3:$J$731,Source_Evolution!$C$3:$C$731,"Inform")</f>
        <v/>
      </c>
      <c r="H14" s="10">
        <f>SUMIFS(Source_Evolution!$K$3:$K$731,Source_Evolution!$C$3:$C$731,"Inform")</f>
        <v/>
      </c>
      <c r="I14" s="10">
        <f>SUMIFS(Source_Evolution!$L$3:$L$731,Source_Evolution!$C$3:$C$731,"Inform")</f>
        <v/>
      </c>
      <c r="J14" s="10">
        <f>SUMIFS(Source_Evolution!$M$3:$M$731,Source_Evolution!$C$3:$C$731,"Inform")</f>
        <v/>
      </c>
      <c r="K14" s="10">
        <f>SUMIFS(Source_Evolution!$N$3:$N$731,Source_Evolution!$C$3:$C$731,"Inform")</f>
        <v/>
      </c>
      <c r="L14" s="10">
        <f>SUMIFS(Source_Evolution!$O$3:$O$731,Source_Evolution!$C$3:$C$731,"Inform")</f>
        <v/>
      </c>
      <c r="M14" s="10">
        <f>SUMIFS(Source_Evolution!$P$3:$P$731,Source_Evolution!$C$3:$C$731,"Inform")</f>
        <v/>
      </c>
      <c r="N14" s="10">
        <f>SUMIFS(Source_Evolution!$Q$3:$Q$731,Source_Evolution!$C$3:$C$731,"Inform")</f>
        <v/>
      </c>
      <c r="O14" s="7">
        <f>IFERROR((N14/B14)^(1/12)-1,"-")</f>
        <v/>
      </c>
      <c r="P14" s="7">
        <f>IFERROR(N14/N$23,"-")</f>
        <v/>
      </c>
    </row>
    <row r="15">
      <c r="A15" s="6" t="inlineStr">
        <is>
          <t>Market Gas</t>
        </is>
      </c>
      <c r="B15" s="10">
        <f>SUMIFS(Source_Evolution!$E$3:$E$731,Source_Evolution!$C$3:$C$731,"Market Gas")</f>
        <v/>
      </c>
      <c r="C15" s="10">
        <f>SUMIFS(Source_Evolution!$F$3:$F$731,Source_Evolution!$C$3:$C$731,"Market Gas")</f>
        <v/>
      </c>
      <c r="D15" s="10">
        <f>SUMIFS(Source_Evolution!$G$3:$G$731,Source_Evolution!$C$3:$C$731,"Market Gas")</f>
        <v/>
      </c>
      <c r="E15" s="10">
        <f>SUMIFS(Source_Evolution!$H$3:$H$731,Source_Evolution!$C$3:$C$731,"Market Gas")</f>
        <v/>
      </c>
      <c r="F15" s="10">
        <f>SUMIFS(Source_Evolution!$I$3:$I$731,Source_Evolution!$C$3:$C$731,"Market Gas")</f>
        <v/>
      </c>
      <c r="G15" s="10">
        <f>SUMIFS(Source_Evolution!$J$3:$J$731,Source_Evolution!$C$3:$C$731,"Market Gas")</f>
        <v/>
      </c>
      <c r="H15" s="10">
        <f>SUMIFS(Source_Evolution!$K$3:$K$731,Source_Evolution!$C$3:$C$731,"Market Gas")</f>
        <v/>
      </c>
      <c r="I15" s="10">
        <f>SUMIFS(Source_Evolution!$L$3:$L$731,Source_Evolution!$C$3:$C$731,"Market Gas")</f>
        <v/>
      </c>
      <c r="J15" s="10">
        <f>SUMIFS(Source_Evolution!$M$3:$M$731,Source_Evolution!$C$3:$C$731,"Market Gas")</f>
        <v/>
      </c>
      <c r="K15" s="10">
        <f>SUMIFS(Source_Evolution!$N$3:$N$731,Source_Evolution!$C$3:$C$731,"Market Gas")</f>
        <v/>
      </c>
      <c r="L15" s="10">
        <f>SUMIFS(Source_Evolution!$O$3:$O$731,Source_Evolution!$C$3:$C$731,"Market Gas")</f>
        <v/>
      </c>
      <c r="M15" s="10">
        <f>SUMIFS(Source_Evolution!$P$3:$P$731,Source_Evolution!$C$3:$C$731,"Market Gas")</f>
        <v/>
      </c>
      <c r="N15" s="10">
        <f>SUMIFS(Source_Evolution!$Q$3:$Q$731,Source_Evolution!$C$3:$C$731,"Market Gas")</f>
        <v/>
      </c>
      <c r="O15" s="7">
        <f>IFERROR((N15/B15)^(1/12)-1,"-")</f>
        <v/>
      </c>
      <c r="P15" s="7">
        <f>IFERROR(N15/N$23,"-")</f>
        <v/>
      </c>
    </row>
    <row r="16">
      <c r="A16" s="6" t="inlineStr">
        <is>
          <t>Market Power</t>
        </is>
      </c>
      <c r="B16" s="10">
        <f>SUMIFS(Source_Evolution!$E$3:$E$731,Source_Evolution!$C$3:$C$731,"Market Power")</f>
        <v/>
      </c>
      <c r="C16" s="10">
        <f>SUMIFS(Source_Evolution!$F$3:$F$731,Source_Evolution!$C$3:$C$731,"Market Power")</f>
        <v/>
      </c>
      <c r="D16" s="10">
        <f>SUMIFS(Source_Evolution!$G$3:$G$731,Source_Evolution!$C$3:$C$731,"Market Power")</f>
        <v/>
      </c>
      <c r="E16" s="10">
        <f>SUMIFS(Source_Evolution!$H$3:$H$731,Source_Evolution!$C$3:$C$731,"Market Power")</f>
        <v/>
      </c>
      <c r="F16" s="10">
        <f>SUMIFS(Source_Evolution!$I$3:$I$731,Source_Evolution!$C$3:$C$731,"Market Power")</f>
        <v/>
      </c>
      <c r="G16" s="10">
        <f>SUMIFS(Source_Evolution!$J$3:$J$731,Source_Evolution!$C$3:$C$731,"Market Power")</f>
        <v/>
      </c>
      <c r="H16" s="10">
        <f>SUMIFS(Source_Evolution!$K$3:$K$731,Source_Evolution!$C$3:$C$731,"Market Power")</f>
        <v/>
      </c>
      <c r="I16" s="10">
        <f>SUMIFS(Source_Evolution!$L$3:$L$731,Source_Evolution!$C$3:$C$731,"Market Power")</f>
        <v/>
      </c>
      <c r="J16" s="10">
        <f>SUMIFS(Source_Evolution!$M$3:$M$731,Source_Evolution!$C$3:$C$731,"Market Power")</f>
        <v/>
      </c>
      <c r="K16" s="10">
        <f>SUMIFS(Source_Evolution!$N$3:$N$731,Source_Evolution!$C$3:$C$731,"Market Power")</f>
        <v/>
      </c>
      <c r="L16" s="10">
        <f>SUMIFS(Source_Evolution!$O$3:$O$731,Source_Evolution!$C$3:$C$731,"Market Power")</f>
        <v/>
      </c>
      <c r="M16" s="10">
        <f>SUMIFS(Source_Evolution!$P$3:$P$731,Source_Evolution!$C$3:$C$731,"Market Power")</f>
        <v/>
      </c>
      <c r="N16" s="10">
        <f>SUMIFS(Source_Evolution!$Q$3:$Q$731,Source_Evolution!$C$3:$C$731,"Market Power")</f>
        <v/>
      </c>
      <c r="O16" s="7">
        <f>IFERROR((N16/B16)^(1/12)-1,"-")</f>
        <v/>
      </c>
      <c r="P16" s="7">
        <f>IFERROR(N16/N$23,"-")</f>
        <v/>
      </c>
    </row>
    <row r="17">
      <c r="A17" s="6" t="inlineStr">
        <is>
          <t>Operations Other</t>
        </is>
      </c>
      <c r="B17" s="10">
        <f>SUMIFS(Source_Evolution!$E$3:$E$731,Source_Evolution!$C$3:$C$731,"Operations Other")</f>
        <v/>
      </c>
      <c r="C17" s="10">
        <f>SUMIFS(Source_Evolution!$F$3:$F$731,Source_Evolution!$C$3:$C$731,"Operations Other")</f>
        <v/>
      </c>
      <c r="D17" s="10">
        <f>SUMIFS(Source_Evolution!$G$3:$G$731,Source_Evolution!$C$3:$C$731,"Operations Other")</f>
        <v/>
      </c>
      <c r="E17" s="10">
        <f>SUMIFS(Source_Evolution!$H$3:$H$731,Source_Evolution!$C$3:$C$731,"Operations Other")</f>
        <v/>
      </c>
      <c r="F17" s="10">
        <f>SUMIFS(Source_Evolution!$I$3:$I$731,Source_Evolution!$C$3:$C$731,"Operations Other")</f>
        <v/>
      </c>
      <c r="G17" s="10">
        <f>SUMIFS(Source_Evolution!$J$3:$J$731,Source_Evolution!$C$3:$C$731,"Operations Other")</f>
        <v/>
      </c>
      <c r="H17" s="10">
        <f>SUMIFS(Source_Evolution!$K$3:$K$731,Source_Evolution!$C$3:$C$731,"Operations Other")</f>
        <v/>
      </c>
      <c r="I17" s="10">
        <f>SUMIFS(Source_Evolution!$L$3:$L$731,Source_Evolution!$C$3:$C$731,"Operations Other")</f>
        <v/>
      </c>
      <c r="J17" s="10">
        <f>SUMIFS(Source_Evolution!$M$3:$M$731,Source_Evolution!$C$3:$C$731,"Operations Other")</f>
        <v/>
      </c>
      <c r="K17" s="10">
        <f>SUMIFS(Source_Evolution!$N$3:$N$731,Source_Evolution!$C$3:$C$731,"Operations Other")</f>
        <v/>
      </c>
      <c r="L17" s="10">
        <f>SUMIFS(Source_Evolution!$O$3:$O$731,Source_Evolution!$C$3:$C$731,"Operations Other")</f>
        <v/>
      </c>
      <c r="M17" s="10">
        <f>SUMIFS(Source_Evolution!$P$3:$P$731,Source_Evolution!$C$3:$C$731,"Operations Other")</f>
        <v/>
      </c>
      <c r="N17" s="10">
        <f>SUMIFS(Source_Evolution!$Q$3:$Q$731,Source_Evolution!$C$3:$C$731,"Operations Other")</f>
        <v/>
      </c>
      <c r="O17" s="7">
        <f>IFERROR((N17/B17)^(1/12)-1,"-")</f>
        <v/>
      </c>
      <c r="P17" s="7">
        <f>IFERROR(N17/N$23,"-")</f>
        <v/>
      </c>
    </row>
    <row r="18">
      <c r="A18" s="6" t="inlineStr">
        <is>
          <t>PowerTrak</t>
        </is>
      </c>
      <c r="B18" s="10">
        <f>SUMIFS(Source_Evolution!$E$3:$E$731,Source_Evolution!$C$3:$C$731,"PowerTrak")</f>
        <v/>
      </c>
      <c r="C18" s="10">
        <f>SUMIFS(Source_Evolution!$F$3:$F$731,Source_Evolution!$C$3:$C$731,"PowerTrak")</f>
        <v/>
      </c>
      <c r="D18" s="10">
        <f>SUMIFS(Source_Evolution!$G$3:$G$731,Source_Evolution!$C$3:$C$731,"PowerTrak")</f>
        <v/>
      </c>
      <c r="E18" s="10">
        <f>SUMIFS(Source_Evolution!$H$3:$H$731,Source_Evolution!$C$3:$C$731,"PowerTrak")</f>
        <v/>
      </c>
      <c r="F18" s="10">
        <f>SUMIFS(Source_Evolution!$I$3:$I$731,Source_Evolution!$C$3:$C$731,"PowerTrak")</f>
        <v/>
      </c>
      <c r="G18" s="10">
        <f>SUMIFS(Source_Evolution!$J$3:$J$731,Source_Evolution!$C$3:$C$731,"PowerTrak")</f>
        <v/>
      </c>
      <c r="H18" s="10">
        <f>SUMIFS(Source_Evolution!$K$3:$K$731,Source_Evolution!$C$3:$C$731,"PowerTrak")</f>
        <v/>
      </c>
      <c r="I18" s="10">
        <f>SUMIFS(Source_Evolution!$L$3:$L$731,Source_Evolution!$C$3:$C$731,"PowerTrak")</f>
        <v/>
      </c>
      <c r="J18" s="10">
        <f>SUMIFS(Source_Evolution!$M$3:$M$731,Source_Evolution!$C$3:$C$731,"PowerTrak")</f>
        <v/>
      </c>
      <c r="K18" s="10">
        <f>SUMIFS(Source_Evolution!$N$3:$N$731,Source_Evolution!$C$3:$C$731,"PowerTrak")</f>
        <v/>
      </c>
      <c r="L18" s="10">
        <f>SUMIFS(Source_Evolution!$O$3:$O$731,Source_Evolution!$C$3:$C$731,"PowerTrak")</f>
        <v/>
      </c>
      <c r="M18" s="10">
        <f>SUMIFS(Source_Evolution!$P$3:$P$731,Source_Evolution!$C$3:$C$731,"PowerTrak")</f>
        <v/>
      </c>
      <c r="N18" s="10">
        <f>SUMIFS(Source_Evolution!$Q$3:$Q$731,Source_Evolution!$C$3:$C$731,"PowerTrak")</f>
        <v/>
      </c>
      <c r="O18" s="7">
        <f>IFERROR((N18/B18)^(1/12)-1,"-")</f>
        <v/>
      </c>
      <c r="P18" s="7">
        <f>IFERROR(N18/N$23,"-")</f>
        <v/>
      </c>
    </row>
    <row r="19">
      <c r="A19" s="6" t="inlineStr">
        <is>
          <t>Routing</t>
        </is>
      </c>
      <c r="B19" s="10">
        <f>SUMIFS(Source_Evolution!$E$3:$E$731,Source_Evolution!$C$3:$C$731,"Routing")</f>
        <v/>
      </c>
      <c r="C19" s="10">
        <f>SUMIFS(Source_Evolution!$F$3:$F$731,Source_Evolution!$C$3:$C$731,"Routing")</f>
        <v/>
      </c>
      <c r="D19" s="10">
        <f>SUMIFS(Source_Evolution!$G$3:$G$731,Source_Evolution!$C$3:$C$731,"Routing")</f>
        <v/>
      </c>
      <c r="E19" s="10">
        <f>SUMIFS(Source_Evolution!$H$3:$H$731,Source_Evolution!$C$3:$C$731,"Routing")</f>
        <v/>
      </c>
      <c r="F19" s="10">
        <f>SUMIFS(Source_Evolution!$I$3:$I$731,Source_Evolution!$C$3:$C$731,"Routing")</f>
        <v/>
      </c>
      <c r="G19" s="10">
        <f>SUMIFS(Source_Evolution!$J$3:$J$731,Source_Evolution!$C$3:$C$731,"Routing")</f>
        <v/>
      </c>
      <c r="H19" s="10">
        <f>SUMIFS(Source_Evolution!$K$3:$K$731,Source_Evolution!$C$3:$C$731,"Routing")</f>
        <v/>
      </c>
      <c r="I19" s="10">
        <f>SUMIFS(Source_Evolution!$L$3:$L$731,Source_Evolution!$C$3:$C$731,"Routing")</f>
        <v/>
      </c>
      <c r="J19" s="10">
        <f>SUMIFS(Source_Evolution!$M$3:$M$731,Source_Evolution!$C$3:$C$731,"Routing")</f>
        <v/>
      </c>
      <c r="K19" s="10">
        <f>SUMIFS(Source_Evolution!$N$3:$N$731,Source_Evolution!$C$3:$C$731,"Routing")</f>
        <v/>
      </c>
      <c r="L19" s="10">
        <f>SUMIFS(Source_Evolution!$O$3:$O$731,Source_Evolution!$C$3:$C$731,"Routing")</f>
        <v/>
      </c>
      <c r="M19" s="10">
        <f>SUMIFS(Source_Evolution!$P$3:$P$731,Source_Evolution!$C$3:$C$731,"Routing")</f>
        <v/>
      </c>
      <c r="N19" s="10">
        <f>SUMIFS(Source_Evolution!$Q$3:$Q$731,Source_Evolution!$C$3:$C$731,"Routing")</f>
        <v/>
      </c>
      <c r="O19" s="7">
        <f>IFERROR((N19/B19)^(1/12)-1,"-")</f>
        <v/>
      </c>
      <c r="P19" s="7">
        <f>IFERROR(N19/N$23,"-")</f>
        <v/>
      </c>
    </row>
    <row r="20">
      <c r="A20" s="6" t="inlineStr">
        <is>
          <t>Shipper Gas</t>
        </is>
      </c>
      <c r="B20" s="10">
        <f>SUMIFS(Source_Evolution!$E$3:$E$731,Source_Evolution!$C$3:$C$731,"Shipper Gas")</f>
        <v/>
      </c>
      <c r="C20" s="10">
        <f>SUMIFS(Source_Evolution!$F$3:$F$731,Source_Evolution!$C$3:$C$731,"Shipper Gas")</f>
        <v/>
      </c>
      <c r="D20" s="10">
        <f>SUMIFS(Source_Evolution!$G$3:$G$731,Source_Evolution!$C$3:$C$731,"Shipper Gas")</f>
        <v/>
      </c>
      <c r="E20" s="10">
        <f>SUMIFS(Source_Evolution!$H$3:$H$731,Source_Evolution!$C$3:$C$731,"Shipper Gas")</f>
        <v/>
      </c>
      <c r="F20" s="10">
        <f>SUMIFS(Source_Evolution!$I$3:$I$731,Source_Evolution!$C$3:$C$731,"Shipper Gas")</f>
        <v/>
      </c>
      <c r="G20" s="10">
        <f>SUMIFS(Source_Evolution!$J$3:$J$731,Source_Evolution!$C$3:$C$731,"Shipper Gas")</f>
        <v/>
      </c>
      <c r="H20" s="10">
        <f>SUMIFS(Source_Evolution!$K$3:$K$731,Source_Evolution!$C$3:$C$731,"Shipper Gas")</f>
        <v/>
      </c>
      <c r="I20" s="10">
        <f>SUMIFS(Source_Evolution!$L$3:$L$731,Source_Evolution!$C$3:$C$731,"Shipper Gas")</f>
        <v/>
      </c>
      <c r="J20" s="10">
        <f>SUMIFS(Source_Evolution!$M$3:$M$731,Source_Evolution!$C$3:$C$731,"Shipper Gas")</f>
        <v/>
      </c>
      <c r="K20" s="10">
        <f>SUMIFS(Source_Evolution!$N$3:$N$731,Source_Evolution!$C$3:$C$731,"Shipper Gas")</f>
        <v/>
      </c>
      <c r="L20" s="10">
        <f>SUMIFS(Source_Evolution!$O$3:$O$731,Source_Evolution!$C$3:$C$731,"Shipper Gas")</f>
        <v/>
      </c>
      <c r="M20" s="10">
        <f>SUMIFS(Source_Evolution!$P$3:$P$731,Source_Evolution!$C$3:$C$731,"Shipper Gas")</f>
        <v/>
      </c>
      <c r="N20" s="10">
        <f>SUMIFS(Source_Evolution!$Q$3:$Q$731,Source_Evolution!$C$3:$C$731,"Shipper Gas")</f>
        <v/>
      </c>
      <c r="O20" s="7">
        <f>IFERROR((N20/B20)^(1/12)-1,"-")</f>
        <v/>
      </c>
      <c r="P20" s="7">
        <f>IFERROR(N20/N$23,"-")</f>
        <v/>
      </c>
    </row>
    <row r="21">
      <c r="A21" s="6" t="inlineStr">
        <is>
          <t>Shipper Power</t>
        </is>
      </c>
      <c r="B21" s="10">
        <f>SUMIFS(Source_Evolution!$E$3:$E$731,Source_Evolution!$C$3:$C$731,"Shipper Power")</f>
        <v/>
      </c>
      <c r="C21" s="10">
        <f>SUMIFS(Source_Evolution!$F$3:$F$731,Source_Evolution!$C$3:$C$731,"Shipper Power")</f>
        <v/>
      </c>
      <c r="D21" s="10">
        <f>SUMIFS(Source_Evolution!$G$3:$G$731,Source_Evolution!$C$3:$C$731,"Shipper Power")</f>
        <v/>
      </c>
      <c r="E21" s="10">
        <f>SUMIFS(Source_Evolution!$H$3:$H$731,Source_Evolution!$C$3:$C$731,"Shipper Power")</f>
        <v/>
      </c>
      <c r="F21" s="10">
        <f>SUMIFS(Source_Evolution!$I$3:$I$731,Source_Evolution!$C$3:$C$731,"Shipper Power")</f>
        <v/>
      </c>
      <c r="G21" s="10">
        <f>SUMIFS(Source_Evolution!$J$3:$J$731,Source_Evolution!$C$3:$C$731,"Shipper Power")</f>
        <v/>
      </c>
      <c r="H21" s="10">
        <f>SUMIFS(Source_Evolution!$K$3:$K$731,Source_Evolution!$C$3:$C$731,"Shipper Power")</f>
        <v/>
      </c>
      <c r="I21" s="10">
        <f>SUMIFS(Source_Evolution!$L$3:$L$731,Source_Evolution!$C$3:$C$731,"Shipper Power")</f>
        <v/>
      </c>
      <c r="J21" s="10">
        <f>SUMIFS(Source_Evolution!$M$3:$M$731,Source_Evolution!$C$3:$C$731,"Shipper Power")</f>
        <v/>
      </c>
      <c r="K21" s="10">
        <f>SUMIFS(Source_Evolution!$N$3:$N$731,Source_Evolution!$C$3:$C$731,"Shipper Power")</f>
        <v/>
      </c>
      <c r="L21" s="10">
        <f>SUMIFS(Source_Evolution!$O$3:$O$731,Source_Evolution!$C$3:$C$731,"Shipper Power")</f>
        <v/>
      </c>
      <c r="M21" s="10">
        <f>SUMIFS(Source_Evolution!$P$3:$P$731,Source_Evolution!$C$3:$C$731,"Shipper Power")</f>
        <v/>
      </c>
      <c r="N21" s="10">
        <f>SUMIFS(Source_Evolution!$Q$3:$Q$731,Source_Evolution!$C$3:$C$731,"Shipper Power")</f>
        <v/>
      </c>
      <c r="O21" s="7">
        <f>IFERROR((N21/B21)^(1/12)-1,"-")</f>
        <v/>
      </c>
      <c r="P21" s="7">
        <f>IFERROR(N21/N$23,"-")</f>
        <v/>
      </c>
    </row>
    <row r="22">
      <c r="A22" s="6" t="inlineStr">
        <is>
          <t>Training</t>
        </is>
      </c>
      <c r="B22" s="10">
        <f>SUMIFS(Source_Evolution!$E$3:$E$731,Source_Evolution!$C$3:$C$731,"Training")</f>
        <v/>
      </c>
      <c r="C22" s="10">
        <f>SUMIFS(Source_Evolution!$F$3:$F$731,Source_Evolution!$C$3:$C$731,"Training")</f>
        <v/>
      </c>
      <c r="D22" s="10">
        <f>SUMIFS(Source_Evolution!$G$3:$G$731,Source_Evolution!$C$3:$C$731,"Training")</f>
        <v/>
      </c>
      <c r="E22" s="10">
        <f>SUMIFS(Source_Evolution!$H$3:$H$731,Source_Evolution!$C$3:$C$731,"Training")</f>
        <v/>
      </c>
      <c r="F22" s="10">
        <f>SUMIFS(Source_Evolution!$I$3:$I$731,Source_Evolution!$C$3:$C$731,"Training")</f>
        <v/>
      </c>
      <c r="G22" s="10">
        <f>SUMIFS(Source_Evolution!$J$3:$J$731,Source_Evolution!$C$3:$C$731,"Training")</f>
        <v/>
      </c>
      <c r="H22" s="10">
        <f>SUMIFS(Source_Evolution!$K$3:$K$731,Source_Evolution!$C$3:$C$731,"Training")</f>
        <v/>
      </c>
      <c r="I22" s="10">
        <f>SUMIFS(Source_Evolution!$L$3:$L$731,Source_Evolution!$C$3:$C$731,"Training")</f>
        <v/>
      </c>
      <c r="J22" s="10">
        <f>SUMIFS(Source_Evolution!$M$3:$M$731,Source_Evolution!$C$3:$C$731,"Training")</f>
        <v/>
      </c>
      <c r="K22" s="10">
        <f>SUMIFS(Source_Evolution!$N$3:$N$731,Source_Evolution!$C$3:$C$731,"Training")</f>
        <v/>
      </c>
      <c r="L22" s="10">
        <f>SUMIFS(Source_Evolution!$O$3:$O$731,Source_Evolution!$C$3:$C$731,"Training")</f>
        <v/>
      </c>
      <c r="M22" s="10">
        <f>SUMIFS(Source_Evolution!$P$3:$P$731,Source_Evolution!$C$3:$C$731,"Training")</f>
        <v/>
      </c>
      <c r="N22" s="10">
        <f>SUMIFS(Source_Evolution!$Q$3:$Q$731,Source_Evolution!$C$3:$C$731,"Training")</f>
        <v/>
      </c>
      <c r="O22" s="7">
        <f>IFERROR((N22/B22)^(1/12)-1,"-")</f>
        <v/>
      </c>
      <c r="P22" s="7">
        <f>IFERROR(N22/N$23,"-")</f>
        <v/>
      </c>
    </row>
    <row r="23">
      <c r="A23" s="4" t="inlineStr">
        <is>
          <t>Total</t>
        </is>
      </c>
      <c r="B23" s="12">
        <f>SUM(B4:B22)</f>
        <v/>
      </c>
      <c r="C23" s="12">
        <f>SUM(C4:C22)</f>
        <v/>
      </c>
      <c r="D23" s="12">
        <f>SUM(D4:D22)</f>
        <v/>
      </c>
      <c r="E23" s="12">
        <f>SUM(E4:E22)</f>
        <v/>
      </c>
      <c r="F23" s="12">
        <f>SUM(F4:F22)</f>
        <v/>
      </c>
      <c r="G23" s="12">
        <f>SUM(G4:G22)</f>
        <v/>
      </c>
      <c r="H23" s="12">
        <f>SUM(H4:H22)</f>
        <v/>
      </c>
      <c r="I23" s="12">
        <f>SUM(I4:I22)</f>
        <v/>
      </c>
      <c r="J23" s="12">
        <f>SUM(J4:J22)</f>
        <v/>
      </c>
      <c r="K23" s="12">
        <f>SUM(K4:K22)</f>
        <v/>
      </c>
      <c r="L23" s="12">
        <f>SUM(L4:L22)</f>
        <v/>
      </c>
      <c r="M23" s="12">
        <f>SUM(M4:M22)</f>
        <v/>
      </c>
      <c r="N23" s="12">
        <f>SUM(N4:N22)</f>
        <v/>
      </c>
      <c r="O23" s="13">
        <f>IFERROR((N23/B23)^(1/12)-1,"-")</f>
        <v/>
      </c>
      <c r="P23" s="13">
        <f>IFERROR(N23/N23,"-")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73B57"/>
    <outlinePr summaryBelow="1" summaryRight="1"/>
    <pageSetUpPr/>
  </sheetPr>
  <dimension ref="A1:P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Revenue by Country (£ GBP)</t>
        </is>
      </c>
    </row>
    <row r="3">
      <c r="A3" s="3" t="inlineStr">
        <is>
          <t>Country</t>
        </is>
      </c>
      <c r="B3" s="3" t="inlineStr">
        <is>
          <t>FY2014A</t>
        </is>
      </c>
      <c r="C3" s="3" t="inlineStr">
        <is>
          <t>FY2015A</t>
        </is>
      </c>
      <c r="D3" s="3" t="inlineStr">
        <is>
          <t>FY2016A</t>
        </is>
      </c>
      <c r="E3" s="3" t="inlineStr">
        <is>
          <t>FY2017A</t>
        </is>
      </c>
      <c r="F3" s="3" t="inlineStr">
        <is>
          <t>FY2018A</t>
        </is>
      </c>
      <c r="G3" s="3" t="inlineStr">
        <is>
          <t>FY2019A</t>
        </is>
      </c>
      <c r="H3" s="3" t="inlineStr">
        <is>
          <t>FY2020A</t>
        </is>
      </c>
      <c r="I3" s="3" t="inlineStr">
        <is>
          <t>FY2021A</t>
        </is>
      </c>
      <c r="J3" s="3" t="inlineStr">
        <is>
          <t>FY2022A</t>
        </is>
      </c>
      <c r="K3" s="3" t="inlineStr">
        <is>
          <t>FY2023A</t>
        </is>
      </c>
      <c r="L3" s="3" t="inlineStr">
        <is>
          <t>FY2024A</t>
        </is>
      </c>
      <c r="M3" s="3" t="inlineStr">
        <is>
          <t>FY2025A</t>
        </is>
      </c>
      <c r="N3" s="3" t="inlineStr">
        <is>
          <t>FY2026A</t>
        </is>
      </c>
      <c r="O3" s="3" t="inlineStr">
        <is>
          <t>CAGR FY14-FY26</t>
        </is>
      </c>
      <c r="P3" s="3" t="inlineStr">
        <is>
          <t>% of FY26</t>
        </is>
      </c>
    </row>
    <row r="4">
      <c r="A4" s="6" t="inlineStr">
        <is>
          <t>Austria</t>
        </is>
      </c>
      <c r="B4" s="10">
        <f>SUMIFS(Source_Evolution!$E$3:$E$731,Source_Evolution!$D$3:$D$731,"Austria")</f>
        <v/>
      </c>
      <c r="C4" s="10">
        <f>SUMIFS(Source_Evolution!$F$3:$F$731,Source_Evolution!$D$3:$D$731,"Austria")</f>
        <v/>
      </c>
      <c r="D4" s="10">
        <f>SUMIFS(Source_Evolution!$G$3:$G$731,Source_Evolution!$D$3:$D$731,"Austria")</f>
        <v/>
      </c>
      <c r="E4" s="10">
        <f>SUMIFS(Source_Evolution!$H$3:$H$731,Source_Evolution!$D$3:$D$731,"Austria")</f>
        <v/>
      </c>
      <c r="F4" s="10">
        <f>SUMIFS(Source_Evolution!$I$3:$I$731,Source_Evolution!$D$3:$D$731,"Austria")</f>
        <v/>
      </c>
      <c r="G4" s="10">
        <f>SUMIFS(Source_Evolution!$J$3:$J$731,Source_Evolution!$D$3:$D$731,"Austria")</f>
        <v/>
      </c>
      <c r="H4" s="10">
        <f>SUMIFS(Source_Evolution!$K$3:$K$731,Source_Evolution!$D$3:$D$731,"Austria")</f>
        <v/>
      </c>
      <c r="I4" s="10">
        <f>SUMIFS(Source_Evolution!$L$3:$L$731,Source_Evolution!$D$3:$D$731,"Austria")</f>
        <v/>
      </c>
      <c r="J4" s="10">
        <f>SUMIFS(Source_Evolution!$M$3:$M$731,Source_Evolution!$D$3:$D$731,"Austria")</f>
        <v/>
      </c>
      <c r="K4" s="10">
        <f>SUMIFS(Source_Evolution!$N$3:$N$731,Source_Evolution!$D$3:$D$731,"Austria")</f>
        <v/>
      </c>
      <c r="L4" s="10">
        <f>SUMIFS(Source_Evolution!$O$3:$O$731,Source_Evolution!$D$3:$D$731,"Austria")</f>
        <v/>
      </c>
      <c r="M4" s="10">
        <f>SUMIFS(Source_Evolution!$P$3:$P$731,Source_Evolution!$D$3:$D$731,"Austria")</f>
        <v/>
      </c>
      <c r="N4" s="10">
        <f>SUMIFS(Source_Evolution!$Q$3:$Q$731,Source_Evolution!$D$3:$D$731,"Austria")</f>
        <v/>
      </c>
      <c r="O4" s="7">
        <f>IFERROR((N4/B4)^(1/12)-1,"-")</f>
        <v/>
      </c>
      <c r="P4" s="7">
        <f>IFERROR(N4/N$28,"-")</f>
        <v/>
      </c>
    </row>
    <row r="5">
      <c r="A5" s="6" t="inlineStr">
        <is>
          <t>Belgium</t>
        </is>
      </c>
      <c r="B5" s="10">
        <f>SUMIFS(Source_Evolution!$E$3:$E$731,Source_Evolution!$D$3:$D$731,"Belgium")</f>
        <v/>
      </c>
      <c r="C5" s="10">
        <f>SUMIFS(Source_Evolution!$F$3:$F$731,Source_Evolution!$D$3:$D$731,"Belgium")</f>
        <v/>
      </c>
      <c r="D5" s="10">
        <f>SUMIFS(Source_Evolution!$G$3:$G$731,Source_Evolution!$D$3:$D$731,"Belgium")</f>
        <v/>
      </c>
      <c r="E5" s="10">
        <f>SUMIFS(Source_Evolution!$H$3:$H$731,Source_Evolution!$D$3:$D$731,"Belgium")</f>
        <v/>
      </c>
      <c r="F5" s="10">
        <f>SUMIFS(Source_Evolution!$I$3:$I$731,Source_Evolution!$D$3:$D$731,"Belgium")</f>
        <v/>
      </c>
      <c r="G5" s="10">
        <f>SUMIFS(Source_Evolution!$J$3:$J$731,Source_Evolution!$D$3:$D$731,"Belgium")</f>
        <v/>
      </c>
      <c r="H5" s="10">
        <f>SUMIFS(Source_Evolution!$K$3:$K$731,Source_Evolution!$D$3:$D$731,"Belgium")</f>
        <v/>
      </c>
      <c r="I5" s="10">
        <f>SUMIFS(Source_Evolution!$L$3:$L$731,Source_Evolution!$D$3:$D$731,"Belgium")</f>
        <v/>
      </c>
      <c r="J5" s="10">
        <f>SUMIFS(Source_Evolution!$M$3:$M$731,Source_Evolution!$D$3:$D$731,"Belgium")</f>
        <v/>
      </c>
      <c r="K5" s="10">
        <f>SUMIFS(Source_Evolution!$N$3:$N$731,Source_Evolution!$D$3:$D$731,"Belgium")</f>
        <v/>
      </c>
      <c r="L5" s="10">
        <f>SUMIFS(Source_Evolution!$O$3:$O$731,Source_Evolution!$D$3:$D$731,"Belgium")</f>
        <v/>
      </c>
      <c r="M5" s="10">
        <f>SUMIFS(Source_Evolution!$P$3:$P$731,Source_Evolution!$D$3:$D$731,"Belgium")</f>
        <v/>
      </c>
      <c r="N5" s="10">
        <f>SUMIFS(Source_Evolution!$Q$3:$Q$731,Source_Evolution!$D$3:$D$731,"Belgium")</f>
        <v/>
      </c>
      <c r="O5" s="7">
        <f>IFERROR((N5/B5)^(1/12)-1,"-")</f>
        <v/>
      </c>
      <c r="P5" s="7">
        <f>IFERROR(N5/N$28,"-")</f>
        <v/>
      </c>
    </row>
    <row r="6">
      <c r="A6" s="6" t="inlineStr">
        <is>
          <t>Czech Republic</t>
        </is>
      </c>
      <c r="B6" s="10">
        <f>SUMIFS(Source_Evolution!$E$3:$E$731,Source_Evolution!$D$3:$D$731,"Czech Republic")</f>
        <v/>
      </c>
      <c r="C6" s="10">
        <f>SUMIFS(Source_Evolution!$F$3:$F$731,Source_Evolution!$D$3:$D$731,"Czech Republic")</f>
        <v/>
      </c>
      <c r="D6" s="10">
        <f>SUMIFS(Source_Evolution!$G$3:$G$731,Source_Evolution!$D$3:$D$731,"Czech Republic")</f>
        <v/>
      </c>
      <c r="E6" s="10">
        <f>SUMIFS(Source_Evolution!$H$3:$H$731,Source_Evolution!$D$3:$D$731,"Czech Republic")</f>
        <v/>
      </c>
      <c r="F6" s="10">
        <f>SUMIFS(Source_Evolution!$I$3:$I$731,Source_Evolution!$D$3:$D$731,"Czech Republic")</f>
        <v/>
      </c>
      <c r="G6" s="10">
        <f>SUMIFS(Source_Evolution!$J$3:$J$731,Source_Evolution!$D$3:$D$731,"Czech Republic")</f>
        <v/>
      </c>
      <c r="H6" s="10">
        <f>SUMIFS(Source_Evolution!$K$3:$K$731,Source_Evolution!$D$3:$D$731,"Czech Republic")</f>
        <v/>
      </c>
      <c r="I6" s="10">
        <f>SUMIFS(Source_Evolution!$L$3:$L$731,Source_Evolution!$D$3:$D$731,"Czech Republic")</f>
        <v/>
      </c>
      <c r="J6" s="10">
        <f>SUMIFS(Source_Evolution!$M$3:$M$731,Source_Evolution!$D$3:$D$731,"Czech Republic")</f>
        <v/>
      </c>
      <c r="K6" s="10">
        <f>SUMIFS(Source_Evolution!$N$3:$N$731,Source_Evolution!$D$3:$D$731,"Czech Republic")</f>
        <v/>
      </c>
      <c r="L6" s="10">
        <f>SUMIFS(Source_Evolution!$O$3:$O$731,Source_Evolution!$D$3:$D$731,"Czech Republic")</f>
        <v/>
      </c>
      <c r="M6" s="10">
        <f>SUMIFS(Source_Evolution!$P$3:$P$731,Source_Evolution!$D$3:$D$731,"Czech Republic")</f>
        <v/>
      </c>
      <c r="N6" s="10">
        <f>SUMIFS(Source_Evolution!$Q$3:$Q$731,Source_Evolution!$D$3:$D$731,"Czech Republic")</f>
        <v/>
      </c>
      <c r="O6" s="7">
        <f>IFERROR((N6/B6)^(1/12)-1,"-")</f>
        <v/>
      </c>
      <c r="P6" s="7">
        <f>IFERROR(N6/N$28,"-")</f>
        <v/>
      </c>
    </row>
    <row r="7">
      <c r="A7" s="6" t="inlineStr">
        <is>
          <t>Denmark</t>
        </is>
      </c>
      <c r="B7" s="10">
        <f>SUMIFS(Source_Evolution!$E$3:$E$731,Source_Evolution!$D$3:$D$731,"Denmark")</f>
        <v/>
      </c>
      <c r="C7" s="10">
        <f>SUMIFS(Source_Evolution!$F$3:$F$731,Source_Evolution!$D$3:$D$731,"Denmark")</f>
        <v/>
      </c>
      <c r="D7" s="10">
        <f>SUMIFS(Source_Evolution!$G$3:$G$731,Source_Evolution!$D$3:$D$731,"Denmark")</f>
        <v/>
      </c>
      <c r="E7" s="10">
        <f>SUMIFS(Source_Evolution!$H$3:$H$731,Source_Evolution!$D$3:$D$731,"Denmark")</f>
        <v/>
      </c>
      <c r="F7" s="10">
        <f>SUMIFS(Source_Evolution!$I$3:$I$731,Source_Evolution!$D$3:$D$731,"Denmark")</f>
        <v/>
      </c>
      <c r="G7" s="10">
        <f>SUMIFS(Source_Evolution!$J$3:$J$731,Source_Evolution!$D$3:$D$731,"Denmark")</f>
        <v/>
      </c>
      <c r="H7" s="10">
        <f>SUMIFS(Source_Evolution!$K$3:$K$731,Source_Evolution!$D$3:$D$731,"Denmark")</f>
        <v/>
      </c>
      <c r="I7" s="10">
        <f>SUMIFS(Source_Evolution!$L$3:$L$731,Source_Evolution!$D$3:$D$731,"Denmark")</f>
        <v/>
      </c>
      <c r="J7" s="10">
        <f>SUMIFS(Source_Evolution!$M$3:$M$731,Source_Evolution!$D$3:$D$731,"Denmark")</f>
        <v/>
      </c>
      <c r="K7" s="10">
        <f>SUMIFS(Source_Evolution!$N$3:$N$731,Source_Evolution!$D$3:$D$731,"Denmark")</f>
        <v/>
      </c>
      <c r="L7" s="10">
        <f>SUMIFS(Source_Evolution!$O$3:$O$731,Source_Evolution!$D$3:$D$731,"Denmark")</f>
        <v/>
      </c>
      <c r="M7" s="10">
        <f>SUMIFS(Source_Evolution!$P$3:$P$731,Source_Evolution!$D$3:$D$731,"Denmark")</f>
        <v/>
      </c>
      <c r="N7" s="10">
        <f>SUMIFS(Source_Evolution!$Q$3:$Q$731,Source_Evolution!$D$3:$D$731,"Denmark")</f>
        <v/>
      </c>
      <c r="O7" s="7">
        <f>IFERROR((N7/B7)^(1/12)-1,"-")</f>
        <v/>
      </c>
      <c r="P7" s="7">
        <f>IFERROR(N7/N$28,"-")</f>
        <v/>
      </c>
    </row>
    <row r="8">
      <c r="A8" s="6" t="inlineStr">
        <is>
          <t>France</t>
        </is>
      </c>
      <c r="B8" s="10">
        <f>SUMIFS(Source_Evolution!$E$3:$E$731,Source_Evolution!$D$3:$D$731,"France")</f>
        <v/>
      </c>
      <c r="C8" s="10">
        <f>SUMIFS(Source_Evolution!$F$3:$F$731,Source_Evolution!$D$3:$D$731,"France")</f>
        <v/>
      </c>
      <c r="D8" s="10">
        <f>SUMIFS(Source_Evolution!$G$3:$G$731,Source_Evolution!$D$3:$D$731,"France")</f>
        <v/>
      </c>
      <c r="E8" s="10">
        <f>SUMIFS(Source_Evolution!$H$3:$H$731,Source_Evolution!$D$3:$D$731,"France")</f>
        <v/>
      </c>
      <c r="F8" s="10">
        <f>SUMIFS(Source_Evolution!$I$3:$I$731,Source_Evolution!$D$3:$D$731,"France")</f>
        <v/>
      </c>
      <c r="G8" s="10">
        <f>SUMIFS(Source_Evolution!$J$3:$J$731,Source_Evolution!$D$3:$D$731,"France")</f>
        <v/>
      </c>
      <c r="H8" s="10">
        <f>SUMIFS(Source_Evolution!$K$3:$K$731,Source_Evolution!$D$3:$D$731,"France")</f>
        <v/>
      </c>
      <c r="I8" s="10">
        <f>SUMIFS(Source_Evolution!$L$3:$L$731,Source_Evolution!$D$3:$D$731,"France")</f>
        <v/>
      </c>
      <c r="J8" s="10">
        <f>SUMIFS(Source_Evolution!$M$3:$M$731,Source_Evolution!$D$3:$D$731,"France")</f>
        <v/>
      </c>
      <c r="K8" s="10">
        <f>SUMIFS(Source_Evolution!$N$3:$N$731,Source_Evolution!$D$3:$D$731,"France")</f>
        <v/>
      </c>
      <c r="L8" s="10">
        <f>SUMIFS(Source_Evolution!$O$3:$O$731,Source_Evolution!$D$3:$D$731,"France")</f>
        <v/>
      </c>
      <c r="M8" s="10">
        <f>SUMIFS(Source_Evolution!$P$3:$P$731,Source_Evolution!$D$3:$D$731,"France")</f>
        <v/>
      </c>
      <c r="N8" s="10">
        <f>SUMIFS(Source_Evolution!$Q$3:$Q$731,Source_Evolution!$D$3:$D$731,"France")</f>
        <v/>
      </c>
      <c r="O8" s="7">
        <f>IFERROR((N8/B8)^(1/12)-1,"-")</f>
        <v/>
      </c>
      <c r="P8" s="7">
        <f>IFERROR(N8/N$28,"-")</f>
        <v/>
      </c>
    </row>
    <row r="9">
      <c r="A9" s="6" t="inlineStr">
        <is>
          <t>Germany</t>
        </is>
      </c>
      <c r="B9" s="10">
        <f>SUMIFS(Source_Evolution!$E$3:$E$731,Source_Evolution!$D$3:$D$731,"Germany")</f>
        <v/>
      </c>
      <c r="C9" s="10">
        <f>SUMIFS(Source_Evolution!$F$3:$F$731,Source_Evolution!$D$3:$D$731,"Germany")</f>
        <v/>
      </c>
      <c r="D9" s="10">
        <f>SUMIFS(Source_Evolution!$G$3:$G$731,Source_Evolution!$D$3:$D$731,"Germany")</f>
        <v/>
      </c>
      <c r="E9" s="10">
        <f>SUMIFS(Source_Evolution!$H$3:$H$731,Source_Evolution!$D$3:$D$731,"Germany")</f>
        <v/>
      </c>
      <c r="F9" s="10">
        <f>SUMIFS(Source_Evolution!$I$3:$I$731,Source_Evolution!$D$3:$D$731,"Germany")</f>
        <v/>
      </c>
      <c r="G9" s="10">
        <f>SUMIFS(Source_Evolution!$J$3:$J$731,Source_Evolution!$D$3:$D$731,"Germany")</f>
        <v/>
      </c>
      <c r="H9" s="10">
        <f>SUMIFS(Source_Evolution!$K$3:$K$731,Source_Evolution!$D$3:$D$731,"Germany")</f>
        <v/>
      </c>
      <c r="I9" s="10">
        <f>SUMIFS(Source_Evolution!$L$3:$L$731,Source_Evolution!$D$3:$D$731,"Germany")</f>
        <v/>
      </c>
      <c r="J9" s="10">
        <f>SUMIFS(Source_Evolution!$M$3:$M$731,Source_Evolution!$D$3:$D$731,"Germany")</f>
        <v/>
      </c>
      <c r="K9" s="10">
        <f>SUMIFS(Source_Evolution!$N$3:$N$731,Source_Evolution!$D$3:$D$731,"Germany")</f>
        <v/>
      </c>
      <c r="L9" s="10">
        <f>SUMIFS(Source_Evolution!$O$3:$O$731,Source_Evolution!$D$3:$D$731,"Germany")</f>
        <v/>
      </c>
      <c r="M9" s="10">
        <f>SUMIFS(Source_Evolution!$P$3:$P$731,Source_Evolution!$D$3:$D$731,"Germany")</f>
        <v/>
      </c>
      <c r="N9" s="10">
        <f>SUMIFS(Source_Evolution!$Q$3:$Q$731,Source_Evolution!$D$3:$D$731,"Germany")</f>
        <v/>
      </c>
      <c r="O9" s="7">
        <f>IFERROR((N9/B9)^(1/12)-1,"-")</f>
        <v/>
      </c>
      <c r="P9" s="7">
        <f>IFERROR(N9/N$28,"-")</f>
        <v/>
      </c>
    </row>
    <row r="10">
      <c r="A10" s="6" t="inlineStr">
        <is>
          <t>Hungary</t>
        </is>
      </c>
      <c r="B10" s="10">
        <f>SUMIFS(Source_Evolution!$E$3:$E$731,Source_Evolution!$D$3:$D$731,"Hungary")</f>
        <v/>
      </c>
      <c r="C10" s="10">
        <f>SUMIFS(Source_Evolution!$F$3:$F$731,Source_Evolution!$D$3:$D$731,"Hungary")</f>
        <v/>
      </c>
      <c r="D10" s="10">
        <f>SUMIFS(Source_Evolution!$G$3:$G$731,Source_Evolution!$D$3:$D$731,"Hungary")</f>
        <v/>
      </c>
      <c r="E10" s="10">
        <f>SUMIFS(Source_Evolution!$H$3:$H$731,Source_Evolution!$D$3:$D$731,"Hungary")</f>
        <v/>
      </c>
      <c r="F10" s="10">
        <f>SUMIFS(Source_Evolution!$I$3:$I$731,Source_Evolution!$D$3:$D$731,"Hungary")</f>
        <v/>
      </c>
      <c r="G10" s="10">
        <f>SUMIFS(Source_Evolution!$J$3:$J$731,Source_Evolution!$D$3:$D$731,"Hungary")</f>
        <v/>
      </c>
      <c r="H10" s="10">
        <f>SUMIFS(Source_Evolution!$K$3:$K$731,Source_Evolution!$D$3:$D$731,"Hungary")</f>
        <v/>
      </c>
      <c r="I10" s="10">
        <f>SUMIFS(Source_Evolution!$L$3:$L$731,Source_Evolution!$D$3:$D$731,"Hungary")</f>
        <v/>
      </c>
      <c r="J10" s="10">
        <f>SUMIFS(Source_Evolution!$M$3:$M$731,Source_Evolution!$D$3:$D$731,"Hungary")</f>
        <v/>
      </c>
      <c r="K10" s="10">
        <f>SUMIFS(Source_Evolution!$N$3:$N$731,Source_Evolution!$D$3:$D$731,"Hungary")</f>
        <v/>
      </c>
      <c r="L10" s="10">
        <f>SUMIFS(Source_Evolution!$O$3:$O$731,Source_Evolution!$D$3:$D$731,"Hungary")</f>
        <v/>
      </c>
      <c r="M10" s="10">
        <f>SUMIFS(Source_Evolution!$P$3:$P$731,Source_Evolution!$D$3:$D$731,"Hungary")</f>
        <v/>
      </c>
      <c r="N10" s="10">
        <f>SUMIFS(Source_Evolution!$Q$3:$Q$731,Source_Evolution!$D$3:$D$731,"Hungary")</f>
        <v/>
      </c>
      <c r="O10" s="7">
        <f>IFERROR((N10/B10)^(1/12)-1,"-")</f>
        <v/>
      </c>
      <c r="P10" s="7">
        <f>IFERROR(N10/N$28,"-")</f>
        <v/>
      </c>
    </row>
    <row r="11">
      <c r="A11" s="6" t="inlineStr">
        <is>
          <t>Ireland</t>
        </is>
      </c>
      <c r="B11" s="10">
        <f>SUMIFS(Source_Evolution!$E$3:$E$731,Source_Evolution!$D$3:$D$731,"Ireland")</f>
        <v/>
      </c>
      <c r="C11" s="10">
        <f>SUMIFS(Source_Evolution!$F$3:$F$731,Source_Evolution!$D$3:$D$731,"Ireland")</f>
        <v/>
      </c>
      <c r="D11" s="10">
        <f>SUMIFS(Source_Evolution!$G$3:$G$731,Source_Evolution!$D$3:$D$731,"Ireland")</f>
        <v/>
      </c>
      <c r="E11" s="10">
        <f>SUMIFS(Source_Evolution!$H$3:$H$731,Source_Evolution!$D$3:$D$731,"Ireland")</f>
        <v/>
      </c>
      <c r="F11" s="10">
        <f>SUMIFS(Source_Evolution!$I$3:$I$731,Source_Evolution!$D$3:$D$731,"Ireland")</f>
        <v/>
      </c>
      <c r="G11" s="10">
        <f>SUMIFS(Source_Evolution!$J$3:$J$731,Source_Evolution!$D$3:$D$731,"Ireland")</f>
        <v/>
      </c>
      <c r="H11" s="10">
        <f>SUMIFS(Source_Evolution!$K$3:$K$731,Source_Evolution!$D$3:$D$731,"Ireland")</f>
        <v/>
      </c>
      <c r="I11" s="10">
        <f>SUMIFS(Source_Evolution!$L$3:$L$731,Source_Evolution!$D$3:$D$731,"Ireland")</f>
        <v/>
      </c>
      <c r="J11" s="10">
        <f>SUMIFS(Source_Evolution!$M$3:$M$731,Source_Evolution!$D$3:$D$731,"Ireland")</f>
        <v/>
      </c>
      <c r="K11" s="10">
        <f>SUMIFS(Source_Evolution!$N$3:$N$731,Source_Evolution!$D$3:$D$731,"Ireland")</f>
        <v/>
      </c>
      <c r="L11" s="10">
        <f>SUMIFS(Source_Evolution!$O$3:$O$731,Source_Evolution!$D$3:$D$731,"Ireland")</f>
        <v/>
      </c>
      <c r="M11" s="10">
        <f>SUMIFS(Source_Evolution!$P$3:$P$731,Source_Evolution!$D$3:$D$731,"Ireland")</f>
        <v/>
      </c>
      <c r="N11" s="10">
        <f>SUMIFS(Source_Evolution!$Q$3:$Q$731,Source_Evolution!$D$3:$D$731,"Ireland")</f>
        <v/>
      </c>
      <c r="O11" s="7">
        <f>IFERROR((N11/B11)^(1/12)-1,"-")</f>
        <v/>
      </c>
      <c r="P11" s="7">
        <f>IFERROR(N11/N$28,"-")</f>
        <v/>
      </c>
    </row>
    <row r="12">
      <c r="A12" s="6" t="inlineStr">
        <is>
          <t>Isle of Man</t>
        </is>
      </c>
      <c r="B12" s="10">
        <f>SUMIFS(Source_Evolution!$E$3:$E$731,Source_Evolution!$D$3:$D$731,"Isle of Man")</f>
        <v/>
      </c>
      <c r="C12" s="10">
        <f>SUMIFS(Source_Evolution!$F$3:$F$731,Source_Evolution!$D$3:$D$731,"Isle of Man")</f>
        <v/>
      </c>
      <c r="D12" s="10">
        <f>SUMIFS(Source_Evolution!$G$3:$G$731,Source_Evolution!$D$3:$D$731,"Isle of Man")</f>
        <v/>
      </c>
      <c r="E12" s="10">
        <f>SUMIFS(Source_Evolution!$H$3:$H$731,Source_Evolution!$D$3:$D$731,"Isle of Man")</f>
        <v/>
      </c>
      <c r="F12" s="10">
        <f>SUMIFS(Source_Evolution!$I$3:$I$731,Source_Evolution!$D$3:$D$731,"Isle of Man")</f>
        <v/>
      </c>
      <c r="G12" s="10">
        <f>SUMIFS(Source_Evolution!$J$3:$J$731,Source_Evolution!$D$3:$D$731,"Isle of Man")</f>
        <v/>
      </c>
      <c r="H12" s="10">
        <f>SUMIFS(Source_Evolution!$K$3:$K$731,Source_Evolution!$D$3:$D$731,"Isle of Man")</f>
        <v/>
      </c>
      <c r="I12" s="10">
        <f>SUMIFS(Source_Evolution!$L$3:$L$731,Source_Evolution!$D$3:$D$731,"Isle of Man")</f>
        <v/>
      </c>
      <c r="J12" s="10">
        <f>SUMIFS(Source_Evolution!$M$3:$M$731,Source_Evolution!$D$3:$D$731,"Isle of Man")</f>
        <v/>
      </c>
      <c r="K12" s="10">
        <f>SUMIFS(Source_Evolution!$N$3:$N$731,Source_Evolution!$D$3:$D$731,"Isle of Man")</f>
        <v/>
      </c>
      <c r="L12" s="10">
        <f>SUMIFS(Source_Evolution!$O$3:$O$731,Source_Evolution!$D$3:$D$731,"Isle of Man")</f>
        <v/>
      </c>
      <c r="M12" s="10">
        <f>SUMIFS(Source_Evolution!$P$3:$P$731,Source_Evolution!$D$3:$D$731,"Isle of Man")</f>
        <v/>
      </c>
      <c r="N12" s="10">
        <f>SUMIFS(Source_Evolution!$Q$3:$Q$731,Source_Evolution!$D$3:$D$731,"Isle of Man")</f>
        <v/>
      </c>
      <c r="O12" s="7">
        <f>IFERROR((N12/B12)^(1/12)-1,"-")</f>
        <v/>
      </c>
      <c r="P12" s="7">
        <f>IFERROR(N12/N$28,"-")</f>
        <v/>
      </c>
    </row>
    <row r="13">
      <c r="A13" s="6" t="inlineStr">
        <is>
          <t>Italy</t>
        </is>
      </c>
      <c r="B13" s="10">
        <f>SUMIFS(Source_Evolution!$E$3:$E$731,Source_Evolution!$D$3:$D$731,"Italy")</f>
        <v/>
      </c>
      <c r="C13" s="10">
        <f>SUMIFS(Source_Evolution!$F$3:$F$731,Source_Evolution!$D$3:$D$731,"Italy")</f>
        <v/>
      </c>
      <c r="D13" s="10">
        <f>SUMIFS(Source_Evolution!$G$3:$G$731,Source_Evolution!$D$3:$D$731,"Italy")</f>
        <v/>
      </c>
      <c r="E13" s="10">
        <f>SUMIFS(Source_Evolution!$H$3:$H$731,Source_Evolution!$D$3:$D$731,"Italy")</f>
        <v/>
      </c>
      <c r="F13" s="10">
        <f>SUMIFS(Source_Evolution!$I$3:$I$731,Source_Evolution!$D$3:$D$731,"Italy")</f>
        <v/>
      </c>
      <c r="G13" s="10">
        <f>SUMIFS(Source_Evolution!$J$3:$J$731,Source_Evolution!$D$3:$D$731,"Italy")</f>
        <v/>
      </c>
      <c r="H13" s="10">
        <f>SUMIFS(Source_Evolution!$K$3:$K$731,Source_Evolution!$D$3:$D$731,"Italy")</f>
        <v/>
      </c>
      <c r="I13" s="10">
        <f>SUMIFS(Source_Evolution!$L$3:$L$731,Source_Evolution!$D$3:$D$731,"Italy")</f>
        <v/>
      </c>
      <c r="J13" s="10">
        <f>SUMIFS(Source_Evolution!$M$3:$M$731,Source_Evolution!$D$3:$D$731,"Italy")</f>
        <v/>
      </c>
      <c r="K13" s="10">
        <f>SUMIFS(Source_Evolution!$N$3:$N$731,Source_Evolution!$D$3:$D$731,"Italy")</f>
        <v/>
      </c>
      <c r="L13" s="10">
        <f>SUMIFS(Source_Evolution!$O$3:$O$731,Source_Evolution!$D$3:$D$731,"Italy")</f>
        <v/>
      </c>
      <c r="M13" s="10">
        <f>SUMIFS(Source_Evolution!$P$3:$P$731,Source_Evolution!$D$3:$D$731,"Italy")</f>
        <v/>
      </c>
      <c r="N13" s="10">
        <f>SUMIFS(Source_Evolution!$Q$3:$Q$731,Source_Evolution!$D$3:$D$731,"Italy")</f>
        <v/>
      </c>
      <c r="O13" s="7">
        <f>IFERROR((N13/B13)^(1/12)-1,"-")</f>
        <v/>
      </c>
      <c r="P13" s="7">
        <f>IFERROR(N13/N$28,"-")</f>
        <v/>
      </c>
    </row>
    <row r="14">
      <c r="A14" s="6" t="inlineStr">
        <is>
          <t>Luxembourg</t>
        </is>
      </c>
      <c r="B14" s="10">
        <f>SUMIFS(Source_Evolution!$E$3:$E$731,Source_Evolution!$D$3:$D$731,"Luxembourg")</f>
        <v/>
      </c>
      <c r="C14" s="10">
        <f>SUMIFS(Source_Evolution!$F$3:$F$731,Source_Evolution!$D$3:$D$731,"Luxembourg")</f>
        <v/>
      </c>
      <c r="D14" s="10">
        <f>SUMIFS(Source_Evolution!$G$3:$G$731,Source_Evolution!$D$3:$D$731,"Luxembourg")</f>
        <v/>
      </c>
      <c r="E14" s="10">
        <f>SUMIFS(Source_Evolution!$H$3:$H$731,Source_Evolution!$D$3:$D$731,"Luxembourg")</f>
        <v/>
      </c>
      <c r="F14" s="10">
        <f>SUMIFS(Source_Evolution!$I$3:$I$731,Source_Evolution!$D$3:$D$731,"Luxembourg")</f>
        <v/>
      </c>
      <c r="G14" s="10">
        <f>SUMIFS(Source_Evolution!$J$3:$J$731,Source_Evolution!$D$3:$D$731,"Luxembourg")</f>
        <v/>
      </c>
      <c r="H14" s="10">
        <f>SUMIFS(Source_Evolution!$K$3:$K$731,Source_Evolution!$D$3:$D$731,"Luxembourg")</f>
        <v/>
      </c>
      <c r="I14" s="10">
        <f>SUMIFS(Source_Evolution!$L$3:$L$731,Source_Evolution!$D$3:$D$731,"Luxembourg")</f>
        <v/>
      </c>
      <c r="J14" s="10">
        <f>SUMIFS(Source_Evolution!$M$3:$M$731,Source_Evolution!$D$3:$D$731,"Luxembourg")</f>
        <v/>
      </c>
      <c r="K14" s="10">
        <f>SUMIFS(Source_Evolution!$N$3:$N$731,Source_Evolution!$D$3:$D$731,"Luxembourg")</f>
        <v/>
      </c>
      <c r="L14" s="10">
        <f>SUMIFS(Source_Evolution!$O$3:$O$731,Source_Evolution!$D$3:$D$731,"Luxembourg")</f>
        <v/>
      </c>
      <c r="M14" s="10">
        <f>SUMIFS(Source_Evolution!$P$3:$P$731,Source_Evolution!$D$3:$D$731,"Luxembourg")</f>
        <v/>
      </c>
      <c r="N14" s="10">
        <f>SUMIFS(Source_Evolution!$Q$3:$Q$731,Source_Evolution!$D$3:$D$731,"Luxembourg")</f>
        <v/>
      </c>
      <c r="O14" s="7">
        <f>IFERROR((N14/B14)^(1/12)-1,"-")</f>
        <v/>
      </c>
      <c r="P14" s="7">
        <f>IFERROR(N14/N$28,"-")</f>
        <v/>
      </c>
    </row>
    <row r="15">
      <c r="A15" s="6" t="inlineStr">
        <is>
          <t>Malta</t>
        </is>
      </c>
      <c r="B15" s="10">
        <f>SUMIFS(Source_Evolution!$E$3:$E$731,Source_Evolution!$D$3:$D$731,"Malta")</f>
        <v/>
      </c>
      <c r="C15" s="10">
        <f>SUMIFS(Source_Evolution!$F$3:$F$731,Source_Evolution!$D$3:$D$731,"Malta")</f>
        <v/>
      </c>
      <c r="D15" s="10">
        <f>SUMIFS(Source_Evolution!$G$3:$G$731,Source_Evolution!$D$3:$D$731,"Malta")</f>
        <v/>
      </c>
      <c r="E15" s="10">
        <f>SUMIFS(Source_Evolution!$H$3:$H$731,Source_Evolution!$D$3:$D$731,"Malta")</f>
        <v/>
      </c>
      <c r="F15" s="10">
        <f>SUMIFS(Source_Evolution!$I$3:$I$731,Source_Evolution!$D$3:$D$731,"Malta")</f>
        <v/>
      </c>
      <c r="G15" s="10">
        <f>SUMIFS(Source_Evolution!$J$3:$J$731,Source_Evolution!$D$3:$D$731,"Malta")</f>
        <v/>
      </c>
      <c r="H15" s="10">
        <f>SUMIFS(Source_Evolution!$K$3:$K$731,Source_Evolution!$D$3:$D$731,"Malta")</f>
        <v/>
      </c>
      <c r="I15" s="10">
        <f>SUMIFS(Source_Evolution!$L$3:$L$731,Source_Evolution!$D$3:$D$731,"Malta")</f>
        <v/>
      </c>
      <c r="J15" s="10">
        <f>SUMIFS(Source_Evolution!$M$3:$M$731,Source_Evolution!$D$3:$D$731,"Malta")</f>
        <v/>
      </c>
      <c r="K15" s="10">
        <f>SUMIFS(Source_Evolution!$N$3:$N$731,Source_Evolution!$D$3:$D$731,"Malta")</f>
        <v/>
      </c>
      <c r="L15" s="10">
        <f>SUMIFS(Source_Evolution!$O$3:$O$731,Source_Evolution!$D$3:$D$731,"Malta")</f>
        <v/>
      </c>
      <c r="M15" s="10">
        <f>SUMIFS(Source_Evolution!$P$3:$P$731,Source_Evolution!$D$3:$D$731,"Malta")</f>
        <v/>
      </c>
      <c r="N15" s="10">
        <f>SUMIFS(Source_Evolution!$Q$3:$Q$731,Source_Evolution!$D$3:$D$731,"Malta")</f>
        <v/>
      </c>
      <c r="O15" s="7">
        <f>IFERROR((N15/B15)^(1/12)-1,"-")</f>
        <v/>
      </c>
      <c r="P15" s="7">
        <f>IFERROR(N15/N$28,"-")</f>
        <v/>
      </c>
    </row>
    <row r="16">
      <c r="A16" s="6" t="inlineStr">
        <is>
          <t>Netherlands</t>
        </is>
      </c>
      <c r="B16" s="10">
        <f>SUMIFS(Source_Evolution!$E$3:$E$731,Source_Evolution!$D$3:$D$731,"Netherlands")</f>
        <v/>
      </c>
      <c r="C16" s="10">
        <f>SUMIFS(Source_Evolution!$F$3:$F$731,Source_Evolution!$D$3:$D$731,"Netherlands")</f>
        <v/>
      </c>
      <c r="D16" s="10">
        <f>SUMIFS(Source_Evolution!$G$3:$G$731,Source_Evolution!$D$3:$D$731,"Netherlands")</f>
        <v/>
      </c>
      <c r="E16" s="10">
        <f>SUMIFS(Source_Evolution!$H$3:$H$731,Source_Evolution!$D$3:$D$731,"Netherlands")</f>
        <v/>
      </c>
      <c r="F16" s="10">
        <f>SUMIFS(Source_Evolution!$I$3:$I$731,Source_Evolution!$D$3:$D$731,"Netherlands")</f>
        <v/>
      </c>
      <c r="G16" s="10">
        <f>SUMIFS(Source_Evolution!$J$3:$J$731,Source_Evolution!$D$3:$D$731,"Netherlands")</f>
        <v/>
      </c>
      <c r="H16" s="10">
        <f>SUMIFS(Source_Evolution!$K$3:$K$731,Source_Evolution!$D$3:$D$731,"Netherlands")</f>
        <v/>
      </c>
      <c r="I16" s="10">
        <f>SUMIFS(Source_Evolution!$L$3:$L$731,Source_Evolution!$D$3:$D$731,"Netherlands")</f>
        <v/>
      </c>
      <c r="J16" s="10">
        <f>SUMIFS(Source_Evolution!$M$3:$M$731,Source_Evolution!$D$3:$D$731,"Netherlands")</f>
        <v/>
      </c>
      <c r="K16" s="10">
        <f>SUMIFS(Source_Evolution!$N$3:$N$731,Source_Evolution!$D$3:$D$731,"Netherlands")</f>
        <v/>
      </c>
      <c r="L16" s="10">
        <f>SUMIFS(Source_Evolution!$O$3:$O$731,Source_Evolution!$D$3:$D$731,"Netherlands")</f>
        <v/>
      </c>
      <c r="M16" s="10">
        <f>SUMIFS(Source_Evolution!$P$3:$P$731,Source_Evolution!$D$3:$D$731,"Netherlands")</f>
        <v/>
      </c>
      <c r="N16" s="10">
        <f>SUMIFS(Source_Evolution!$Q$3:$Q$731,Source_Evolution!$D$3:$D$731,"Netherlands")</f>
        <v/>
      </c>
      <c r="O16" s="7">
        <f>IFERROR((N16/B16)^(1/12)-1,"-")</f>
        <v/>
      </c>
      <c r="P16" s="7">
        <f>IFERROR(N16/N$28,"-")</f>
        <v/>
      </c>
    </row>
    <row r="17">
      <c r="A17" s="6" t="inlineStr">
        <is>
          <t>Norway</t>
        </is>
      </c>
      <c r="B17" s="10">
        <f>SUMIFS(Source_Evolution!$E$3:$E$731,Source_Evolution!$D$3:$D$731,"Norway")</f>
        <v/>
      </c>
      <c r="C17" s="10">
        <f>SUMIFS(Source_Evolution!$F$3:$F$731,Source_Evolution!$D$3:$D$731,"Norway")</f>
        <v/>
      </c>
      <c r="D17" s="10">
        <f>SUMIFS(Source_Evolution!$G$3:$G$731,Source_Evolution!$D$3:$D$731,"Norway")</f>
        <v/>
      </c>
      <c r="E17" s="10">
        <f>SUMIFS(Source_Evolution!$H$3:$H$731,Source_Evolution!$D$3:$D$731,"Norway")</f>
        <v/>
      </c>
      <c r="F17" s="10">
        <f>SUMIFS(Source_Evolution!$I$3:$I$731,Source_Evolution!$D$3:$D$731,"Norway")</f>
        <v/>
      </c>
      <c r="G17" s="10">
        <f>SUMIFS(Source_Evolution!$J$3:$J$731,Source_Evolution!$D$3:$D$731,"Norway")</f>
        <v/>
      </c>
      <c r="H17" s="10">
        <f>SUMIFS(Source_Evolution!$K$3:$K$731,Source_Evolution!$D$3:$D$731,"Norway")</f>
        <v/>
      </c>
      <c r="I17" s="10">
        <f>SUMIFS(Source_Evolution!$L$3:$L$731,Source_Evolution!$D$3:$D$731,"Norway")</f>
        <v/>
      </c>
      <c r="J17" s="10">
        <f>SUMIFS(Source_Evolution!$M$3:$M$731,Source_Evolution!$D$3:$D$731,"Norway")</f>
        <v/>
      </c>
      <c r="K17" s="10">
        <f>SUMIFS(Source_Evolution!$N$3:$N$731,Source_Evolution!$D$3:$D$731,"Norway")</f>
        <v/>
      </c>
      <c r="L17" s="10">
        <f>SUMIFS(Source_Evolution!$O$3:$O$731,Source_Evolution!$D$3:$D$731,"Norway")</f>
        <v/>
      </c>
      <c r="M17" s="10">
        <f>SUMIFS(Source_Evolution!$P$3:$P$731,Source_Evolution!$D$3:$D$731,"Norway")</f>
        <v/>
      </c>
      <c r="N17" s="10">
        <f>SUMIFS(Source_Evolution!$Q$3:$Q$731,Source_Evolution!$D$3:$D$731,"Norway")</f>
        <v/>
      </c>
      <c r="O17" s="7">
        <f>IFERROR((N17/B17)^(1/12)-1,"-")</f>
        <v/>
      </c>
      <c r="P17" s="7">
        <f>IFERROR(N17/N$28,"-")</f>
        <v/>
      </c>
    </row>
    <row r="18">
      <c r="A18" s="6" t="inlineStr">
        <is>
          <t>Poland</t>
        </is>
      </c>
      <c r="B18" s="10">
        <f>SUMIFS(Source_Evolution!$E$3:$E$731,Source_Evolution!$D$3:$D$731,"Poland")</f>
        <v/>
      </c>
      <c r="C18" s="10">
        <f>SUMIFS(Source_Evolution!$F$3:$F$731,Source_Evolution!$D$3:$D$731,"Poland")</f>
        <v/>
      </c>
      <c r="D18" s="10">
        <f>SUMIFS(Source_Evolution!$G$3:$G$731,Source_Evolution!$D$3:$D$731,"Poland")</f>
        <v/>
      </c>
      <c r="E18" s="10">
        <f>SUMIFS(Source_Evolution!$H$3:$H$731,Source_Evolution!$D$3:$D$731,"Poland")</f>
        <v/>
      </c>
      <c r="F18" s="10">
        <f>SUMIFS(Source_Evolution!$I$3:$I$731,Source_Evolution!$D$3:$D$731,"Poland")</f>
        <v/>
      </c>
      <c r="G18" s="10">
        <f>SUMIFS(Source_Evolution!$J$3:$J$731,Source_Evolution!$D$3:$D$731,"Poland")</f>
        <v/>
      </c>
      <c r="H18" s="10">
        <f>SUMIFS(Source_Evolution!$K$3:$K$731,Source_Evolution!$D$3:$D$731,"Poland")</f>
        <v/>
      </c>
      <c r="I18" s="10">
        <f>SUMIFS(Source_Evolution!$L$3:$L$731,Source_Evolution!$D$3:$D$731,"Poland")</f>
        <v/>
      </c>
      <c r="J18" s="10">
        <f>SUMIFS(Source_Evolution!$M$3:$M$731,Source_Evolution!$D$3:$D$731,"Poland")</f>
        <v/>
      </c>
      <c r="K18" s="10">
        <f>SUMIFS(Source_Evolution!$N$3:$N$731,Source_Evolution!$D$3:$D$731,"Poland")</f>
        <v/>
      </c>
      <c r="L18" s="10">
        <f>SUMIFS(Source_Evolution!$O$3:$O$731,Source_Evolution!$D$3:$D$731,"Poland")</f>
        <v/>
      </c>
      <c r="M18" s="10">
        <f>SUMIFS(Source_Evolution!$P$3:$P$731,Source_Evolution!$D$3:$D$731,"Poland")</f>
        <v/>
      </c>
      <c r="N18" s="10">
        <f>SUMIFS(Source_Evolution!$Q$3:$Q$731,Source_Evolution!$D$3:$D$731,"Poland")</f>
        <v/>
      </c>
      <c r="O18" s="7">
        <f>IFERROR((N18/B18)^(1/12)-1,"-")</f>
        <v/>
      </c>
      <c r="P18" s="7">
        <f>IFERROR(N18/N$28,"-")</f>
        <v/>
      </c>
    </row>
    <row r="19">
      <c r="A19" s="6" t="inlineStr">
        <is>
          <t>Portugal</t>
        </is>
      </c>
      <c r="B19" s="10">
        <f>SUMIFS(Source_Evolution!$E$3:$E$731,Source_Evolution!$D$3:$D$731,"Portugal")</f>
        <v/>
      </c>
      <c r="C19" s="10">
        <f>SUMIFS(Source_Evolution!$F$3:$F$731,Source_Evolution!$D$3:$D$731,"Portugal")</f>
        <v/>
      </c>
      <c r="D19" s="10">
        <f>SUMIFS(Source_Evolution!$G$3:$G$731,Source_Evolution!$D$3:$D$731,"Portugal")</f>
        <v/>
      </c>
      <c r="E19" s="10">
        <f>SUMIFS(Source_Evolution!$H$3:$H$731,Source_Evolution!$D$3:$D$731,"Portugal")</f>
        <v/>
      </c>
      <c r="F19" s="10">
        <f>SUMIFS(Source_Evolution!$I$3:$I$731,Source_Evolution!$D$3:$D$731,"Portugal")</f>
        <v/>
      </c>
      <c r="G19" s="10">
        <f>SUMIFS(Source_Evolution!$J$3:$J$731,Source_Evolution!$D$3:$D$731,"Portugal")</f>
        <v/>
      </c>
      <c r="H19" s="10">
        <f>SUMIFS(Source_Evolution!$K$3:$K$731,Source_Evolution!$D$3:$D$731,"Portugal")</f>
        <v/>
      </c>
      <c r="I19" s="10">
        <f>SUMIFS(Source_Evolution!$L$3:$L$731,Source_Evolution!$D$3:$D$731,"Portugal")</f>
        <v/>
      </c>
      <c r="J19" s="10">
        <f>SUMIFS(Source_Evolution!$M$3:$M$731,Source_Evolution!$D$3:$D$731,"Portugal")</f>
        <v/>
      </c>
      <c r="K19" s="10">
        <f>SUMIFS(Source_Evolution!$N$3:$N$731,Source_Evolution!$D$3:$D$731,"Portugal")</f>
        <v/>
      </c>
      <c r="L19" s="10">
        <f>SUMIFS(Source_Evolution!$O$3:$O$731,Source_Evolution!$D$3:$D$731,"Portugal")</f>
        <v/>
      </c>
      <c r="M19" s="10">
        <f>SUMIFS(Source_Evolution!$P$3:$P$731,Source_Evolution!$D$3:$D$731,"Portugal")</f>
        <v/>
      </c>
      <c r="N19" s="10">
        <f>SUMIFS(Source_Evolution!$Q$3:$Q$731,Source_Evolution!$D$3:$D$731,"Portugal")</f>
        <v/>
      </c>
      <c r="O19" s="7">
        <f>IFERROR((N19/B19)^(1/12)-1,"-")</f>
        <v/>
      </c>
      <c r="P19" s="7">
        <f>IFERROR(N19/N$28,"-")</f>
        <v/>
      </c>
    </row>
    <row r="20">
      <c r="A20" s="6" t="inlineStr">
        <is>
          <t>Qatar</t>
        </is>
      </c>
      <c r="B20" s="10">
        <f>SUMIFS(Source_Evolution!$E$3:$E$731,Source_Evolution!$D$3:$D$731,"Qatar")</f>
        <v/>
      </c>
      <c r="C20" s="10">
        <f>SUMIFS(Source_Evolution!$F$3:$F$731,Source_Evolution!$D$3:$D$731,"Qatar")</f>
        <v/>
      </c>
      <c r="D20" s="10">
        <f>SUMIFS(Source_Evolution!$G$3:$G$731,Source_Evolution!$D$3:$D$731,"Qatar")</f>
        <v/>
      </c>
      <c r="E20" s="10">
        <f>SUMIFS(Source_Evolution!$H$3:$H$731,Source_Evolution!$D$3:$D$731,"Qatar")</f>
        <v/>
      </c>
      <c r="F20" s="10">
        <f>SUMIFS(Source_Evolution!$I$3:$I$731,Source_Evolution!$D$3:$D$731,"Qatar")</f>
        <v/>
      </c>
      <c r="G20" s="10">
        <f>SUMIFS(Source_Evolution!$J$3:$J$731,Source_Evolution!$D$3:$D$731,"Qatar")</f>
        <v/>
      </c>
      <c r="H20" s="10">
        <f>SUMIFS(Source_Evolution!$K$3:$K$731,Source_Evolution!$D$3:$D$731,"Qatar")</f>
        <v/>
      </c>
      <c r="I20" s="10">
        <f>SUMIFS(Source_Evolution!$L$3:$L$731,Source_Evolution!$D$3:$D$731,"Qatar")</f>
        <v/>
      </c>
      <c r="J20" s="10">
        <f>SUMIFS(Source_Evolution!$M$3:$M$731,Source_Evolution!$D$3:$D$731,"Qatar")</f>
        <v/>
      </c>
      <c r="K20" s="10">
        <f>SUMIFS(Source_Evolution!$N$3:$N$731,Source_Evolution!$D$3:$D$731,"Qatar")</f>
        <v/>
      </c>
      <c r="L20" s="10">
        <f>SUMIFS(Source_Evolution!$O$3:$O$731,Source_Evolution!$D$3:$D$731,"Qatar")</f>
        <v/>
      </c>
      <c r="M20" s="10">
        <f>SUMIFS(Source_Evolution!$P$3:$P$731,Source_Evolution!$D$3:$D$731,"Qatar")</f>
        <v/>
      </c>
      <c r="N20" s="10">
        <f>SUMIFS(Source_Evolution!$Q$3:$Q$731,Source_Evolution!$D$3:$D$731,"Qatar")</f>
        <v/>
      </c>
      <c r="O20" s="7">
        <f>IFERROR((N20/B20)^(1/12)-1,"-")</f>
        <v/>
      </c>
      <c r="P20" s="7">
        <f>IFERROR(N20/N$28,"-")</f>
        <v/>
      </c>
    </row>
    <row r="21">
      <c r="A21" s="6" t="inlineStr">
        <is>
          <t>Singapore</t>
        </is>
      </c>
      <c r="B21" s="10">
        <f>SUMIFS(Source_Evolution!$E$3:$E$731,Source_Evolution!$D$3:$D$731,"Singapore")</f>
        <v/>
      </c>
      <c r="C21" s="10">
        <f>SUMIFS(Source_Evolution!$F$3:$F$731,Source_Evolution!$D$3:$D$731,"Singapore")</f>
        <v/>
      </c>
      <c r="D21" s="10">
        <f>SUMIFS(Source_Evolution!$G$3:$G$731,Source_Evolution!$D$3:$D$731,"Singapore")</f>
        <v/>
      </c>
      <c r="E21" s="10">
        <f>SUMIFS(Source_Evolution!$H$3:$H$731,Source_Evolution!$D$3:$D$731,"Singapore")</f>
        <v/>
      </c>
      <c r="F21" s="10">
        <f>SUMIFS(Source_Evolution!$I$3:$I$731,Source_Evolution!$D$3:$D$731,"Singapore")</f>
        <v/>
      </c>
      <c r="G21" s="10">
        <f>SUMIFS(Source_Evolution!$J$3:$J$731,Source_Evolution!$D$3:$D$731,"Singapore")</f>
        <v/>
      </c>
      <c r="H21" s="10">
        <f>SUMIFS(Source_Evolution!$K$3:$K$731,Source_Evolution!$D$3:$D$731,"Singapore")</f>
        <v/>
      </c>
      <c r="I21" s="10">
        <f>SUMIFS(Source_Evolution!$L$3:$L$731,Source_Evolution!$D$3:$D$731,"Singapore")</f>
        <v/>
      </c>
      <c r="J21" s="10">
        <f>SUMIFS(Source_Evolution!$M$3:$M$731,Source_Evolution!$D$3:$D$731,"Singapore")</f>
        <v/>
      </c>
      <c r="K21" s="10">
        <f>SUMIFS(Source_Evolution!$N$3:$N$731,Source_Evolution!$D$3:$D$731,"Singapore")</f>
        <v/>
      </c>
      <c r="L21" s="10">
        <f>SUMIFS(Source_Evolution!$O$3:$O$731,Source_Evolution!$D$3:$D$731,"Singapore")</f>
        <v/>
      </c>
      <c r="M21" s="10">
        <f>SUMIFS(Source_Evolution!$P$3:$P$731,Source_Evolution!$D$3:$D$731,"Singapore")</f>
        <v/>
      </c>
      <c r="N21" s="10">
        <f>SUMIFS(Source_Evolution!$Q$3:$Q$731,Source_Evolution!$D$3:$D$731,"Singapore")</f>
        <v/>
      </c>
      <c r="O21" s="7">
        <f>IFERROR((N21/B21)^(1/12)-1,"-")</f>
        <v/>
      </c>
      <c r="P21" s="7">
        <f>IFERROR(N21/N$28,"-")</f>
        <v/>
      </c>
    </row>
    <row r="22">
      <c r="A22" s="6" t="inlineStr">
        <is>
          <t>Slovenia</t>
        </is>
      </c>
      <c r="B22" s="10">
        <f>SUMIFS(Source_Evolution!$E$3:$E$731,Source_Evolution!$D$3:$D$731,"Slovenia")</f>
        <v/>
      </c>
      <c r="C22" s="10">
        <f>SUMIFS(Source_Evolution!$F$3:$F$731,Source_Evolution!$D$3:$D$731,"Slovenia")</f>
        <v/>
      </c>
      <c r="D22" s="10">
        <f>SUMIFS(Source_Evolution!$G$3:$G$731,Source_Evolution!$D$3:$D$731,"Slovenia")</f>
        <v/>
      </c>
      <c r="E22" s="10">
        <f>SUMIFS(Source_Evolution!$H$3:$H$731,Source_Evolution!$D$3:$D$731,"Slovenia")</f>
        <v/>
      </c>
      <c r="F22" s="10">
        <f>SUMIFS(Source_Evolution!$I$3:$I$731,Source_Evolution!$D$3:$D$731,"Slovenia")</f>
        <v/>
      </c>
      <c r="G22" s="10">
        <f>SUMIFS(Source_Evolution!$J$3:$J$731,Source_Evolution!$D$3:$D$731,"Slovenia")</f>
        <v/>
      </c>
      <c r="H22" s="10">
        <f>SUMIFS(Source_Evolution!$K$3:$K$731,Source_Evolution!$D$3:$D$731,"Slovenia")</f>
        <v/>
      </c>
      <c r="I22" s="10">
        <f>SUMIFS(Source_Evolution!$L$3:$L$731,Source_Evolution!$D$3:$D$731,"Slovenia")</f>
        <v/>
      </c>
      <c r="J22" s="10">
        <f>SUMIFS(Source_Evolution!$M$3:$M$731,Source_Evolution!$D$3:$D$731,"Slovenia")</f>
        <v/>
      </c>
      <c r="K22" s="10">
        <f>SUMIFS(Source_Evolution!$N$3:$N$731,Source_Evolution!$D$3:$D$731,"Slovenia")</f>
        <v/>
      </c>
      <c r="L22" s="10">
        <f>SUMIFS(Source_Evolution!$O$3:$O$731,Source_Evolution!$D$3:$D$731,"Slovenia")</f>
        <v/>
      </c>
      <c r="M22" s="10">
        <f>SUMIFS(Source_Evolution!$P$3:$P$731,Source_Evolution!$D$3:$D$731,"Slovenia")</f>
        <v/>
      </c>
      <c r="N22" s="10">
        <f>SUMIFS(Source_Evolution!$Q$3:$Q$731,Source_Evolution!$D$3:$D$731,"Slovenia")</f>
        <v/>
      </c>
      <c r="O22" s="7">
        <f>IFERROR((N22/B22)^(1/12)-1,"-")</f>
        <v/>
      </c>
      <c r="P22" s="7">
        <f>IFERROR(N22/N$28,"-")</f>
        <v/>
      </c>
    </row>
    <row r="23">
      <c r="A23" s="6" t="inlineStr">
        <is>
          <t>Spain</t>
        </is>
      </c>
      <c r="B23" s="10">
        <f>SUMIFS(Source_Evolution!$E$3:$E$731,Source_Evolution!$D$3:$D$731,"Spain")</f>
        <v/>
      </c>
      <c r="C23" s="10">
        <f>SUMIFS(Source_Evolution!$F$3:$F$731,Source_Evolution!$D$3:$D$731,"Spain")</f>
        <v/>
      </c>
      <c r="D23" s="10">
        <f>SUMIFS(Source_Evolution!$G$3:$G$731,Source_Evolution!$D$3:$D$731,"Spain")</f>
        <v/>
      </c>
      <c r="E23" s="10">
        <f>SUMIFS(Source_Evolution!$H$3:$H$731,Source_Evolution!$D$3:$D$731,"Spain")</f>
        <v/>
      </c>
      <c r="F23" s="10">
        <f>SUMIFS(Source_Evolution!$I$3:$I$731,Source_Evolution!$D$3:$D$731,"Spain")</f>
        <v/>
      </c>
      <c r="G23" s="10">
        <f>SUMIFS(Source_Evolution!$J$3:$J$731,Source_Evolution!$D$3:$D$731,"Spain")</f>
        <v/>
      </c>
      <c r="H23" s="10">
        <f>SUMIFS(Source_Evolution!$K$3:$K$731,Source_Evolution!$D$3:$D$731,"Spain")</f>
        <v/>
      </c>
      <c r="I23" s="10">
        <f>SUMIFS(Source_Evolution!$L$3:$L$731,Source_Evolution!$D$3:$D$731,"Spain")</f>
        <v/>
      </c>
      <c r="J23" s="10">
        <f>SUMIFS(Source_Evolution!$M$3:$M$731,Source_Evolution!$D$3:$D$731,"Spain")</f>
        <v/>
      </c>
      <c r="K23" s="10">
        <f>SUMIFS(Source_Evolution!$N$3:$N$731,Source_Evolution!$D$3:$D$731,"Spain")</f>
        <v/>
      </c>
      <c r="L23" s="10">
        <f>SUMIFS(Source_Evolution!$O$3:$O$731,Source_Evolution!$D$3:$D$731,"Spain")</f>
        <v/>
      </c>
      <c r="M23" s="10">
        <f>SUMIFS(Source_Evolution!$P$3:$P$731,Source_Evolution!$D$3:$D$731,"Spain")</f>
        <v/>
      </c>
      <c r="N23" s="10">
        <f>SUMIFS(Source_Evolution!$Q$3:$Q$731,Source_Evolution!$D$3:$D$731,"Spain")</f>
        <v/>
      </c>
      <c r="O23" s="7">
        <f>IFERROR((N23/B23)^(1/12)-1,"-")</f>
        <v/>
      </c>
      <c r="P23" s="7">
        <f>IFERROR(N23/N$28,"-")</f>
        <v/>
      </c>
    </row>
    <row r="24">
      <c r="A24" s="6" t="inlineStr">
        <is>
          <t>Sweden</t>
        </is>
      </c>
      <c r="B24" s="10">
        <f>SUMIFS(Source_Evolution!$E$3:$E$731,Source_Evolution!$D$3:$D$731,"Sweden")</f>
        <v/>
      </c>
      <c r="C24" s="10">
        <f>SUMIFS(Source_Evolution!$F$3:$F$731,Source_Evolution!$D$3:$D$731,"Sweden")</f>
        <v/>
      </c>
      <c r="D24" s="10">
        <f>SUMIFS(Source_Evolution!$G$3:$G$731,Source_Evolution!$D$3:$D$731,"Sweden")</f>
        <v/>
      </c>
      <c r="E24" s="10">
        <f>SUMIFS(Source_Evolution!$H$3:$H$731,Source_Evolution!$D$3:$D$731,"Sweden")</f>
        <v/>
      </c>
      <c r="F24" s="10">
        <f>SUMIFS(Source_Evolution!$I$3:$I$731,Source_Evolution!$D$3:$D$731,"Sweden")</f>
        <v/>
      </c>
      <c r="G24" s="10">
        <f>SUMIFS(Source_Evolution!$J$3:$J$731,Source_Evolution!$D$3:$D$731,"Sweden")</f>
        <v/>
      </c>
      <c r="H24" s="10">
        <f>SUMIFS(Source_Evolution!$K$3:$K$731,Source_Evolution!$D$3:$D$731,"Sweden")</f>
        <v/>
      </c>
      <c r="I24" s="10">
        <f>SUMIFS(Source_Evolution!$L$3:$L$731,Source_Evolution!$D$3:$D$731,"Sweden")</f>
        <v/>
      </c>
      <c r="J24" s="10">
        <f>SUMIFS(Source_Evolution!$M$3:$M$731,Source_Evolution!$D$3:$D$731,"Sweden")</f>
        <v/>
      </c>
      <c r="K24" s="10">
        <f>SUMIFS(Source_Evolution!$N$3:$N$731,Source_Evolution!$D$3:$D$731,"Sweden")</f>
        <v/>
      </c>
      <c r="L24" s="10">
        <f>SUMIFS(Source_Evolution!$O$3:$O$731,Source_Evolution!$D$3:$D$731,"Sweden")</f>
        <v/>
      </c>
      <c r="M24" s="10">
        <f>SUMIFS(Source_Evolution!$P$3:$P$731,Source_Evolution!$D$3:$D$731,"Sweden")</f>
        <v/>
      </c>
      <c r="N24" s="10">
        <f>SUMIFS(Source_Evolution!$Q$3:$Q$731,Source_Evolution!$D$3:$D$731,"Sweden")</f>
        <v/>
      </c>
      <c r="O24" s="7">
        <f>IFERROR((N24/B24)^(1/12)-1,"-")</f>
        <v/>
      </c>
      <c r="P24" s="7">
        <f>IFERROR(N24/N$28,"-")</f>
        <v/>
      </c>
    </row>
    <row r="25">
      <c r="A25" s="6" t="inlineStr">
        <is>
          <t>Switzerland</t>
        </is>
      </c>
      <c r="B25" s="10">
        <f>SUMIFS(Source_Evolution!$E$3:$E$731,Source_Evolution!$D$3:$D$731,"Switzerland")</f>
        <v/>
      </c>
      <c r="C25" s="10">
        <f>SUMIFS(Source_Evolution!$F$3:$F$731,Source_Evolution!$D$3:$D$731,"Switzerland")</f>
        <v/>
      </c>
      <c r="D25" s="10">
        <f>SUMIFS(Source_Evolution!$G$3:$G$731,Source_Evolution!$D$3:$D$731,"Switzerland")</f>
        <v/>
      </c>
      <c r="E25" s="10">
        <f>SUMIFS(Source_Evolution!$H$3:$H$731,Source_Evolution!$D$3:$D$731,"Switzerland")</f>
        <v/>
      </c>
      <c r="F25" s="10">
        <f>SUMIFS(Source_Evolution!$I$3:$I$731,Source_Evolution!$D$3:$D$731,"Switzerland")</f>
        <v/>
      </c>
      <c r="G25" s="10">
        <f>SUMIFS(Source_Evolution!$J$3:$J$731,Source_Evolution!$D$3:$D$731,"Switzerland")</f>
        <v/>
      </c>
      <c r="H25" s="10">
        <f>SUMIFS(Source_Evolution!$K$3:$K$731,Source_Evolution!$D$3:$D$731,"Switzerland")</f>
        <v/>
      </c>
      <c r="I25" s="10">
        <f>SUMIFS(Source_Evolution!$L$3:$L$731,Source_Evolution!$D$3:$D$731,"Switzerland")</f>
        <v/>
      </c>
      <c r="J25" s="10">
        <f>SUMIFS(Source_Evolution!$M$3:$M$731,Source_Evolution!$D$3:$D$731,"Switzerland")</f>
        <v/>
      </c>
      <c r="K25" s="10">
        <f>SUMIFS(Source_Evolution!$N$3:$N$731,Source_Evolution!$D$3:$D$731,"Switzerland")</f>
        <v/>
      </c>
      <c r="L25" s="10">
        <f>SUMIFS(Source_Evolution!$O$3:$O$731,Source_Evolution!$D$3:$D$731,"Switzerland")</f>
        <v/>
      </c>
      <c r="M25" s="10">
        <f>SUMIFS(Source_Evolution!$P$3:$P$731,Source_Evolution!$D$3:$D$731,"Switzerland")</f>
        <v/>
      </c>
      <c r="N25" s="10">
        <f>SUMIFS(Source_Evolution!$Q$3:$Q$731,Source_Evolution!$D$3:$D$731,"Switzerland")</f>
        <v/>
      </c>
      <c r="O25" s="7">
        <f>IFERROR((N25/B25)^(1/12)-1,"-")</f>
        <v/>
      </c>
      <c r="P25" s="7">
        <f>IFERROR(N25/N$28,"-")</f>
        <v/>
      </c>
    </row>
    <row r="26">
      <c r="A26" s="6" t="inlineStr">
        <is>
          <t>UK</t>
        </is>
      </c>
      <c r="B26" s="10">
        <f>SUMIFS(Source_Evolution!$E$3:$E$731,Source_Evolution!$D$3:$D$731,"UK")</f>
        <v/>
      </c>
      <c r="C26" s="10">
        <f>SUMIFS(Source_Evolution!$F$3:$F$731,Source_Evolution!$D$3:$D$731,"UK")</f>
        <v/>
      </c>
      <c r="D26" s="10">
        <f>SUMIFS(Source_Evolution!$G$3:$G$731,Source_Evolution!$D$3:$D$731,"UK")</f>
        <v/>
      </c>
      <c r="E26" s="10">
        <f>SUMIFS(Source_Evolution!$H$3:$H$731,Source_Evolution!$D$3:$D$731,"UK")</f>
        <v/>
      </c>
      <c r="F26" s="10">
        <f>SUMIFS(Source_Evolution!$I$3:$I$731,Source_Evolution!$D$3:$D$731,"UK")</f>
        <v/>
      </c>
      <c r="G26" s="10">
        <f>SUMIFS(Source_Evolution!$J$3:$J$731,Source_Evolution!$D$3:$D$731,"UK")</f>
        <v/>
      </c>
      <c r="H26" s="10">
        <f>SUMIFS(Source_Evolution!$K$3:$K$731,Source_Evolution!$D$3:$D$731,"UK")</f>
        <v/>
      </c>
      <c r="I26" s="10">
        <f>SUMIFS(Source_Evolution!$L$3:$L$731,Source_Evolution!$D$3:$D$731,"UK")</f>
        <v/>
      </c>
      <c r="J26" s="10">
        <f>SUMIFS(Source_Evolution!$M$3:$M$731,Source_Evolution!$D$3:$D$731,"UK")</f>
        <v/>
      </c>
      <c r="K26" s="10">
        <f>SUMIFS(Source_Evolution!$N$3:$N$731,Source_Evolution!$D$3:$D$731,"UK")</f>
        <v/>
      </c>
      <c r="L26" s="10">
        <f>SUMIFS(Source_Evolution!$O$3:$O$731,Source_Evolution!$D$3:$D$731,"UK")</f>
        <v/>
      </c>
      <c r="M26" s="10">
        <f>SUMIFS(Source_Evolution!$P$3:$P$731,Source_Evolution!$D$3:$D$731,"UK")</f>
        <v/>
      </c>
      <c r="N26" s="10">
        <f>SUMIFS(Source_Evolution!$Q$3:$Q$731,Source_Evolution!$D$3:$D$731,"UK")</f>
        <v/>
      </c>
      <c r="O26" s="7">
        <f>IFERROR((N26/B26)^(1/12)-1,"-")</f>
        <v/>
      </c>
      <c r="P26" s="7">
        <f>IFERROR(N26/N$28,"-")</f>
        <v/>
      </c>
    </row>
    <row r="27">
      <c r="A27" s="6" t="inlineStr">
        <is>
          <t>USA</t>
        </is>
      </c>
      <c r="B27" s="10">
        <f>SUMIFS(Source_Evolution!$E$3:$E$731,Source_Evolution!$D$3:$D$731,"USA")</f>
        <v/>
      </c>
      <c r="C27" s="10">
        <f>SUMIFS(Source_Evolution!$F$3:$F$731,Source_Evolution!$D$3:$D$731,"USA")</f>
        <v/>
      </c>
      <c r="D27" s="10">
        <f>SUMIFS(Source_Evolution!$G$3:$G$731,Source_Evolution!$D$3:$D$731,"USA")</f>
        <v/>
      </c>
      <c r="E27" s="10">
        <f>SUMIFS(Source_Evolution!$H$3:$H$731,Source_Evolution!$D$3:$D$731,"USA")</f>
        <v/>
      </c>
      <c r="F27" s="10">
        <f>SUMIFS(Source_Evolution!$I$3:$I$731,Source_Evolution!$D$3:$D$731,"USA")</f>
        <v/>
      </c>
      <c r="G27" s="10">
        <f>SUMIFS(Source_Evolution!$J$3:$J$731,Source_Evolution!$D$3:$D$731,"USA")</f>
        <v/>
      </c>
      <c r="H27" s="10">
        <f>SUMIFS(Source_Evolution!$K$3:$K$731,Source_Evolution!$D$3:$D$731,"USA")</f>
        <v/>
      </c>
      <c r="I27" s="10">
        <f>SUMIFS(Source_Evolution!$L$3:$L$731,Source_Evolution!$D$3:$D$731,"USA")</f>
        <v/>
      </c>
      <c r="J27" s="10">
        <f>SUMIFS(Source_Evolution!$M$3:$M$731,Source_Evolution!$D$3:$D$731,"USA")</f>
        <v/>
      </c>
      <c r="K27" s="10">
        <f>SUMIFS(Source_Evolution!$N$3:$N$731,Source_Evolution!$D$3:$D$731,"USA")</f>
        <v/>
      </c>
      <c r="L27" s="10">
        <f>SUMIFS(Source_Evolution!$O$3:$O$731,Source_Evolution!$D$3:$D$731,"USA")</f>
        <v/>
      </c>
      <c r="M27" s="10">
        <f>SUMIFS(Source_Evolution!$P$3:$P$731,Source_Evolution!$D$3:$D$731,"USA")</f>
        <v/>
      </c>
      <c r="N27" s="10">
        <f>SUMIFS(Source_Evolution!$Q$3:$Q$731,Source_Evolution!$D$3:$D$731,"USA")</f>
        <v/>
      </c>
      <c r="O27" s="7">
        <f>IFERROR((N27/B27)^(1/12)-1,"-")</f>
        <v/>
      </c>
      <c r="P27" s="7">
        <f>IFERROR(N27/N$28,"-")</f>
        <v/>
      </c>
    </row>
    <row r="28">
      <c r="A28" s="4" t="inlineStr">
        <is>
          <t>Total</t>
        </is>
      </c>
      <c r="B28" s="12">
        <f>SUM(B4:B27)</f>
        <v/>
      </c>
      <c r="C28" s="12">
        <f>SUM(C4:C27)</f>
        <v/>
      </c>
      <c r="D28" s="12">
        <f>SUM(D4:D27)</f>
        <v/>
      </c>
      <c r="E28" s="12">
        <f>SUM(E4:E27)</f>
        <v/>
      </c>
      <c r="F28" s="12">
        <f>SUM(F4:F27)</f>
        <v/>
      </c>
      <c r="G28" s="12">
        <f>SUM(G4:G27)</f>
        <v/>
      </c>
      <c r="H28" s="12">
        <f>SUM(H4:H27)</f>
        <v/>
      </c>
      <c r="I28" s="12">
        <f>SUM(I4:I27)</f>
        <v/>
      </c>
      <c r="J28" s="12">
        <f>SUM(J4:J27)</f>
        <v/>
      </c>
      <c r="K28" s="12">
        <f>SUM(K4:K27)</f>
        <v/>
      </c>
      <c r="L28" s="12">
        <f>SUM(L4:L27)</f>
        <v/>
      </c>
      <c r="M28" s="12">
        <f>SUM(M4:M27)</f>
        <v/>
      </c>
      <c r="N28" s="12">
        <f>SUM(N4:N27)</f>
        <v/>
      </c>
      <c r="O28" s="13">
        <f>IFERROR((N28/B28)^(1/12)-1,"-")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73B57"/>
    <outlinePr summaryBelow="1" summaryRight="1"/>
    <pageSetUpPr/>
  </sheetPr>
  <dimension ref="A1:O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1" t="inlineStr">
        <is>
          <t>Cohort Analysis — Revenue retention by acquisition vintage (£ GBP)</t>
        </is>
      </c>
    </row>
    <row r="2">
      <c r="A2" s="15" t="inlineStr">
        <is>
          <t>Cohort = first FY where client had revenue &gt; 0. Cohort year hardcoded in Helper_Clients (col D); revenue = formulas.</t>
        </is>
      </c>
    </row>
    <row r="4">
      <c r="A4" s="3" t="inlineStr">
        <is>
          <t>Cohort vintage</t>
        </is>
      </c>
      <c r="B4" s="3" t="inlineStr">
        <is>
          <t># Clients</t>
        </is>
      </c>
      <c r="C4" s="3" t="inlineStr">
        <is>
          <t>FY2014A</t>
        </is>
      </c>
      <c r="D4" s="3" t="inlineStr">
        <is>
          <t>FY2015A</t>
        </is>
      </c>
      <c r="E4" s="3" t="inlineStr">
        <is>
          <t>FY2016A</t>
        </is>
      </c>
      <c r="F4" s="3" t="inlineStr">
        <is>
          <t>FY2017A</t>
        </is>
      </c>
      <c r="G4" s="3" t="inlineStr">
        <is>
          <t>FY2018A</t>
        </is>
      </c>
      <c r="H4" s="3" t="inlineStr">
        <is>
          <t>FY2019A</t>
        </is>
      </c>
      <c r="I4" s="3" t="inlineStr">
        <is>
          <t>FY2020A</t>
        </is>
      </c>
      <c r="J4" s="3" t="inlineStr">
        <is>
          <t>FY2021A</t>
        </is>
      </c>
      <c r="K4" s="3" t="inlineStr">
        <is>
          <t>FY2022A</t>
        </is>
      </c>
      <c r="L4" s="3" t="inlineStr">
        <is>
          <t>FY2023A</t>
        </is>
      </c>
      <c r="M4" s="3" t="inlineStr">
        <is>
          <t>FY2024A</t>
        </is>
      </c>
      <c r="N4" s="3" t="inlineStr">
        <is>
          <t>FY2025A</t>
        </is>
      </c>
      <c r="O4" s="3" t="inlineStr">
        <is>
          <t>FY2026A</t>
        </is>
      </c>
    </row>
    <row r="5">
      <c r="A5" s="4" t="inlineStr">
        <is>
          <t>FY2014</t>
        </is>
      </c>
      <c r="B5" s="5">
        <f>COUNTIF(Helper_Clients!$D$3:$D$374,2014)</f>
        <v/>
      </c>
      <c r="C5" s="10">
        <f>SUMIFS(Helper_Clients!$E$3:$E$374,Helper_Clients!$D$3:$D$374,2014)</f>
        <v/>
      </c>
      <c r="D5" s="10">
        <f>SUMIFS(Helper_Clients!$F$3:$F$374,Helper_Clients!$D$3:$D$374,2014)</f>
        <v/>
      </c>
      <c r="E5" s="10">
        <f>SUMIFS(Helper_Clients!$G$3:$G$374,Helper_Clients!$D$3:$D$374,2014)</f>
        <v/>
      </c>
      <c r="F5" s="10">
        <f>SUMIFS(Helper_Clients!$H$3:$H$374,Helper_Clients!$D$3:$D$374,2014)</f>
        <v/>
      </c>
      <c r="G5" s="10">
        <f>SUMIFS(Helper_Clients!$I$3:$I$374,Helper_Clients!$D$3:$D$374,2014)</f>
        <v/>
      </c>
      <c r="H5" s="10">
        <f>SUMIFS(Helper_Clients!$J$3:$J$374,Helper_Clients!$D$3:$D$374,2014)</f>
        <v/>
      </c>
      <c r="I5" s="10">
        <f>SUMIFS(Helper_Clients!$K$3:$K$374,Helper_Clients!$D$3:$D$374,2014)</f>
        <v/>
      </c>
      <c r="J5" s="10">
        <f>SUMIFS(Helper_Clients!$L$3:$L$374,Helper_Clients!$D$3:$D$374,2014)</f>
        <v/>
      </c>
      <c r="K5" s="10">
        <f>SUMIFS(Helper_Clients!$M$3:$M$374,Helper_Clients!$D$3:$D$374,2014)</f>
        <v/>
      </c>
      <c r="L5" s="10">
        <f>SUMIFS(Helper_Clients!$N$3:$N$374,Helper_Clients!$D$3:$D$374,2014)</f>
        <v/>
      </c>
      <c r="M5" s="10">
        <f>SUMIFS(Helper_Clients!$O$3:$O$374,Helper_Clients!$D$3:$D$374,2014)</f>
        <v/>
      </c>
      <c r="N5" s="10">
        <f>SUMIFS(Helper_Clients!$P$3:$P$374,Helper_Clients!$D$3:$D$374,2014)</f>
        <v/>
      </c>
      <c r="O5" s="10">
        <f>SUMIFS(Helper_Clients!$Q$3:$Q$374,Helper_Clients!$D$3:$D$374,2014)</f>
        <v/>
      </c>
    </row>
    <row r="6">
      <c r="A6" s="4" t="inlineStr">
        <is>
          <t>FY2015</t>
        </is>
      </c>
      <c r="B6" s="5">
        <f>COUNTIF(Helper_Clients!$D$3:$D$374,2015)</f>
        <v/>
      </c>
      <c r="C6" s="14" t="inlineStr">
        <is>
          <t>-</t>
        </is>
      </c>
      <c r="D6" s="10">
        <f>SUMIFS(Helper_Clients!$F$3:$F$374,Helper_Clients!$D$3:$D$374,2015)</f>
        <v/>
      </c>
      <c r="E6" s="10">
        <f>SUMIFS(Helper_Clients!$G$3:$G$374,Helper_Clients!$D$3:$D$374,2015)</f>
        <v/>
      </c>
      <c r="F6" s="10">
        <f>SUMIFS(Helper_Clients!$H$3:$H$374,Helper_Clients!$D$3:$D$374,2015)</f>
        <v/>
      </c>
      <c r="G6" s="10">
        <f>SUMIFS(Helper_Clients!$I$3:$I$374,Helper_Clients!$D$3:$D$374,2015)</f>
        <v/>
      </c>
      <c r="H6" s="10">
        <f>SUMIFS(Helper_Clients!$J$3:$J$374,Helper_Clients!$D$3:$D$374,2015)</f>
        <v/>
      </c>
      <c r="I6" s="10">
        <f>SUMIFS(Helper_Clients!$K$3:$K$374,Helper_Clients!$D$3:$D$374,2015)</f>
        <v/>
      </c>
      <c r="J6" s="10">
        <f>SUMIFS(Helper_Clients!$L$3:$L$374,Helper_Clients!$D$3:$D$374,2015)</f>
        <v/>
      </c>
      <c r="K6" s="10">
        <f>SUMIFS(Helper_Clients!$M$3:$M$374,Helper_Clients!$D$3:$D$374,2015)</f>
        <v/>
      </c>
      <c r="L6" s="10">
        <f>SUMIFS(Helper_Clients!$N$3:$N$374,Helper_Clients!$D$3:$D$374,2015)</f>
        <v/>
      </c>
      <c r="M6" s="10">
        <f>SUMIFS(Helper_Clients!$O$3:$O$374,Helper_Clients!$D$3:$D$374,2015)</f>
        <v/>
      </c>
      <c r="N6" s="10">
        <f>SUMIFS(Helper_Clients!$P$3:$P$374,Helper_Clients!$D$3:$D$374,2015)</f>
        <v/>
      </c>
      <c r="O6" s="10">
        <f>SUMIFS(Helper_Clients!$Q$3:$Q$374,Helper_Clients!$D$3:$D$374,2015)</f>
        <v/>
      </c>
    </row>
    <row r="7">
      <c r="A7" s="4" t="inlineStr">
        <is>
          <t>FY2016</t>
        </is>
      </c>
      <c r="B7" s="5">
        <f>COUNTIF(Helper_Clients!$D$3:$D$374,2016)</f>
        <v/>
      </c>
      <c r="C7" s="14" t="inlineStr">
        <is>
          <t>-</t>
        </is>
      </c>
      <c r="D7" s="14" t="inlineStr">
        <is>
          <t>-</t>
        </is>
      </c>
      <c r="E7" s="10">
        <f>SUMIFS(Helper_Clients!$G$3:$G$374,Helper_Clients!$D$3:$D$374,2016)</f>
        <v/>
      </c>
      <c r="F7" s="10">
        <f>SUMIFS(Helper_Clients!$H$3:$H$374,Helper_Clients!$D$3:$D$374,2016)</f>
        <v/>
      </c>
      <c r="G7" s="10">
        <f>SUMIFS(Helper_Clients!$I$3:$I$374,Helper_Clients!$D$3:$D$374,2016)</f>
        <v/>
      </c>
      <c r="H7" s="10">
        <f>SUMIFS(Helper_Clients!$J$3:$J$374,Helper_Clients!$D$3:$D$374,2016)</f>
        <v/>
      </c>
      <c r="I7" s="10">
        <f>SUMIFS(Helper_Clients!$K$3:$K$374,Helper_Clients!$D$3:$D$374,2016)</f>
        <v/>
      </c>
      <c r="J7" s="10">
        <f>SUMIFS(Helper_Clients!$L$3:$L$374,Helper_Clients!$D$3:$D$374,2016)</f>
        <v/>
      </c>
      <c r="K7" s="10">
        <f>SUMIFS(Helper_Clients!$M$3:$M$374,Helper_Clients!$D$3:$D$374,2016)</f>
        <v/>
      </c>
      <c r="L7" s="10">
        <f>SUMIFS(Helper_Clients!$N$3:$N$374,Helper_Clients!$D$3:$D$374,2016)</f>
        <v/>
      </c>
      <c r="M7" s="10">
        <f>SUMIFS(Helper_Clients!$O$3:$O$374,Helper_Clients!$D$3:$D$374,2016)</f>
        <v/>
      </c>
      <c r="N7" s="10">
        <f>SUMIFS(Helper_Clients!$P$3:$P$374,Helper_Clients!$D$3:$D$374,2016)</f>
        <v/>
      </c>
      <c r="O7" s="10">
        <f>SUMIFS(Helper_Clients!$Q$3:$Q$374,Helper_Clients!$D$3:$D$374,2016)</f>
        <v/>
      </c>
    </row>
    <row r="8">
      <c r="A8" s="4" t="inlineStr">
        <is>
          <t>FY2017</t>
        </is>
      </c>
      <c r="B8" s="5">
        <f>COUNTIF(Helper_Clients!$D$3:$D$374,2017)</f>
        <v/>
      </c>
      <c r="C8" s="14" t="inlineStr">
        <is>
          <t>-</t>
        </is>
      </c>
      <c r="D8" s="14" t="inlineStr">
        <is>
          <t>-</t>
        </is>
      </c>
      <c r="E8" s="14" t="inlineStr">
        <is>
          <t>-</t>
        </is>
      </c>
      <c r="F8" s="10">
        <f>SUMIFS(Helper_Clients!$H$3:$H$374,Helper_Clients!$D$3:$D$374,2017)</f>
        <v/>
      </c>
      <c r="G8" s="10">
        <f>SUMIFS(Helper_Clients!$I$3:$I$374,Helper_Clients!$D$3:$D$374,2017)</f>
        <v/>
      </c>
      <c r="H8" s="10">
        <f>SUMIFS(Helper_Clients!$J$3:$J$374,Helper_Clients!$D$3:$D$374,2017)</f>
        <v/>
      </c>
      <c r="I8" s="10">
        <f>SUMIFS(Helper_Clients!$K$3:$K$374,Helper_Clients!$D$3:$D$374,2017)</f>
        <v/>
      </c>
      <c r="J8" s="10">
        <f>SUMIFS(Helper_Clients!$L$3:$L$374,Helper_Clients!$D$3:$D$374,2017)</f>
        <v/>
      </c>
      <c r="K8" s="10">
        <f>SUMIFS(Helper_Clients!$M$3:$M$374,Helper_Clients!$D$3:$D$374,2017)</f>
        <v/>
      </c>
      <c r="L8" s="10">
        <f>SUMIFS(Helper_Clients!$N$3:$N$374,Helper_Clients!$D$3:$D$374,2017)</f>
        <v/>
      </c>
      <c r="M8" s="10">
        <f>SUMIFS(Helper_Clients!$O$3:$O$374,Helper_Clients!$D$3:$D$374,2017)</f>
        <v/>
      </c>
      <c r="N8" s="10">
        <f>SUMIFS(Helper_Clients!$P$3:$P$374,Helper_Clients!$D$3:$D$374,2017)</f>
        <v/>
      </c>
      <c r="O8" s="10">
        <f>SUMIFS(Helper_Clients!$Q$3:$Q$374,Helper_Clients!$D$3:$D$374,2017)</f>
        <v/>
      </c>
    </row>
    <row r="9">
      <c r="A9" s="4" t="inlineStr">
        <is>
          <t>FY2018</t>
        </is>
      </c>
      <c r="B9" s="5">
        <f>COUNTIF(Helper_Clients!$D$3:$D$374,2018)</f>
        <v/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0">
        <f>SUMIFS(Helper_Clients!$I$3:$I$374,Helper_Clients!$D$3:$D$374,2018)</f>
        <v/>
      </c>
      <c r="H9" s="10">
        <f>SUMIFS(Helper_Clients!$J$3:$J$374,Helper_Clients!$D$3:$D$374,2018)</f>
        <v/>
      </c>
      <c r="I9" s="10">
        <f>SUMIFS(Helper_Clients!$K$3:$K$374,Helper_Clients!$D$3:$D$374,2018)</f>
        <v/>
      </c>
      <c r="J9" s="10">
        <f>SUMIFS(Helper_Clients!$L$3:$L$374,Helper_Clients!$D$3:$D$374,2018)</f>
        <v/>
      </c>
      <c r="K9" s="10">
        <f>SUMIFS(Helper_Clients!$M$3:$M$374,Helper_Clients!$D$3:$D$374,2018)</f>
        <v/>
      </c>
      <c r="L9" s="10">
        <f>SUMIFS(Helper_Clients!$N$3:$N$374,Helper_Clients!$D$3:$D$374,2018)</f>
        <v/>
      </c>
      <c r="M9" s="10">
        <f>SUMIFS(Helper_Clients!$O$3:$O$374,Helper_Clients!$D$3:$D$374,2018)</f>
        <v/>
      </c>
      <c r="N9" s="10">
        <f>SUMIFS(Helper_Clients!$P$3:$P$374,Helper_Clients!$D$3:$D$374,2018)</f>
        <v/>
      </c>
      <c r="O9" s="10">
        <f>SUMIFS(Helper_Clients!$Q$3:$Q$374,Helper_Clients!$D$3:$D$374,2018)</f>
        <v/>
      </c>
    </row>
    <row r="10">
      <c r="A10" s="4" t="inlineStr">
        <is>
          <t>FY2019</t>
        </is>
      </c>
      <c r="B10" s="5">
        <f>COUNTIF(Helper_Clients!$D$3:$D$374,2019)</f>
        <v/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0">
        <f>SUMIFS(Helper_Clients!$J$3:$J$374,Helper_Clients!$D$3:$D$374,2019)</f>
        <v/>
      </c>
      <c r="I10" s="10">
        <f>SUMIFS(Helper_Clients!$K$3:$K$374,Helper_Clients!$D$3:$D$374,2019)</f>
        <v/>
      </c>
      <c r="J10" s="10">
        <f>SUMIFS(Helper_Clients!$L$3:$L$374,Helper_Clients!$D$3:$D$374,2019)</f>
        <v/>
      </c>
      <c r="K10" s="10">
        <f>SUMIFS(Helper_Clients!$M$3:$M$374,Helper_Clients!$D$3:$D$374,2019)</f>
        <v/>
      </c>
      <c r="L10" s="10">
        <f>SUMIFS(Helper_Clients!$N$3:$N$374,Helper_Clients!$D$3:$D$374,2019)</f>
        <v/>
      </c>
      <c r="M10" s="10">
        <f>SUMIFS(Helper_Clients!$O$3:$O$374,Helper_Clients!$D$3:$D$374,2019)</f>
        <v/>
      </c>
      <c r="N10" s="10">
        <f>SUMIFS(Helper_Clients!$P$3:$P$374,Helper_Clients!$D$3:$D$374,2019)</f>
        <v/>
      </c>
      <c r="O10" s="10">
        <f>SUMIFS(Helper_Clients!$Q$3:$Q$374,Helper_Clients!$D$3:$D$374,2019)</f>
        <v/>
      </c>
    </row>
    <row r="11">
      <c r="A11" s="4" t="inlineStr">
        <is>
          <t>FY2020</t>
        </is>
      </c>
      <c r="B11" s="5">
        <f>COUNTIF(Helper_Clients!$D$3:$D$374,2020)</f>
        <v/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0">
        <f>SUMIFS(Helper_Clients!$K$3:$K$374,Helper_Clients!$D$3:$D$374,2020)</f>
        <v/>
      </c>
      <c r="J11" s="10">
        <f>SUMIFS(Helper_Clients!$L$3:$L$374,Helper_Clients!$D$3:$D$374,2020)</f>
        <v/>
      </c>
      <c r="K11" s="10">
        <f>SUMIFS(Helper_Clients!$M$3:$M$374,Helper_Clients!$D$3:$D$374,2020)</f>
        <v/>
      </c>
      <c r="L11" s="10">
        <f>SUMIFS(Helper_Clients!$N$3:$N$374,Helper_Clients!$D$3:$D$374,2020)</f>
        <v/>
      </c>
      <c r="M11" s="10">
        <f>SUMIFS(Helper_Clients!$O$3:$O$374,Helper_Clients!$D$3:$D$374,2020)</f>
        <v/>
      </c>
      <c r="N11" s="10">
        <f>SUMIFS(Helper_Clients!$P$3:$P$374,Helper_Clients!$D$3:$D$374,2020)</f>
        <v/>
      </c>
      <c r="O11" s="10">
        <f>SUMIFS(Helper_Clients!$Q$3:$Q$374,Helper_Clients!$D$3:$D$374,2020)</f>
        <v/>
      </c>
    </row>
    <row r="12">
      <c r="A12" s="4" t="inlineStr">
        <is>
          <t>FY2021</t>
        </is>
      </c>
      <c r="B12" s="5">
        <f>COUNTIF(Helper_Clients!$D$3:$D$374,2021)</f>
        <v/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  <c r="J12" s="10">
        <f>SUMIFS(Helper_Clients!$L$3:$L$374,Helper_Clients!$D$3:$D$374,2021)</f>
        <v/>
      </c>
      <c r="K12" s="10">
        <f>SUMIFS(Helper_Clients!$M$3:$M$374,Helper_Clients!$D$3:$D$374,2021)</f>
        <v/>
      </c>
      <c r="L12" s="10">
        <f>SUMIFS(Helper_Clients!$N$3:$N$374,Helper_Clients!$D$3:$D$374,2021)</f>
        <v/>
      </c>
      <c r="M12" s="10">
        <f>SUMIFS(Helper_Clients!$O$3:$O$374,Helper_Clients!$D$3:$D$374,2021)</f>
        <v/>
      </c>
      <c r="N12" s="10">
        <f>SUMIFS(Helper_Clients!$P$3:$P$374,Helper_Clients!$D$3:$D$374,2021)</f>
        <v/>
      </c>
      <c r="O12" s="10">
        <f>SUMIFS(Helper_Clients!$Q$3:$Q$374,Helper_Clients!$D$3:$D$374,2021)</f>
        <v/>
      </c>
    </row>
    <row r="13">
      <c r="A13" s="4" t="inlineStr">
        <is>
          <t>FY2022</t>
        </is>
      </c>
      <c r="B13" s="5">
        <f>COUNTIF(Helper_Clients!$D$3:$D$374,2022)</f>
        <v/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  <c r="I13" s="14" t="inlineStr">
        <is>
          <t>-</t>
        </is>
      </c>
      <c r="J13" s="14" t="inlineStr">
        <is>
          <t>-</t>
        </is>
      </c>
      <c r="K13" s="10">
        <f>SUMIFS(Helper_Clients!$M$3:$M$374,Helper_Clients!$D$3:$D$374,2022)</f>
        <v/>
      </c>
      <c r="L13" s="10">
        <f>SUMIFS(Helper_Clients!$N$3:$N$374,Helper_Clients!$D$3:$D$374,2022)</f>
        <v/>
      </c>
      <c r="M13" s="10">
        <f>SUMIFS(Helper_Clients!$O$3:$O$374,Helper_Clients!$D$3:$D$374,2022)</f>
        <v/>
      </c>
      <c r="N13" s="10">
        <f>SUMIFS(Helper_Clients!$P$3:$P$374,Helper_Clients!$D$3:$D$374,2022)</f>
        <v/>
      </c>
      <c r="O13" s="10">
        <f>SUMIFS(Helper_Clients!$Q$3:$Q$374,Helper_Clients!$D$3:$D$374,2022)</f>
        <v/>
      </c>
    </row>
    <row r="14">
      <c r="A14" s="4" t="inlineStr">
        <is>
          <t>FY2023</t>
        </is>
      </c>
      <c r="B14" s="5">
        <f>COUNTIF(Helper_Clients!$D$3:$D$374,2023)</f>
        <v/>
      </c>
      <c r="C14" s="14" t="inlineStr">
        <is>
          <t>-</t>
        </is>
      </c>
      <c r="D14" s="14" t="inlineStr">
        <is>
          <t>-</t>
        </is>
      </c>
      <c r="E14" s="14" t="inlineStr">
        <is>
          <t>-</t>
        </is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  <c r="I14" s="14" t="inlineStr">
        <is>
          <t>-</t>
        </is>
      </c>
      <c r="J14" s="14" t="inlineStr">
        <is>
          <t>-</t>
        </is>
      </c>
      <c r="K14" s="14" t="inlineStr">
        <is>
          <t>-</t>
        </is>
      </c>
      <c r="L14" s="10">
        <f>SUMIFS(Helper_Clients!$N$3:$N$374,Helper_Clients!$D$3:$D$374,2023)</f>
        <v/>
      </c>
      <c r="M14" s="10">
        <f>SUMIFS(Helper_Clients!$O$3:$O$374,Helper_Clients!$D$3:$D$374,2023)</f>
        <v/>
      </c>
      <c r="N14" s="10">
        <f>SUMIFS(Helper_Clients!$P$3:$P$374,Helper_Clients!$D$3:$D$374,2023)</f>
        <v/>
      </c>
      <c r="O14" s="10">
        <f>SUMIFS(Helper_Clients!$Q$3:$Q$374,Helper_Clients!$D$3:$D$374,2023)</f>
        <v/>
      </c>
    </row>
    <row r="15">
      <c r="A15" s="4" t="inlineStr">
        <is>
          <t>FY2024</t>
        </is>
      </c>
      <c r="B15" s="5">
        <f>COUNTIF(Helper_Clients!$D$3:$D$374,2024)</f>
        <v/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  <c r="I15" s="14" t="inlineStr">
        <is>
          <t>-</t>
        </is>
      </c>
      <c r="J15" s="14" t="inlineStr">
        <is>
          <t>-</t>
        </is>
      </c>
      <c r="K15" s="14" t="inlineStr">
        <is>
          <t>-</t>
        </is>
      </c>
      <c r="L15" s="14" t="inlineStr">
        <is>
          <t>-</t>
        </is>
      </c>
      <c r="M15" s="10">
        <f>SUMIFS(Helper_Clients!$O$3:$O$374,Helper_Clients!$D$3:$D$374,2024)</f>
        <v/>
      </c>
      <c r="N15" s="10">
        <f>SUMIFS(Helper_Clients!$P$3:$P$374,Helper_Clients!$D$3:$D$374,2024)</f>
        <v/>
      </c>
      <c r="O15" s="10">
        <f>SUMIFS(Helper_Clients!$Q$3:$Q$374,Helper_Clients!$D$3:$D$374,2024)</f>
        <v/>
      </c>
    </row>
    <row r="16">
      <c r="A16" s="4" t="inlineStr">
        <is>
          <t>FY2025</t>
        </is>
      </c>
      <c r="B16" s="5">
        <f>COUNTIF(Helper_Clients!$D$3:$D$374,2025)</f>
        <v/>
      </c>
      <c r="C16" s="14" t="inlineStr">
        <is>
          <t>-</t>
        </is>
      </c>
      <c r="D16" s="14" t="inlineStr">
        <is>
          <t>-</t>
        </is>
      </c>
      <c r="E16" s="14" t="inlineStr">
        <is>
          <t>-</t>
        </is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  <c r="I16" s="14" t="inlineStr">
        <is>
          <t>-</t>
        </is>
      </c>
      <c r="J16" s="14" t="inlineStr">
        <is>
          <t>-</t>
        </is>
      </c>
      <c r="K16" s="14" t="inlineStr">
        <is>
          <t>-</t>
        </is>
      </c>
      <c r="L16" s="14" t="inlineStr">
        <is>
          <t>-</t>
        </is>
      </c>
      <c r="M16" s="14" t="inlineStr">
        <is>
          <t>-</t>
        </is>
      </c>
      <c r="N16" s="10">
        <f>SUMIFS(Helper_Clients!$P$3:$P$374,Helper_Clients!$D$3:$D$374,2025)</f>
        <v/>
      </c>
      <c r="O16" s="10">
        <f>SUMIFS(Helper_Clients!$Q$3:$Q$374,Helper_Clients!$D$3:$D$374,2025)</f>
        <v/>
      </c>
    </row>
    <row r="17">
      <c r="A17" s="4" t="inlineStr">
        <is>
          <t>FY2026</t>
        </is>
      </c>
      <c r="B17" s="5">
        <f>COUNTIF(Helper_Clients!$D$3:$D$374,2026)</f>
        <v/>
      </c>
      <c r="C17" s="14" t="inlineStr">
        <is>
          <t>-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  <c r="J17" s="14" t="inlineStr">
        <is>
          <t>-</t>
        </is>
      </c>
      <c r="K17" s="14" t="inlineStr">
        <is>
          <t>-</t>
        </is>
      </c>
      <c r="L17" s="14" t="inlineStr">
        <is>
          <t>-</t>
        </is>
      </c>
      <c r="M17" s="14" t="inlineStr">
        <is>
          <t>-</t>
        </is>
      </c>
      <c r="N17" s="14" t="inlineStr">
        <is>
          <t>-</t>
        </is>
      </c>
      <c r="O17" s="10">
        <f>SUMIFS(Helper_Clients!$Q$3:$Q$374,Helper_Clients!$D$3:$D$374,2026)</f>
        <v/>
      </c>
    </row>
    <row r="18">
      <c r="A18" s="4" t="inlineStr">
        <is>
          <t>Total</t>
        </is>
      </c>
      <c r="B18" s="12">
        <f>SUM(B5:B17)</f>
        <v/>
      </c>
      <c r="C18" s="12">
        <f>SUM(C5:C17)</f>
        <v/>
      </c>
      <c r="D18" s="12">
        <f>SUM(D5:D17)</f>
        <v/>
      </c>
      <c r="E18" s="12">
        <f>SUM(E5:E17)</f>
        <v/>
      </c>
      <c r="F18" s="12">
        <f>SUM(F5:F17)</f>
        <v/>
      </c>
      <c r="G18" s="12">
        <f>SUM(G5:G17)</f>
        <v/>
      </c>
      <c r="H18" s="12">
        <f>SUM(H5:H17)</f>
        <v/>
      </c>
      <c r="I18" s="12">
        <f>SUM(I5:I17)</f>
        <v/>
      </c>
      <c r="J18" s="12">
        <f>SUM(J5:J17)</f>
        <v/>
      </c>
      <c r="K18" s="12">
        <f>SUM(K5:K17)</f>
        <v/>
      </c>
      <c r="L18" s="12">
        <f>SUM(L5:L17)</f>
        <v/>
      </c>
      <c r="M18" s="12">
        <f>SUM(M5:M17)</f>
        <v/>
      </c>
      <c r="N18" s="12">
        <f>SUM(N5:N17)</f>
        <v/>
      </c>
      <c r="O18" s="12">
        <f>SUM(O5:O17)</f>
        <v/>
      </c>
    </row>
    <row r="21">
      <c r="A21" s="9" t="inlineStr">
        <is>
          <t>Cohort revenue indexed to vintage year (= 100)</t>
        </is>
      </c>
    </row>
    <row r="22">
      <c r="A22" s="3" t="inlineStr">
        <is>
          <t>Cohort vintage</t>
        </is>
      </c>
      <c r="C22" s="3" t="inlineStr">
        <is>
          <t>FY2014A</t>
        </is>
      </c>
      <c r="D22" s="3" t="inlineStr">
        <is>
          <t>FY2015A</t>
        </is>
      </c>
      <c r="E22" s="3" t="inlineStr">
        <is>
          <t>FY2016A</t>
        </is>
      </c>
      <c r="F22" s="3" t="inlineStr">
        <is>
          <t>FY2017A</t>
        </is>
      </c>
      <c r="G22" s="3" t="inlineStr">
        <is>
          <t>FY2018A</t>
        </is>
      </c>
      <c r="H22" s="3" t="inlineStr">
        <is>
          <t>FY2019A</t>
        </is>
      </c>
      <c r="I22" s="3" t="inlineStr">
        <is>
          <t>FY2020A</t>
        </is>
      </c>
      <c r="J22" s="3" t="inlineStr">
        <is>
          <t>FY2021A</t>
        </is>
      </c>
      <c r="K22" s="3" t="inlineStr">
        <is>
          <t>FY2022A</t>
        </is>
      </c>
      <c r="L22" s="3" t="inlineStr">
        <is>
          <t>FY2023A</t>
        </is>
      </c>
      <c r="M22" s="3" t="inlineStr">
        <is>
          <t>FY2024A</t>
        </is>
      </c>
      <c r="N22" s="3" t="inlineStr">
        <is>
          <t>FY2025A</t>
        </is>
      </c>
      <c r="O22" s="3" t="inlineStr">
        <is>
          <t>FY2026A</t>
        </is>
      </c>
    </row>
    <row r="23">
      <c r="A23" s="4" t="inlineStr">
        <is>
          <t>FY2014</t>
        </is>
      </c>
      <c r="C23" s="8">
        <f>IFERROR(C5/C5*100,"-")</f>
        <v/>
      </c>
      <c r="D23" s="8">
        <f>IFERROR(D5/C5*100,"-")</f>
        <v/>
      </c>
      <c r="E23" s="8">
        <f>IFERROR(E5/C5*100,"-")</f>
        <v/>
      </c>
      <c r="F23" s="8">
        <f>IFERROR(F5/C5*100,"-")</f>
        <v/>
      </c>
      <c r="G23" s="8">
        <f>IFERROR(G5/C5*100,"-")</f>
        <v/>
      </c>
      <c r="H23" s="8">
        <f>IFERROR(H5/C5*100,"-")</f>
        <v/>
      </c>
      <c r="I23" s="8">
        <f>IFERROR(I5/C5*100,"-")</f>
        <v/>
      </c>
      <c r="J23" s="8">
        <f>IFERROR(J5/C5*100,"-")</f>
        <v/>
      </c>
      <c r="K23" s="8">
        <f>IFERROR(K5/C5*100,"-")</f>
        <v/>
      </c>
      <c r="L23" s="8">
        <f>IFERROR(L5/C5*100,"-")</f>
        <v/>
      </c>
      <c r="M23" s="8">
        <f>IFERROR(M5/C5*100,"-")</f>
        <v/>
      </c>
      <c r="N23" s="8">
        <f>IFERROR(N5/C5*100,"-")</f>
        <v/>
      </c>
      <c r="O23" s="8">
        <f>IFERROR(O5/C5*100,"-")</f>
        <v/>
      </c>
    </row>
    <row r="24">
      <c r="A24" s="4" t="inlineStr">
        <is>
          <t>FY2015</t>
        </is>
      </c>
      <c r="C24" s="14" t="inlineStr">
        <is>
          <t>-</t>
        </is>
      </c>
      <c r="D24" s="8">
        <f>IFERROR(D6/D6*100,"-")</f>
        <v/>
      </c>
      <c r="E24" s="8">
        <f>IFERROR(E6/D6*100,"-")</f>
        <v/>
      </c>
      <c r="F24" s="8">
        <f>IFERROR(F6/D6*100,"-")</f>
        <v/>
      </c>
      <c r="G24" s="8">
        <f>IFERROR(G6/D6*100,"-")</f>
        <v/>
      </c>
      <c r="H24" s="8">
        <f>IFERROR(H6/D6*100,"-")</f>
        <v/>
      </c>
      <c r="I24" s="8">
        <f>IFERROR(I6/D6*100,"-")</f>
        <v/>
      </c>
      <c r="J24" s="8">
        <f>IFERROR(J6/D6*100,"-")</f>
        <v/>
      </c>
      <c r="K24" s="8">
        <f>IFERROR(K6/D6*100,"-")</f>
        <v/>
      </c>
      <c r="L24" s="8">
        <f>IFERROR(L6/D6*100,"-")</f>
        <v/>
      </c>
      <c r="M24" s="8">
        <f>IFERROR(M6/D6*100,"-")</f>
        <v/>
      </c>
      <c r="N24" s="8">
        <f>IFERROR(N6/D6*100,"-")</f>
        <v/>
      </c>
      <c r="O24" s="8">
        <f>IFERROR(O6/D6*100,"-")</f>
        <v/>
      </c>
    </row>
    <row r="25">
      <c r="A25" s="4" t="inlineStr">
        <is>
          <t>FY2016</t>
        </is>
      </c>
      <c r="C25" s="14" t="inlineStr">
        <is>
          <t>-</t>
        </is>
      </c>
      <c r="D25" s="14" t="inlineStr">
        <is>
          <t>-</t>
        </is>
      </c>
      <c r="E25" s="8">
        <f>IFERROR(E7/E7*100,"-")</f>
        <v/>
      </c>
      <c r="F25" s="8">
        <f>IFERROR(F7/E7*100,"-")</f>
        <v/>
      </c>
      <c r="G25" s="8">
        <f>IFERROR(G7/E7*100,"-")</f>
        <v/>
      </c>
      <c r="H25" s="8">
        <f>IFERROR(H7/E7*100,"-")</f>
        <v/>
      </c>
      <c r="I25" s="8">
        <f>IFERROR(I7/E7*100,"-")</f>
        <v/>
      </c>
      <c r="J25" s="8">
        <f>IFERROR(J7/E7*100,"-")</f>
        <v/>
      </c>
      <c r="K25" s="8">
        <f>IFERROR(K7/E7*100,"-")</f>
        <v/>
      </c>
      <c r="L25" s="8">
        <f>IFERROR(L7/E7*100,"-")</f>
        <v/>
      </c>
      <c r="M25" s="8">
        <f>IFERROR(M7/E7*100,"-")</f>
        <v/>
      </c>
      <c r="N25" s="8">
        <f>IFERROR(N7/E7*100,"-")</f>
        <v/>
      </c>
      <c r="O25" s="8">
        <f>IFERROR(O7/E7*100,"-")</f>
        <v/>
      </c>
    </row>
    <row r="26">
      <c r="A26" s="4" t="inlineStr">
        <is>
          <t>FY2017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  <c r="F26" s="8">
        <f>IFERROR(F8/F8*100,"-")</f>
        <v/>
      </c>
      <c r="G26" s="8">
        <f>IFERROR(G8/F8*100,"-")</f>
        <v/>
      </c>
      <c r="H26" s="8">
        <f>IFERROR(H8/F8*100,"-")</f>
        <v/>
      </c>
      <c r="I26" s="8">
        <f>IFERROR(I8/F8*100,"-")</f>
        <v/>
      </c>
      <c r="J26" s="8">
        <f>IFERROR(J8/F8*100,"-")</f>
        <v/>
      </c>
      <c r="K26" s="8">
        <f>IFERROR(K8/F8*100,"-")</f>
        <v/>
      </c>
      <c r="L26" s="8">
        <f>IFERROR(L8/F8*100,"-")</f>
        <v/>
      </c>
      <c r="M26" s="8">
        <f>IFERROR(M8/F8*100,"-")</f>
        <v/>
      </c>
      <c r="N26" s="8">
        <f>IFERROR(N8/F8*100,"-")</f>
        <v/>
      </c>
      <c r="O26" s="8">
        <f>IFERROR(O8/F8*100,"-")</f>
        <v/>
      </c>
    </row>
    <row r="27">
      <c r="A27" s="4" t="inlineStr">
        <is>
          <t>FY2018</t>
        </is>
      </c>
      <c r="C27" s="14" t="inlineStr">
        <is>
          <t>-</t>
        </is>
      </c>
      <c r="D27" s="14" t="inlineStr">
        <is>
          <t>-</t>
        </is>
      </c>
      <c r="E27" s="14" t="inlineStr">
        <is>
          <t>-</t>
        </is>
      </c>
      <c r="F27" s="14" t="inlineStr">
        <is>
          <t>-</t>
        </is>
      </c>
      <c r="G27" s="8">
        <f>IFERROR(G9/G9*100,"-")</f>
        <v/>
      </c>
      <c r="H27" s="8">
        <f>IFERROR(H9/G9*100,"-")</f>
        <v/>
      </c>
      <c r="I27" s="8">
        <f>IFERROR(I9/G9*100,"-")</f>
        <v/>
      </c>
      <c r="J27" s="8">
        <f>IFERROR(J9/G9*100,"-")</f>
        <v/>
      </c>
      <c r="K27" s="8">
        <f>IFERROR(K9/G9*100,"-")</f>
        <v/>
      </c>
      <c r="L27" s="8">
        <f>IFERROR(L9/G9*100,"-")</f>
        <v/>
      </c>
      <c r="M27" s="8">
        <f>IFERROR(M9/G9*100,"-")</f>
        <v/>
      </c>
      <c r="N27" s="8">
        <f>IFERROR(N9/G9*100,"-")</f>
        <v/>
      </c>
      <c r="O27" s="8">
        <f>IFERROR(O9/G9*100,"-")</f>
        <v/>
      </c>
    </row>
    <row r="28">
      <c r="A28" s="4" t="inlineStr">
        <is>
          <t>FY2019</t>
        </is>
      </c>
      <c r="C28" s="14" t="inlineStr">
        <is>
          <t>-</t>
        </is>
      </c>
      <c r="D28" s="14" t="inlineStr">
        <is>
          <t>-</t>
        </is>
      </c>
      <c r="E28" s="14" t="inlineStr">
        <is>
          <t>-</t>
        </is>
      </c>
      <c r="F28" s="14" t="inlineStr">
        <is>
          <t>-</t>
        </is>
      </c>
      <c r="G28" s="14" t="inlineStr">
        <is>
          <t>-</t>
        </is>
      </c>
      <c r="H28" s="8">
        <f>IFERROR(H10/H10*100,"-")</f>
        <v/>
      </c>
      <c r="I28" s="8">
        <f>IFERROR(I10/H10*100,"-")</f>
        <v/>
      </c>
      <c r="J28" s="8">
        <f>IFERROR(J10/H10*100,"-")</f>
        <v/>
      </c>
      <c r="K28" s="8">
        <f>IFERROR(K10/H10*100,"-")</f>
        <v/>
      </c>
      <c r="L28" s="8">
        <f>IFERROR(L10/H10*100,"-")</f>
        <v/>
      </c>
      <c r="M28" s="8">
        <f>IFERROR(M10/H10*100,"-")</f>
        <v/>
      </c>
      <c r="N28" s="8">
        <f>IFERROR(N10/H10*100,"-")</f>
        <v/>
      </c>
      <c r="O28" s="8">
        <f>IFERROR(O10/H10*100,"-")</f>
        <v/>
      </c>
    </row>
    <row r="29">
      <c r="A29" s="4" t="inlineStr">
        <is>
          <t>FY2020</t>
        </is>
      </c>
      <c r="C29" s="14" t="inlineStr">
        <is>
          <t>-</t>
        </is>
      </c>
      <c r="D29" s="14" t="inlineStr">
        <is>
          <t>-</t>
        </is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8">
        <f>IFERROR(I11/I11*100,"-")</f>
        <v/>
      </c>
      <c r="J29" s="8">
        <f>IFERROR(J11/I11*100,"-")</f>
        <v/>
      </c>
      <c r="K29" s="8">
        <f>IFERROR(K11/I11*100,"-")</f>
        <v/>
      </c>
      <c r="L29" s="8">
        <f>IFERROR(L11/I11*100,"-")</f>
        <v/>
      </c>
      <c r="M29" s="8">
        <f>IFERROR(M11/I11*100,"-")</f>
        <v/>
      </c>
      <c r="N29" s="8">
        <f>IFERROR(N11/I11*100,"-")</f>
        <v/>
      </c>
      <c r="O29" s="8">
        <f>IFERROR(O11/I11*100,"-")</f>
        <v/>
      </c>
    </row>
    <row r="30">
      <c r="A30" s="4" t="inlineStr">
        <is>
          <t>FY2021</t>
        </is>
      </c>
      <c r="C30" s="14" t="inlineStr">
        <is>
          <t>-</t>
        </is>
      </c>
      <c r="D30" s="14" t="inlineStr">
        <is>
          <t>-</t>
        </is>
      </c>
      <c r="E30" s="14" t="inlineStr">
        <is>
          <t>-</t>
        </is>
      </c>
      <c r="F30" s="14" t="inlineStr">
        <is>
          <t>-</t>
        </is>
      </c>
      <c r="G30" s="14" t="inlineStr">
        <is>
          <t>-</t>
        </is>
      </c>
      <c r="H30" s="14" t="inlineStr">
        <is>
          <t>-</t>
        </is>
      </c>
      <c r="I30" s="14" t="inlineStr">
        <is>
          <t>-</t>
        </is>
      </c>
      <c r="J30" s="8">
        <f>IFERROR(J12/J12*100,"-")</f>
        <v/>
      </c>
      <c r="K30" s="8">
        <f>IFERROR(K12/J12*100,"-")</f>
        <v/>
      </c>
      <c r="L30" s="8">
        <f>IFERROR(L12/J12*100,"-")</f>
        <v/>
      </c>
      <c r="M30" s="8">
        <f>IFERROR(M12/J12*100,"-")</f>
        <v/>
      </c>
      <c r="N30" s="8">
        <f>IFERROR(N12/J12*100,"-")</f>
        <v/>
      </c>
      <c r="O30" s="8">
        <f>IFERROR(O12/J12*100,"-")</f>
        <v/>
      </c>
    </row>
    <row r="31">
      <c r="A31" s="4" t="inlineStr">
        <is>
          <t>FY2022</t>
        </is>
      </c>
      <c r="C31" s="14" t="inlineStr">
        <is>
          <t>-</t>
        </is>
      </c>
      <c r="D31" s="14" t="inlineStr">
        <is>
          <t>-</t>
        </is>
      </c>
      <c r="E31" s="14" t="inlineStr">
        <is>
          <t>-</t>
        </is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-</t>
        </is>
      </c>
      <c r="K31" s="8">
        <f>IFERROR(K13/K13*100,"-")</f>
        <v/>
      </c>
      <c r="L31" s="8">
        <f>IFERROR(L13/K13*100,"-")</f>
        <v/>
      </c>
      <c r="M31" s="8">
        <f>IFERROR(M13/K13*100,"-")</f>
        <v/>
      </c>
      <c r="N31" s="8">
        <f>IFERROR(N13/K13*100,"-")</f>
        <v/>
      </c>
      <c r="O31" s="8">
        <f>IFERROR(O13/K13*100,"-")</f>
        <v/>
      </c>
    </row>
    <row r="32">
      <c r="A32" s="4" t="inlineStr">
        <is>
          <t>FY2023</t>
        </is>
      </c>
      <c r="C32" s="14" t="inlineStr">
        <is>
          <t>-</t>
        </is>
      </c>
      <c r="D32" s="14" t="inlineStr">
        <is>
          <t>-</t>
        </is>
      </c>
      <c r="E32" s="14" t="inlineStr">
        <is>
          <t>-</t>
        </is>
      </c>
      <c r="F32" s="14" t="inlineStr">
        <is>
          <t>-</t>
        </is>
      </c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  <c r="J32" s="14" t="inlineStr">
        <is>
          <t>-</t>
        </is>
      </c>
      <c r="K32" s="14" t="inlineStr">
        <is>
          <t>-</t>
        </is>
      </c>
      <c r="L32" s="8">
        <f>IFERROR(L14/L14*100,"-")</f>
        <v/>
      </c>
      <c r="M32" s="8">
        <f>IFERROR(M14/L14*100,"-")</f>
        <v/>
      </c>
      <c r="N32" s="8">
        <f>IFERROR(N14/L14*100,"-")</f>
        <v/>
      </c>
      <c r="O32" s="8">
        <f>IFERROR(O14/L14*100,"-")</f>
        <v/>
      </c>
    </row>
    <row r="33">
      <c r="A33" s="4" t="inlineStr">
        <is>
          <t>FY2024</t>
        </is>
      </c>
      <c r="C33" s="14" t="inlineStr">
        <is>
          <t>-</t>
        </is>
      </c>
      <c r="D33" s="14" t="inlineStr">
        <is>
          <t>-</t>
        </is>
      </c>
      <c r="E33" s="14" t="inlineStr">
        <is>
          <t>-</t>
        </is>
      </c>
      <c r="F33" s="14" t="inlineStr">
        <is>
          <t>-</t>
        </is>
      </c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  <c r="J33" s="14" t="inlineStr">
        <is>
          <t>-</t>
        </is>
      </c>
      <c r="K33" s="14" t="inlineStr">
        <is>
          <t>-</t>
        </is>
      </c>
      <c r="L33" s="14" t="inlineStr">
        <is>
          <t>-</t>
        </is>
      </c>
      <c r="M33" s="8">
        <f>IFERROR(M15/M15*100,"-")</f>
        <v/>
      </c>
      <c r="N33" s="8">
        <f>IFERROR(N15/M15*100,"-")</f>
        <v/>
      </c>
      <c r="O33" s="8">
        <f>IFERROR(O15/M15*100,"-")</f>
        <v/>
      </c>
    </row>
    <row r="34">
      <c r="A34" s="4" t="inlineStr">
        <is>
          <t>FY2025</t>
        </is>
      </c>
      <c r="C34" s="14" t="inlineStr">
        <is>
          <t>-</t>
        </is>
      </c>
      <c r="D34" s="14" t="inlineStr">
        <is>
          <t>-</t>
        </is>
      </c>
      <c r="E34" s="14" t="inlineStr">
        <is>
          <t>-</t>
        </is>
      </c>
      <c r="F34" s="14" t="inlineStr">
        <is>
          <t>-</t>
        </is>
      </c>
      <c r="G34" s="14" t="inlineStr">
        <is>
          <t>-</t>
        </is>
      </c>
      <c r="H34" s="14" t="inlineStr">
        <is>
          <t>-</t>
        </is>
      </c>
      <c r="I34" s="14" t="inlineStr">
        <is>
          <t>-</t>
        </is>
      </c>
      <c r="J34" s="14" t="inlineStr">
        <is>
          <t>-</t>
        </is>
      </c>
      <c r="K34" s="14" t="inlineStr">
        <is>
          <t>-</t>
        </is>
      </c>
      <c r="L34" s="14" t="inlineStr">
        <is>
          <t>-</t>
        </is>
      </c>
      <c r="M34" s="14" t="inlineStr">
        <is>
          <t>-</t>
        </is>
      </c>
      <c r="N34" s="8">
        <f>IFERROR(N16/N16*100,"-")</f>
        <v/>
      </c>
      <c r="O34" s="8">
        <f>IFERROR(O16/N16*100,"-")</f>
        <v/>
      </c>
    </row>
    <row r="35">
      <c r="A35" s="4" t="inlineStr">
        <is>
          <t>FY2026</t>
        </is>
      </c>
      <c r="C35" s="14" t="inlineStr">
        <is>
          <t>-</t>
        </is>
      </c>
      <c r="D35" s="14" t="inlineStr">
        <is>
          <t>-</t>
        </is>
      </c>
      <c r="E35" s="14" t="inlineStr">
        <is>
          <t>-</t>
        </is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  <c r="J35" s="14" t="inlineStr">
        <is>
          <t>-</t>
        </is>
      </c>
      <c r="K35" s="14" t="inlineStr">
        <is>
          <t>-</t>
        </is>
      </c>
      <c r="L35" s="14" t="inlineStr">
        <is>
          <t>-</t>
        </is>
      </c>
      <c r="M35" s="14" t="inlineStr">
        <is>
          <t>-</t>
        </is>
      </c>
      <c r="N35" s="14" t="inlineStr">
        <is>
          <t>-</t>
        </is>
      </c>
      <c r="O35" s="8">
        <f>IFERROR(O17/O17*100,"-")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73B57"/>
    <outlinePr summaryBelow="1" summaryRight="1"/>
    <pageSetUpPr/>
  </sheetPr>
  <dimension ref="A1:N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Client Dynamics — New / Active / Churned (£ GBP)</t>
        </is>
      </c>
    </row>
    <row r="2">
      <c r="A2" s="15" t="inlineStr">
        <is>
          <t>Active = client with revenue &gt; 0 in the year. New = first FY in this year. Churned = was active in N-1 but not in N.</t>
        </is>
      </c>
    </row>
    <row r="4">
      <c r="A4" s="3" t="inlineStr">
        <is>
          <t>Metric</t>
        </is>
      </c>
      <c r="B4" s="3" t="inlineStr">
        <is>
          <t>FY2014A</t>
        </is>
      </c>
      <c r="C4" s="3" t="inlineStr">
        <is>
          <t>FY2015A</t>
        </is>
      </c>
      <c r="D4" s="3" t="inlineStr">
        <is>
          <t>FY2016A</t>
        </is>
      </c>
      <c r="E4" s="3" t="inlineStr">
        <is>
          <t>FY2017A</t>
        </is>
      </c>
      <c r="F4" s="3" t="inlineStr">
        <is>
          <t>FY2018A</t>
        </is>
      </c>
      <c r="G4" s="3" t="inlineStr">
        <is>
          <t>FY2019A</t>
        </is>
      </c>
      <c r="H4" s="3" t="inlineStr">
        <is>
          <t>FY2020A</t>
        </is>
      </c>
      <c r="I4" s="3" t="inlineStr">
        <is>
          <t>FY2021A</t>
        </is>
      </c>
      <c r="J4" s="3" t="inlineStr">
        <is>
          <t>FY2022A</t>
        </is>
      </c>
      <c r="K4" s="3" t="inlineStr">
        <is>
          <t>FY2023A</t>
        </is>
      </c>
      <c r="L4" s="3" t="inlineStr">
        <is>
          <t>FY2024A</t>
        </is>
      </c>
      <c r="M4" s="3" t="inlineStr">
        <is>
          <t>FY2025A</t>
        </is>
      </c>
      <c r="N4" s="3" t="inlineStr">
        <is>
          <t>FY2026A</t>
        </is>
      </c>
    </row>
    <row r="5">
      <c r="A5" s="4" t="inlineStr">
        <is>
          <t># Active clients</t>
        </is>
      </c>
      <c r="B5" s="5">
        <f>COUNTIF(Helper_Clients!$E$3:$E$374,"&gt;0")</f>
        <v/>
      </c>
      <c r="C5" s="5">
        <f>COUNTIF(Helper_Clients!$F$3:$F$374,"&gt;0")</f>
        <v/>
      </c>
      <c r="D5" s="5">
        <f>COUNTIF(Helper_Clients!$G$3:$G$374,"&gt;0")</f>
        <v/>
      </c>
      <c r="E5" s="5">
        <f>COUNTIF(Helper_Clients!$H$3:$H$374,"&gt;0")</f>
        <v/>
      </c>
      <c r="F5" s="5">
        <f>COUNTIF(Helper_Clients!$I$3:$I$374,"&gt;0")</f>
        <v/>
      </c>
      <c r="G5" s="5">
        <f>COUNTIF(Helper_Clients!$J$3:$J$374,"&gt;0")</f>
        <v/>
      </c>
      <c r="H5" s="5">
        <f>COUNTIF(Helper_Clients!$K$3:$K$374,"&gt;0")</f>
        <v/>
      </c>
      <c r="I5" s="5">
        <f>COUNTIF(Helper_Clients!$L$3:$L$374,"&gt;0")</f>
        <v/>
      </c>
      <c r="J5" s="5">
        <f>COUNTIF(Helper_Clients!$M$3:$M$374,"&gt;0")</f>
        <v/>
      </c>
      <c r="K5" s="5">
        <f>COUNTIF(Helper_Clients!$N$3:$N$374,"&gt;0")</f>
        <v/>
      </c>
      <c r="L5" s="5">
        <f>COUNTIF(Helper_Clients!$O$3:$O$374,"&gt;0")</f>
        <v/>
      </c>
      <c r="M5" s="5">
        <f>COUNTIF(Helper_Clients!$P$3:$P$374,"&gt;0")</f>
        <v/>
      </c>
      <c r="N5" s="5">
        <f>COUNTIF(Helper_Clients!$Q$3:$Q$374,"&gt;0")</f>
        <v/>
      </c>
    </row>
    <row r="6">
      <c r="A6" s="6" t="inlineStr">
        <is>
          <t># New clients</t>
        </is>
      </c>
      <c r="B6" s="10">
        <f>COUNTIF(Helper_Clients!$D$3:$D$374,2014)</f>
        <v/>
      </c>
      <c r="C6" s="10">
        <f>COUNTIF(Helper_Clients!$D$3:$D$374,2015)</f>
        <v/>
      </c>
      <c r="D6" s="10">
        <f>COUNTIF(Helper_Clients!$D$3:$D$374,2016)</f>
        <v/>
      </c>
      <c r="E6" s="10">
        <f>COUNTIF(Helper_Clients!$D$3:$D$374,2017)</f>
        <v/>
      </c>
      <c r="F6" s="10">
        <f>COUNTIF(Helper_Clients!$D$3:$D$374,2018)</f>
        <v/>
      </c>
      <c r="G6" s="10">
        <f>COUNTIF(Helper_Clients!$D$3:$D$374,2019)</f>
        <v/>
      </c>
      <c r="H6" s="10">
        <f>COUNTIF(Helper_Clients!$D$3:$D$374,2020)</f>
        <v/>
      </c>
      <c r="I6" s="10">
        <f>COUNTIF(Helper_Clients!$D$3:$D$374,2021)</f>
        <v/>
      </c>
      <c r="J6" s="10">
        <f>COUNTIF(Helper_Clients!$D$3:$D$374,2022)</f>
        <v/>
      </c>
      <c r="K6" s="10">
        <f>COUNTIF(Helper_Clients!$D$3:$D$374,2023)</f>
        <v/>
      </c>
      <c r="L6" s="10">
        <f>COUNTIF(Helper_Clients!$D$3:$D$374,2024)</f>
        <v/>
      </c>
      <c r="M6" s="10">
        <f>COUNTIF(Helper_Clients!$D$3:$D$374,2025)</f>
        <v/>
      </c>
      <c r="N6" s="10">
        <f>COUNTIF(Helper_Clients!$D$3:$D$374,2026)</f>
        <v/>
      </c>
    </row>
    <row r="7">
      <c r="A7" s="6" t="inlineStr">
        <is>
          <t># Churned clients</t>
        </is>
      </c>
      <c r="B7" s="14" t="inlineStr">
        <is>
          <t>-</t>
        </is>
      </c>
      <c r="C7" s="10">
        <f>SUMPRODUCT((Helper_Clients!$E$3:$E$374&gt;0)*(Helper_Clients!$F$3:$F$374=0))</f>
        <v/>
      </c>
      <c r="D7" s="10">
        <f>SUMPRODUCT((Helper_Clients!$F$3:$F$374&gt;0)*(Helper_Clients!$G$3:$G$374=0))</f>
        <v/>
      </c>
      <c r="E7" s="10">
        <f>SUMPRODUCT((Helper_Clients!$G$3:$G$374&gt;0)*(Helper_Clients!$H$3:$H$374=0))</f>
        <v/>
      </c>
      <c r="F7" s="10">
        <f>SUMPRODUCT((Helper_Clients!$H$3:$H$374&gt;0)*(Helper_Clients!$I$3:$I$374=0))</f>
        <v/>
      </c>
      <c r="G7" s="10">
        <f>SUMPRODUCT((Helper_Clients!$I$3:$I$374&gt;0)*(Helper_Clients!$J$3:$J$374=0))</f>
        <v/>
      </c>
      <c r="H7" s="10">
        <f>SUMPRODUCT((Helper_Clients!$J$3:$J$374&gt;0)*(Helper_Clients!$K$3:$K$374=0))</f>
        <v/>
      </c>
      <c r="I7" s="10">
        <f>SUMPRODUCT((Helper_Clients!$K$3:$K$374&gt;0)*(Helper_Clients!$L$3:$L$374=0))</f>
        <v/>
      </c>
      <c r="J7" s="10">
        <f>SUMPRODUCT((Helper_Clients!$L$3:$L$374&gt;0)*(Helper_Clients!$M$3:$M$374=0))</f>
        <v/>
      </c>
      <c r="K7" s="10">
        <f>SUMPRODUCT((Helper_Clients!$M$3:$M$374&gt;0)*(Helper_Clients!$N$3:$N$374=0))</f>
        <v/>
      </c>
      <c r="L7" s="10">
        <f>SUMPRODUCT((Helper_Clients!$N$3:$N$374&gt;0)*(Helper_Clients!$O$3:$O$374=0))</f>
        <v/>
      </c>
      <c r="M7" s="10">
        <f>SUMPRODUCT((Helper_Clients!$O$3:$O$374&gt;0)*(Helper_Clients!$P$3:$P$374=0))</f>
        <v/>
      </c>
      <c r="N7" s="10">
        <f>SUMPRODUCT((Helper_Clients!$P$3:$P$374&gt;0)*(Helper_Clients!$Q$3:$Q$374=0))</f>
        <v/>
      </c>
    </row>
    <row r="8">
      <c r="A8" s="6" t="inlineStr">
        <is>
          <t>Net adds (New - Churned)</t>
        </is>
      </c>
      <c r="B8" s="14" t="inlineStr">
        <is>
          <t>-</t>
        </is>
      </c>
      <c r="C8" s="10">
        <f>C6-C7</f>
        <v/>
      </c>
      <c r="D8" s="10">
        <f>D6-D7</f>
        <v/>
      </c>
      <c r="E8" s="10">
        <f>E6-E7</f>
        <v/>
      </c>
      <c r="F8" s="10">
        <f>F6-F7</f>
        <v/>
      </c>
      <c r="G8" s="10">
        <f>G6-G7</f>
        <v/>
      </c>
      <c r="H8" s="10">
        <f>H6-H7</f>
        <v/>
      </c>
      <c r="I8" s="10">
        <f>I6-I7</f>
        <v/>
      </c>
      <c r="J8" s="10">
        <f>J6-J7</f>
        <v/>
      </c>
      <c r="K8" s="10">
        <f>K6-K7</f>
        <v/>
      </c>
      <c r="L8" s="10">
        <f>L6-L7</f>
        <v/>
      </c>
      <c r="M8" s="10">
        <f>M6-M7</f>
        <v/>
      </c>
      <c r="N8" s="10">
        <f>N6-N7</f>
        <v/>
      </c>
    </row>
    <row r="10">
      <c r="A10" s="6" t="inlineStr">
        <is>
          <t>Logo retention %</t>
        </is>
      </c>
      <c r="B10" s="14" t="inlineStr">
        <is>
          <t>-</t>
        </is>
      </c>
      <c r="C10" s="7">
        <f>IFERROR((C5-C6)/B5,"-")</f>
        <v/>
      </c>
      <c r="D10" s="7">
        <f>IFERROR((D5-D6)/C5,"-")</f>
        <v/>
      </c>
      <c r="E10" s="7">
        <f>IFERROR((E5-E6)/D5,"-")</f>
        <v/>
      </c>
      <c r="F10" s="7">
        <f>IFERROR((F5-F6)/E5,"-")</f>
        <v/>
      </c>
      <c r="G10" s="7">
        <f>IFERROR((G5-G6)/F5,"-")</f>
        <v/>
      </c>
      <c r="H10" s="7">
        <f>IFERROR((H5-H6)/G5,"-")</f>
        <v/>
      </c>
      <c r="I10" s="7">
        <f>IFERROR((I5-I6)/H5,"-")</f>
        <v/>
      </c>
      <c r="J10" s="7">
        <f>IFERROR((J5-J6)/I5,"-")</f>
        <v/>
      </c>
      <c r="K10" s="7">
        <f>IFERROR((K5-K6)/J5,"-")</f>
        <v/>
      </c>
      <c r="L10" s="7">
        <f>IFERROR((L5-L6)/K5,"-")</f>
        <v/>
      </c>
      <c r="M10" s="7">
        <f>IFERROR((M5-M6)/L5,"-")</f>
        <v/>
      </c>
      <c r="N10" s="7">
        <f>IFERROR((N5-N6)/M5,"-")</f>
        <v/>
      </c>
    </row>
    <row r="11">
      <c r="A11" s="6" t="inlineStr">
        <is>
          <t>GRR — Same client base (£)</t>
        </is>
      </c>
      <c r="B11" s="14" t="inlineStr">
        <is>
          <t>-</t>
        </is>
      </c>
      <c r="C11" s="7">
        <f>IFERROR(SUMPRODUCT((Helper_Clients!$E$3:$E$374&gt;0)*IF(Helper_Clients!$F$3:$F$374&lt;Helper_Clients!$E$3:$E$374,Helper_Clients!$F$3:$F$374,Helper_Clients!$E$3:$E$374))/SUMIF(Helper_Clients!$E$3:$E$374,"&gt;0"),"-")</f>
        <v/>
      </c>
      <c r="D11" s="7">
        <f>IFERROR(SUMPRODUCT((Helper_Clients!$F$3:$F$374&gt;0)*IF(Helper_Clients!$G$3:$G$374&lt;Helper_Clients!$F$3:$F$374,Helper_Clients!$G$3:$G$374,Helper_Clients!$F$3:$F$374))/SUMIF(Helper_Clients!$F$3:$F$374,"&gt;0"),"-")</f>
        <v/>
      </c>
      <c r="E11" s="7">
        <f>IFERROR(SUMPRODUCT((Helper_Clients!$G$3:$G$374&gt;0)*IF(Helper_Clients!$H$3:$H$374&lt;Helper_Clients!$G$3:$G$374,Helper_Clients!$H$3:$H$374,Helper_Clients!$G$3:$G$374))/SUMIF(Helper_Clients!$G$3:$G$374,"&gt;0"),"-")</f>
        <v/>
      </c>
      <c r="F11" s="7">
        <f>IFERROR(SUMPRODUCT((Helper_Clients!$H$3:$H$374&gt;0)*IF(Helper_Clients!$I$3:$I$374&lt;Helper_Clients!$H$3:$H$374,Helper_Clients!$I$3:$I$374,Helper_Clients!$H$3:$H$374))/SUMIF(Helper_Clients!$H$3:$H$374,"&gt;0"),"-")</f>
        <v/>
      </c>
      <c r="G11" s="7">
        <f>IFERROR(SUMPRODUCT((Helper_Clients!$I$3:$I$374&gt;0)*IF(Helper_Clients!$J$3:$J$374&lt;Helper_Clients!$I$3:$I$374,Helper_Clients!$J$3:$J$374,Helper_Clients!$I$3:$I$374))/SUMIF(Helper_Clients!$I$3:$I$374,"&gt;0"),"-")</f>
        <v/>
      </c>
      <c r="H11" s="7">
        <f>IFERROR(SUMPRODUCT((Helper_Clients!$J$3:$J$374&gt;0)*IF(Helper_Clients!$K$3:$K$374&lt;Helper_Clients!$J$3:$J$374,Helper_Clients!$K$3:$K$374,Helper_Clients!$J$3:$J$374))/SUMIF(Helper_Clients!$J$3:$J$374,"&gt;0"),"-")</f>
        <v/>
      </c>
      <c r="I11" s="7">
        <f>IFERROR(SUMPRODUCT((Helper_Clients!$K$3:$K$374&gt;0)*IF(Helper_Clients!$L$3:$L$374&lt;Helper_Clients!$K$3:$K$374,Helper_Clients!$L$3:$L$374,Helper_Clients!$K$3:$K$374))/SUMIF(Helper_Clients!$K$3:$K$374,"&gt;0"),"-")</f>
        <v/>
      </c>
      <c r="J11" s="7">
        <f>IFERROR(SUMPRODUCT((Helper_Clients!$L$3:$L$374&gt;0)*IF(Helper_Clients!$M$3:$M$374&lt;Helper_Clients!$L$3:$L$374,Helper_Clients!$M$3:$M$374,Helper_Clients!$L$3:$L$374))/SUMIF(Helper_Clients!$L$3:$L$374,"&gt;0"),"-")</f>
        <v/>
      </c>
      <c r="K11" s="7">
        <f>IFERROR(SUMPRODUCT((Helper_Clients!$M$3:$M$374&gt;0)*IF(Helper_Clients!$N$3:$N$374&lt;Helper_Clients!$M$3:$M$374,Helper_Clients!$N$3:$N$374,Helper_Clients!$M$3:$M$374))/SUMIF(Helper_Clients!$M$3:$M$374,"&gt;0"),"-")</f>
        <v/>
      </c>
      <c r="L11" s="7">
        <f>IFERROR(SUMPRODUCT((Helper_Clients!$N$3:$N$374&gt;0)*IF(Helper_Clients!$O$3:$O$374&lt;Helper_Clients!$N$3:$N$374,Helper_Clients!$O$3:$O$374,Helper_Clients!$N$3:$N$374))/SUMIF(Helper_Clients!$N$3:$N$374,"&gt;0"),"-")</f>
        <v/>
      </c>
      <c r="M11" s="7">
        <f>IFERROR(SUMPRODUCT((Helper_Clients!$O$3:$O$374&gt;0)*IF(Helper_Clients!$P$3:$P$374&lt;Helper_Clients!$O$3:$O$374,Helper_Clients!$P$3:$P$374,Helper_Clients!$O$3:$O$374))/SUMIF(Helper_Clients!$O$3:$O$374,"&gt;0"),"-")</f>
        <v/>
      </c>
      <c r="N11" s="7">
        <f>IFERROR(SUMPRODUCT((Helper_Clients!$P$3:$P$374&gt;0)*IF(Helper_Clients!$Q$3:$Q$374&lt;Helper_Clients!$P$3:$P$374,Helper_Clients!$Q$3:$Q$374,Helper_Clients!$P$3:$P$374))/SUMIF(Helper_Clients!$P$3:$P$374,"&gt;0"),"-")</f>
        <v/>
      </c>
    </row>
    <row r="12">
      <c r="A12" s="6" t="inlineStr">
        <is>
          <t>NRR — Same client base, with expansion</t>
        </is>
      </c>
      <c r="B12" s="14" t="inlineStr">
        <is>
          <t>-</t>
        </is>
      </c>
      <c r="C12" s="7">
        <f>IFERROR(SUMPRODUCT((Helper_Clients!$E$3:$E$374&gt;0)*Helper_Clients!$F$3:$F$374)/SUMIF(Helper_Clients!$E$3:$E$374,"&gt;0"),"-")</f>
        <v/>
      </c>
      <c r="D12" s="7">
        <f>IFERROR(SUMPRODUCT((Helper_Clients!$F$3:$F$374&gt;0)*Helper_Clients!$G$3:$G$374)/SUMIF(Helper_Clients!$F$3:$F$374,"&gt;0"),"-")</f>
        <v/>
      </c>
      <c r="E12" s="7">
        <f>IFERROR(SUMPRODUCT((Helper_Clients!$G$3:$G$374&gt;0)*Helper_Clients!$H$3:$H$374)/SUMIF(Helper_Clients!$G$3:$G$374,"&gt;0"),"-")</f>
        <v/>
      </c>
      <c r="F12" s="7">
        <f>IFERROR(SUMPRODUCT((Helper_Clients!$H$3:$H$374&gt;0)*Helper_Clients!$I$3:$I$374)/SUMIF(Helper_Clients!$H$3:$H$374,"&gt;0"),"-")</f>
        <v/>
      </c>
      <c r="G12" s="7">
        <f>IFERROR(SUMPRODUCT((Helper_Clients!$I$3:$I$374&gt;0)*Helper_Clients!$J$3:$J$374)/SUMIF(Helper_Clients!$I$3:$I$374,"&gt;0"),"-")</f>
        <v/>
      </c>
      <c r="H12" s="7">
        <f>IFERROR(SUMPRODUCT((Helper_Clients!$J$3:$J$374&gt;0)*Helper_Clients!$K$3:$K$374)/SUMIF(Helper_Clients!$J$3:$J$374,"&gt;0"),"-")</f>
        <v/>
      </c>
      <c r="I12" s="7">
        <f>IFERROR(SUMPRODUCT((Helper_Clients!$K$3:$K$374&gt;0)*Helper_Clients!$L$3:$L$374)/SUMIF(Helper_Clients!$K$3:$K$374,"&gt;0"),"-")</f>
        <v/>
      </c>
      <c r="J12" s="7">
        <f>IFERROR(SUMPRODUCT((Helper_Clients!$L$3:$L$374&gt;0)*Helper_Clients!$M$3:$M$374)/SUMIF(Helper_Clients!$L$3:$L$374,"&gt;0"),"-")</f>
        <v/>
      </c>
      <c r="K12" s="7">
        <f>IFERROR(SUMPRODUCT((Helper_Clients!$M$3:$M$374&gt;0)*Helper_Clients!$N$3:$N$374)/SUMIF(Helper_Clients!$M$3:$M$374,"&gt;0"),"-")</f>
        <v/>
      </c>
      <c r="L12" s="7">
        <f>IFERROR(SUMPRODUCT((Helper_Clients!$N$3:$N$374&gt;0)*Helper_Clients!$O$3:$O$374)/SUMIF(Helper_Clients!$N$3:$N$374,"&gt;0"),"-")</f>
        <v/>
      </c>
      <c r="M12" s="7">
        <f>IFERROR(SUMPRODUCT((Helper_Clients!$O$3:$O$374&gt;0)*Helper_Clients!$P$3:$P$374)/SUMIF(Helper_Clients!$O$3:$O$374,"&gt;0"),"-")</f>
        <v/>
      </c>
      <c r="N12" s="7">
        <f>IFERROR(SUMPRODUCT((Helper_Clients!$P$3:$P$374&gt;0)*Helper_Clients!$Q$3:$Q$374)/SUMIF(Helper_Clients!$P$3:$P$374,"&gt;0"),"-")</f>
        <v/>
      </c>
    </row>
    <row r="14">
      <c r="A14" s="6" t="inlineStr">
        <is>
          <t>ARPC — Avg revenue per client (£)</t>
        </is>
      </c>
      <c r="B14" s="10">
        <f>IFERROR(SUM(Helper_Clients!$E$3:$E$374)/COUNTIF(Helper_Clients!$E$3:$E$374,"&gt;0"),"-")</f>
        <v/>
      </c>
      <c r="C14" s="10">
        <f>IFERROR(SUM(Helper_Clients!$F$3:$F$374)/COUNTIF(Helper_Clients!$F$3:$F$374,"&gt;0"),"-")</f>
        <v/>
      </c>
      <c r="D14" s="10">
        <f>IFERROR(SUM(Helper_Clients!$G$3:$G$374)/COUNTIF(Helper_Clients!$G$3:$G$374,"&gt;0"),"-")</f>
        <v/>
      </c>
      <c r="E14" s="10">
        <f>IFERROR(SUM(Helper_Clients!$H$3:$H$374)/COUNTIF(Helper_Clients!$H$3:$H$374,"&gt;0"),"-")</f>
        <v/>
      </c>
      <c r="F14" s="10">
        <f>IFERROR(SUM(Helper_Clients!$I$3:$I$374)/COUNTIF(Helper_Clients!$I$3:$I$374,"&gt;0"),"-")</f>
        <v/>
      </c>
      <c r="G14" s="10">
        <f>IFERROR(SUM(Helper_Clients!$J$3:$J$374)/COUNTIF(Helper_Clients!$J$3:$J$374,"&gt;0"),"-")</f>
        <v/>
      </c>
      <c r="H14" s="10">
        <f>IFERROR(SUM(Helper_Clients!$K$3:$K$374)/COUNTIF(Helper_Clients!$K$3:$K$374,"&gt;0"),"-")</f>
        <v/>
      </c>
      <c r="I14" s="10">
        <f>IFERROR(SUM(Helper_Clients!$L$3:$L$374)/COUNTIF(Helper_Clients!$L$3:$L$374,"&gt;0"),"-")</f>
        <v/>
      </c>
      <c r="J14" s="10">
        <f>IFERROR(SUM(Helper_Clients!$M$3:$M$374)/COUNTIF(Helper_Clients!$M$3:$M$374,"&gt;0"),"-")</f>
        <v/>
      </c>
      <c r="K14" s="10">
        <f>IFERROR(SUM(Helper_Clients!$N$3:$N$374)/COUNTIF(Helper_Clients!$N$3:$N$374,"&gt;0"),"-")</f>
        <v/>
      </c>
      <c r="L14" s="10">
        <f>IFERROR(SUM(Helper_Clients!$O$3:$O$374)/COUNTIF(Helper_Clients!$O$3:$O$374,"&gt;0"),"-")</f>
        <v/>
      </c>
      <c r="M14" s="10">
        <f>IFERROR(SUM(Helper_Clients!$P$3:$P$374)/COUNTIF(Helper_Clients!$P$3:$P$374,"&gt;0"),"-")</f>
        <v/>
      </c>
      <c r="N14" s="10">
        <f>IFERROR(SUM(Helper_Clients!$Q$3:$Q$374)/COUNTIF(Helper_Clients!$Q$3:$Q$374,"&gt;0"),"-")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73B57"/>
    <outlinePr summaryBelow="1" summaryRight="1"/>
    <pageSetUpPr/>
  </sheetPr>
  <dimension ref="A1:N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Client Concentration — based on FY26A revenue (£ GBP)</t>
        </is>
      </c>
    </row>
    <row r="3">
      <c r="A3" s="3" t="inlineStr">
        <is>
          <t>Concentration metric</t>
        </is>
      </c>
      <c r="B3" s="3" t="inlineStr">
        <is>
          <t>FY2014A</t>
        </is>
      </c>
      <c r="C3" s="3" t="inlineStr">
        <is>
          <t>FY2015A</t>
        </is>
      </c>
      <c r="D3" s="3" t="inlineStr">
        <is>
          <t>FY2016A</t>
        </is>
      </c>
      <c r="E3" s="3" t="inlineStr">
        <is>
          <t>FY2017A</t>
        </is>
      </c>
      <c r="F3" s="3" t="inlineStr">
        <is>
          <t>FY2018A</t>
        </is>
      </c>
      <c r="G3" s="3" t="inlineStr">
        <is>
          <t>FY2019A</t>
        </is>
      </c>
      <c r="H3" s="3" t="inlineStr">
        <is>
          <t>FY2020A</t>
        </is>
      </c>
      <c r="I3" s="3" t="inlineStr">
        <is>
          <t>FY2021A</t>
        </is>
      </c>
      <c r="J3" s="3" t="inlineStr">
        <is>
          <t>FY2022A</t>
        </is>
      </c>
      <c r="K3" s="3" t="inlineStr">
        <is>
          <t>FY2023A</t>
        </is>
      </c>
      <c r="L3" s="3" t="inlineStr">
        <is>
          <t>FY2024A</t>
        </is>
      </c>
      <c r="M3" s="3" t="inlineStr">
        <is>
          <t>FY2025A</t>
        </is>
      </c>
      <c r="N3" s="3" t="inlineStr">
        <is>
          <t>FY2026A</t>
        </is>
      </c>
    </row>
    <row r="4">
      <c r="A4" s="4" t="inlineStr">
        <is>
          <t># Active clients (rev &gt; 0)</t>
        </is>
      </c>
      <c r="B4" s="5">
        <f>COUNTIF(Helper_Clients!$E$3:$E$374,"&gt;0")</f>
        <v/>
      </c>
      <c r="C4" s="5">
        <f>COUNTIF(Helper_Clients!$F$3:$F$374,"&gt;0")</f>
        <v/>
      </c>
      <c r="D4" s="5">
        <f>COUNTIF(Helper_Clients!$G$3:$G$374,"&gt;0")</f>
        <v/>
      </c>
      <c r="E4" s="5">
        <f>COUNTIF(Helper_Clients!$H$3:$H$374,"&gt;0")</f>
        <v/>
      </c>
      <c r="F4" s="5">
        <f>COUNTIF(Helper_Clients!$I$3:$I$374,"&gt;0")</f>
        <v/>
      </c>
      <c r="G4" s="5">
        <f>COUNTIF(Helper_Clients!$J$3:$J$374,"&gt;0")</f>
        <v/>
      </c>
      <c r="H4" s="5">
        <f>COUNTIF(Helper_Clients!$K$3:$K$374,"&gt;0")</f>
        <v/>
      </c>
      <c r="I4" s="5">
        <f>COUNTIF(Helper_Clients!$L$3:$L$374,"&gt;0")</f>
        <v/>
      </c>
      <c r="J4" s="5">
        <f>COUNTIF(Helper_Clients!$M$3:$M$374,"&gt;0")</f>
        <v/>
      </c>
      <c r="K4" s="5">
        <f>COUNTIF(Helper_Clients!$N$3:$N$374,"&gt;0")</f>
        <v/>
      </c>
      <c r="L4" s="5">
        <f>COUNTIF(Helper_Clients!$O$3:$O$374,"&gt;0")</f>
        <v/>
      </c>
      <c r="M4" s="5">
        <f>COUNTIF(Helper_Clients!$P$3:$P$374,"&gt;0")</f>
        <v/>
      </c>
      <c r="N4" s="5">
        <f>COUNTIF(Helper_Clients!$Q$3:$Q$374,"&gt;0")</f>
        <v/>
      </c>
    </row>
    <row r="5">
      <c r="A5" s="6" t="inlineStr">
        <is>
          <t>Top 1 client share</t>
        </is>
      </c>
      <c r="B5" s="7">
        <f>IFERROR(SUMPRODUCT(LARGE(Helper_Clients!$E$3:$E$374,ROW(INDIRECT("1:1"))))/SUM(Helper_Clients!$E$3:$E$374),"-")</f>
        <v/>
      </c>
      <c r="C5" s="7">
        <f>IFERROR(SUMPRODUCT(LARGE(Helper_Clients!$F$3:$F$374,ROW(INDIRECT("1:1"))))/SUM(Helper_Clients!$F$3:$F$374),"-")</f>
        <v/>
      </c>
      <c r="D5" s="7">
        <f>IFERROR(SUMPRODUCT(LARGE(Helper_Clients!$G$3:$G$374,ROW(INDIRECT("1:1"))))/SUM(Helper_Clients!$G$3:$G$374),"-")</f>
        <v/>
      </c>
      <c r="E5" s="7">
        <f>IFERROR(SUMPRODUCT(LARGE(Helper_Clients!$H$3:$H$374,ROW(INDIRECT("1:1"))))/SUM(Helper_Clients!$H$3:$H$374),"-")</f>
        <v/>
      </c>
      <c r="F5" s="7">
        <f>IFERROR(SUMPRODUCT(LARGE(Helper_Clients!$I$3:$I$374,ROW(INDIRECT("1:1"))))/SUM(Helper_Clients!$I$3:$I$374),"-")</f>
        <v/>
      </c>
      <c r="G5" s="7">
        <f>IFERROR(SUMPRODUCT(LARGE(Helper_Clients!$J$3:$J$374,ROW(INDIRECT("1:1"))))/SUM(Helper_Clients!$J$3:$J$374),"-")</f>
        <v/>
      </c>
      <c r="H5" s="7">
        <f>IFERROR(SUMPRODUCT(LARGE(Helper_Clients!$K$3:$K$374,ROW(INDIRECT("1:1"))))/SUM(Helper_Clients!$K$3:$K$374),"-")</f>
        <v/>
      </c>
      <c r="I5" s="7">
        <f>IFERROR(SUMPRODUCT(LARGE(Helper_Clients!$L$3:$L$374,ROW(INDIRECT("1:1"))))/SUM(Helper_Clients!$L$3:$L$374),"-")</f>
        <v/>
      </c>
      <c r="J5" s="7">
        <f>IFERROR(SUMPRODUCT(LARGE(Helper_Clients!$M$3:$M$374,ROW(INDIRECT("1:1"))))/SUM(Helper_Clients!$M$3:$M$374),"-")</f>
        <v/>
      </c>
      <c r="K5" s="7">
        <f>IFERROR(SUMPRODUCT(LARGE(Helper_Clients!$N$3:$N$374,ROW(INDIRECT("1:1"))))/SUM(Helper_Clients!$N$3:$N$374),"-")</f>
        <v/>
      </c>
      <c r="L5" s="7">
        <f>IFERROR(SUMPRODUCT(LARGE(Helper_Clients!$O$3:$O$374,ROW(INDIRECT("1:1"))))/SUM(Helper_Clients!$O$3:$O$374),"-")</f>
        <v/>
      </c>
      <c r="M5" s="7">
        <f>IFERROR(SUMPRODUCT(LARGE(Helper_Clients!$P$3:$P$374,ROW(INDIRECT("1:1"))))/SUM(Helper_Clients!$P$3:$P$374),"-")</f>
        <v/>
      </c>
      <c r="N5" s="7">
        <f>IFERROR(SUMPRODUCT(LARGE(Helper_Clients!$Q$3:$Q$374,ROW(INDIRECT("1:1"))))/SUM(Helper_Clients!$Q$3:$Q$374),"-")</f>
        <v/>
      </c>
    </row>
    <row r="6">
      <c r="A6" s="6" t="inlineStr">
        <is>
          <t>Top 5 clients share</t>
        </is>
      </c>
      <c r="B6" s="7">
        <f>IFERROR(SUMPRODUCT(LARGE(Helper_Clients!$E$3:$E$374,ROW(INDIRECT("1:5"))))/SUM(Helper_Clients!$E$3:$E$374),"-")</f>
        <v/>
      </c>
      <c r="C6" s="7">
        <f>IFERROR(SUMPRODUCT(LARGE(Helper_Clients!$F$3:$F$374,ROW(INDIRECT("1:5"))))/SUM(Helper_Clients!$F$3:$F$374),"-")</f>
        <v/>
      </c>
      <c r="D6" s="7">
        <f>IFERROR(SUMPRODUCT(LARGE(Helper_Clients!$G$3:$G$374,ROW(INDIRECT("1:5"))))/SUM(Helper_Clients!$G$3:$G$374),"-")</f>
        <v/>
      </c>
      <c r="E6" s="7">
        <f>IFERROR(SUMPRODUCT(LARGE(Helper_Clients!$H$3:$H$374,ROW(INDIRECT("1:5"))))/SUM(Helper_Clients!$H$3:$H$374),"-")</f>
        <v/>
      </c>
      <c r="F6" s="7">
        <f>IFERROR(SUMPRODUCT(LARGE(Helper_Clients!$I$3:$I$374,ROW(INDIRECT("1:5"))))/SUM(Helper_Clients!$I$3:$I$374),"-")</f>
        <v/>
      </c>
      <c r="G6" s="7">
        <f>IFERROR(SUMPRODUCT(LARGE(Helper_Clients!$J$3:$J$374,ROW(INDIRECT("1:5"))))/SUM(Helper_Clients!$J$3:$J$374),"-")</f>
        <v/>
      </c>
      <c r="H6" s="7">
        <f>IFERROR(SUMPRODUCT(LARGE(Helper_Clients!$K$3:$K$374,ROW(INDIRECT("1:5"))))/SUM(Helper_Clients!$K$3:$K$374),"-")</f>
        <v/>
      </c>
      <c r="I6" s="7">
        <f>IFERROR(SUMPRODUCT(LARGE(Helper_Clients!$L$3:$L$374,ROW(INDIRECT("1:5"))))/SUM(Helper_Clients!$L$3:$L$374),"-")</f>
        <v/>
      </c>
      <c r="J6" s="7">
        <f>IFERROR(SUMPRODUCT(LARGE(Helper_Clients!$M$3:$M$374,ROW(INDIRECT("1:5"))))/SUM(Helper_Clients!$M$3:$M$374),"-")</f>
        <v/>
      </c>
      <c r="K6" s="7">
        <f>IFERROR(SUMPRODUCT(LARGE(Helper_Clients!$N$3:$N$374,ROW(INDIRECT("1:5"))))/SUM(Helper_Clients!$N$3:$N$374),"-")</f>
        <v/>
      </c>
      <c r="L6" s="7">
        <f>IFERROR(SUMPRODUCT(LARGE(Helper_Clients!$O$3:$O$374,ROW(INDIRECT("1:5"))))/SUM(Helper_Clients!$O$3:$O$374),"-")</f>
        <v/>
      </c>
      <c r="M6" s="7">
        <f>IFERROR(SUMPRODUCT(LARGE(Helper_Clients!$P$3:$P$374,ROW(INDIRECT("1:5"))))/SUM(Helper_Clients!$P$3:$P$374),"-")</f>
        <v/>
      </c>
      <c r="N6" s="7">
        <f>IFERROR(SUMPRODUCT(LARGE(Helper_Clients!$Q$3:$Q$374,ROW(INDIRECT("1:5"))))/SUM(Helper_Clients!$Q$3:$Q$374),"-")</f>
        <v/>
      </c>
    </row>
    <row r="7">
      <c r="A7" s="6" t="inlineStr">
        <is>
          <t>Top 10 clients share</t>
        </is>
      </c>
      <c r="B7" s="7">
        <f>IFERROR(SUMPRODUCT(LARGE(Helper_Clients!$E$3:$E$374,ROW(INDIRECT("1:10"))))/SUM(Helper_Clients!$E$3:$E$374),"-")</f>
        <v/>
      </c>
      <c r="C7" s="7">
        <f>IFERROR(SUMPRODUCT(LARGE(Helper_Clients!$F$3:$F$374,ROW(INDIRECT("1:10"))))/SUM(Helper_Clients!$F$3:$F$374),"-")</f>
        <v/>
      </c>
      <c r="D7" s="7">
        <f>IFERROR(SUMPRODUCT(LARGE(Helper_Clients!$G$3:$G$374,ROW(INDIRECT("1:10"))))/SUM(Helper_Clients!$G$3:$G$374),"-")</f>
        <v/>
      </c>
      <c r="E7" s="7">
        <f>IFERROR(SUMPRODUCT(LARGE(Helper_Clients!$H$3:$H$374,ROW(INDIRECT("1:10"))))/SUM(Helper_Clients!$H$3:$H$374),"-")</f>
        <v/>
      </c>
      <c r="F7" s="7">
        <f>IFERROR(SUMPRODUCT(LARGE(Helper_Clients!$I$3:$I$374,ROW(INDIRECT("1:10"))))/SUM(Helper_Clients!$I$3:$I$374),"-")</f>
        <v/>
      </c>
      <c r="G7" s="7">
        <f>IFERROR(SUMPRODUCT(LARGE(Helper_Clients!$J$3:$J$374,ROW(INDIRECT("1:10"))))/SUM(Helper_Clients!$J$3:$J$374),"-")</f>
        <v/>
      </c>
      <c r="H7" s="7">
        <f>IFERROR(SUMPRODUCT(LARGE(Helper_Clients!$K$3:$K$374,ROW(INDIRECT("1:10"))))/SUM(Helper_Clients!$K$3:$K$374),"-")</f>
        <v/>
      </c>
      <c r="I7" s="7">
        <f>IFERROR(SUMPRODUCT(LARGE(Helper_Clients!$L$3:$L$374,ROW(INDIRECT("1:10"))))/SUM(Helper_Clients!$L$3:$L$374),"-")</f>
        <v/>
      </c>
      <c r="J7" s="7">
        <f>IFERROR(SUMPRODUCT(LARGE(Helper_Clients!$M$3:$M$374,ROW(INDIRECT("1:10"))))/SUM(Helper_Clients!$M$3:$M$374),"-")</f>
        <v/>
      </c>
      <c r="K7" s="7">
        <f>IFERROR(SUMPRODUCT(LARGE(Helper_Clients!$N$3:$N$374,ROW(INDIRECT("1:10"))))/SUM(Helper_Clients!$N$3:$N$374),"-")</f>
        <v/>
      </c>
      <c r="L7" s="7">
        <f>IFERROR(SUMPRODUCT(LARGE(Helper_Clients!$O$3:$O$374,ROW(INDIRECT("1:10"))))/SUM(Helper_Clients!$O$3:$O$374),"-")</f>
        <v/>
      </c>
      <c r="M7" s="7">
        <f>IFERROR(SUMPRODUCT(LARGE(Helper_Clients!$P$3:$P$374,ROW(INDIRECT("1:10"))))/SUM(Helper_Clients!$P$3:$P$374),"-")</f>
        <v/>
      </c>
      <c r="N7" s="7">
        <f>IFERROR(SUMPRODUCT(LARGE(Helper_Clients!$Q$3:$Q$374,ROW(INDIRECT("1:10"))))/SUM(Helper_Clients!$Q$3:$Q$374),"-")</f>
        <v/>
      </c>
    </row>
    <row r="8">
      <c r="A8" s="6" t="inlineStr">
        <is>
          <t>Top 20 clients share</t>
        </is>
      </c>
      <c r="B8" s="7">
        <f>IFERROR(SUMPRODUCT(LARGE(Helper_Clients!$E$3:$E$374,ROW(INDIRECT("1:20"))))/SUM(Helper_Clients!$E$3:$E$374),"-")</f>
        <v/>
      </c>
      <c r="C8" s="7">
        <f>IFERROR(SUMPRODUCT(LARGE(Helper_Clients!$F$3:$F$374,ROW(INDIRECT("1:20"))))/SUM(Helper_Clients!$F$3:$F$374),"-")</f>
        <v/>
      </c>
      <c r="D8" s="7">
        <f>IFERROR(SUMPRODUCT(LARGE(Helper_Clients!$G$3:$G$374,ROW(INDIRECT("1:20"))))/SUM(Helper_Clients!$G$3:$G$374),"-")</f>
        <v/>
      </c>
      <c r="E8" s="7">
        <f>IFERROR(SUMPRODUCT(LARGE(Helper_Clients!$H$3:$H$374,ROW(INDIRECT("1:20"))))/SUM(Helper_Clients!$H$3:$H$374),"-")</f>
        <v/>
      </c>
      <c r="F8" s="7">
        <f>IFERROR(SUMPRODUCT(LARGE(Helper_Clients!$I$3:$I$374,ROW(INDIRECT("1:20"))))/SUM(Helper_Clients!$I$3:$I$374),"-")</f>
        <v/>
      </c>
      <c r="G8" s="7">
        <f>IFERROR(SUMPRODUCT(LARGE(Helper_Clients!$J$3:$J$374,ROW(INDIRECT("1:20"))))/SUM(Helper_Clients!$J$3:$J$374),"-")</f>
        <v/>
      </c>
      <c r="H8" s="7">
        <f>IFERROR(SUMPRODUCT(LARGE(Helper_Clients!$K$3:$K$374,ROW(INDIRECT("1:20"))))/SUM(Helper_Clients!$K$3:$K$374),"-")</f>
        <v/>
      </c>
      <c r="I8" s="7">
        <f>IFERROR(SUMPRODUCT(LARGE(Helper_Clients!$L$3:$L$374,ROW(INDIRECT("1:20"))))/SUM(Helper_Clients!$L$3:$L$374),"-")</f>
        <v/>
      </c>
      <c r="J8" s="7">
        <f>IFERROR(SUMPRODUCT(LARGE(Helper_Clients!$M$3:$M$374,ROW(INDIRECT("1:20"))))/SUM(Helper_Clients!$M$3:$M$374),"-")</f>
        <v/>
      </c>
      <c r="K8" s="7">
        <f>IFERROR(SUMPRODUCT(LARGE(Helper_Clients!$N$3:$N$374,ROW(INDIRECT("1:20"))))/SUM(Helper_Clients!$N$3:$N$374),"-")</f>
        <v/>
      </c>
      <c r="L8" s="7">
        <f>IFERROR(SUMPRODUCT(LARGE(Helper_Clients!$O$3:$O$374,ROW(INDIRECT("1:20"))))/SUM(Helper_Clients!$O$3:$O$374),"-")</f>
        <v/>
      </c>
      <c r="M8" s="7">
        <f>IFERROR(SUMPRODUCT(LARGE(Helper_Clients!$P$3:$P$374,ROW(INDIRECT("1:20"))))/SUM(Helper_Clients!$P$3:$P$374),"-")</f>
        <v/>
      </c>
      <c r="N8" s="7">
        <f>IFERROR(SUMPRODUCT(LARGE(Helper_Clients!$Q$3:$Q$374,ROW(INDIRECT("1:20"))))/SUM(Helper_Clients!$Q$3:$Q$374),"-")</f>
        <v/>
      </c>
    </row>
    <row r="9">
      <c r="A9" s="6" t="inlineStr">
        <is>
          <t>Top 50 clients share</t>
        </is>
      </c>
      <c r="B9" s="7">
        <f>IFERROR(SUMPRODUCT(LARGE(Helper_Clients!$E$3:$E$374,ROW(INDIRECT("1:50"))))/SUM(Helper_Clients!$E$3:$E$374),"-")</f>
        <v/>
      </c>
      <c r="C9" s="7">
        <f>IFERROR(SUMPRODUCT(LARGE(Helper_Clients!$F$3:$F$374,ROW(INDIRECT("1:50"))))/SUM(Helper_Clients!$F$3:$F$374),"-")</f>
        <v/>
      </c>
      <c r="D9" s="7">
        <f>IFERROR(SUMPRODUCT(LARGE(Helper_Clients!$G$3:$G$374,ROW(INDIRECT("1:50"))))/SUM(Helper_Clients!$G$3:$G$374),"-")</f>
        <v/>
      </c>
      <c r="E9" s="7">
        <f>IFERROR(SUMPRODUCT(LARGE(Helper_Clients!$H$3:$H$374,ROW(INDIRECT("1:50"))))/SUM(Helper_Clients!$H$3:$H$374),"-")</f>
        <v/>
      </c>
      <c r="F9" s="7">
        <f>IFERROR(SUMPRODUCT(LARGE(Helper_Clients!$I$3:$I$374,ROW(INDIRECT("1:50"))))/SUM(Helper_Clients!$I$3:$I$374),"-")</f>
        <v/>
      </c>
      <c r="G9" s="7">
        <f>IFERROR(SUMPRODUCT(LARGE(Helper_Clients!$J$3:$J$374,ROW(INDIRECT("1:50"))))/SUM(Helper_Clients!$J$3:$J$374),"-")</f>
        <v/>
      </c>
      <c r="H9" s="7">
        <f>IFERROR(SUMPRODUCT(LARGE(Helper_Clients!$K$3:$K$374,ROW(INDIRECT("1:50"))))/SUM(Helper_Clients!$K$3:$K$374),"-")</f>
        <v/>
      </c>
      <c r="I9" s="7">
        <f>IFERROR(SUMPRODUCT(LARGE(Helper_Clients!$L$3:$L$374,ROW(INDIRECT("1:50"))))/SUM(Helper_Clients!$L$3:$L$374),"-")</f>
        <v/>
      </c>
      <c r="J9" s="7">
        <f>IFERROR(SUMPRODUCT(LARGE(Helper_Clients!$M$3:$M$374,ROW(INDIRECT("1:50"))))/SUM(Helper_Clients!$M$3:$M$374),"-")</f>
        <v/>
      </c>
      <c r="K9" s="7">
        <f>IFERROR(SUMPRODUCT(LARGE(Helper_Clients!$N$3:$N$374,ROW(INDIRECT("1:50"))))/SUM(Helper_Clients!$N$3:$N$374),"-")</f>
        <v/>
      </c>
      <c r="L9" s="7">
        <f>IFERROR(SUMPRODUCT(LARGE(Helper_Clients!$O$3:$O$374,ROW(INDIRECT("1:50"))))/SUM(Helper_Clients!$O$3:$O$374),"-")</f>
        <v/>
      </c>
      <c r="M9" s="7">
        <f>IFERROR(SUMPRODUCT(LARGE(Helper_Clients!$P$3:$P$374,ROW(INDIRECT("1:50"))))/SUM(Helper_Clients!$P$3:$P$374),"-")</f>
        <v/>
      </c>
      <c r="N9" s="7">
        <f>IFERROR(SUMPRODUCT(LARGE(Helper_Clients!$Q$3:$Q$374,ROW(INDIRECT("1:50"))))/SUM(Helper_Clients!$Q$3:$Q$374),"-")</f>
        <v/>
      </c>
    </row>
    <row r="12">
      <c r="A12" s="9" t="inlineStr">
        <is>
          <t>Top 20 clients by FY26A revenue</t>
        </is>
      </c>
    </row>
    <row r="13">
      <c r="A13" s="3" t="inlineStr">
        <is>
          <t>Rank</t>
        </is>
      </c>
      <c r="B13" s="3" t="inlineStr">
        <is>
          <t>Client</t>
        </is>
      </c>
      <c r="C13" s="3" t="inlineStr">
        <is>
          <t>Primary Dept</t>
        </is>
      </c>
      <c r="D13" s="3" t="inlineStr">
        <is>
          <t>Primary Country</t>
        </is>
      </c>
      <c r="E13" s="3" t="inlineStr">
        <is>
          <t>FY26A revenue (£)</t>
        </is>
      </c>
      <c r="F13" s="3" t="inlineStr">
        <is>
          <t>% of total FY26A</t>
        </is>
      </c>
    </row>
    <row r="14">
      <c r="A14" s="8" t="n">
        <v>1</v>
      </c>
      <c r="B14" s="6">
        <f>IFERROR(INDEX(Helper_Clients!$A$3:$A$374,MATCH(LARGE(Helper_Clients!$Q$3:$Q$374,1),Helper_Clients!$Q$3:$Q$374,0)),"-")</f>
        <v/>
      </c>
      <c r="C14" s="6">
        <f>IFERROR(INDEX(Helper_Clients!$B$3:$B$374,MATCH(LARGE(Helper_Clients!$Q$3:$Q$374,1),Helper_Clients!$Q$3:$Q$374,0)),"-")</f>
        <v/>
      </c>
      <c r="D14" s="6">
        <f>IFERROR(INDEX(Helper_Clients!$C$3:$C$374,MATCH(LARGE(Helper_Clients!$Q$3:$Q$374,1),Helper_Clients!$Q$3:$Q$374,0)),"-")</f>
        <v/>
      </c>
      <c r="E14" s="10">
        <f>IFERROR(LARGE(Helper_Clients!$Q$3:$Q$374,1),"-")</f>
        <v/>
      </c>
      <c r="F14" s="7">
        <f>IFERROR(E14/SUM(Helper_Clients!$Q$3:$Q$374),"-")</f>
        <v/>
      </c>
    </row>
    <row r="15">
      <c r="A15" s="8" t="n">
        <v>2</v>
      </c>
      <c r="B15" s="6">
        <f>IFERROR(INDEX(Helper_Clients!$A$3:$A$374,MATCH(LARGE(Helper_Clients!$Q$3:$Q$374,2),Helper_Clients!$Q$3:$Q$374,0)),"-")</f>
        <v/>
      </c>
      <c r="C15" s="6">
        <f>IFERROR(INDEX(Helper_Clients!$B$3:$B$374,MATCH(LARGE(Helper_Clients!$Q$3:$Q$374,2),Helper_Clients!$Q$3:$Q$374,0)),"-")</f>
        <v/>
      </c>
      <c r="D15" s="6">
        <f>IFERROR(INDEX(Helper_Clients!$C$3:$C$374,MATCH(LARGE(Helper_Clients!$Q$3:$Q$374,2),Helper_Clients!$Q$3:$Q$374,0)),"-")</f>
        <v/>
      </c>
      <c r="E15" s="10">
        <f>IFERROR(LARGE(Helper_Clients!$Q$3:$Q$374,2),"-")</f>
        <v/>
      </c>
      <c r="F15" s="7">
        <f>IFERROR(E15/SUM(Helper_Clients!$Q$3:$Q$374),"-")</f>
        <v/>
      </c>
    </row>
    <row r="16">
      <c r="A16" s="8" t="n">
        <v>3</v>
      </c>
      <c r="B16" s="6">
        <f>IFERROR(INDEX(Helper_Clients!$A$3:$A$374,MATCH(LARGE(Helper_Clients!$Q$3:$Q$374,3),Helper_Clients!$Q$3:$Q$374,0)),"-")</f>
        <v/>
      </c>
      <c r="C16" s="6">
        <f>IFERROR(INDEX(Helper_Clients!$B$3:$B$374,MATCH(LARGE(Helper_Clients!$Q$3:$Q$374,3),Helper_Clients!$Q$3:$Q$374,0)),"-")</f>
        <v/>
      </c>
      <c r="D16" s="6">
        <f>IFERROR(INDEX(Helper_Clients!$C$3:$C$374,MATCH(LARGE(Helper_Clients!$Q$3:$Q$374,3),Helper_Clients!$Q$3:$Q$374,0)),"-")</f>
        <v/>
      </c>
      <c r="E16" s="10">
        <f>IFERROR(LARGE(Helper_Clients!$Q$3:$Q$374,3),"-")</f>
        <v/>
      </c>
      <c r="F16" s="7">
        <f>IFERROR(E16/SUM(Helper_Clients!$Q$3:$Q$374),"-")</f>
        <v/>
      </c>
    </row>
    <row r="17">
      <c r="A17" s="8" t="n">
        <v>4</v>
      </c>
      <c r="B17" s="6">
        <f>IFERROR(INDEX(Helper_Clients!$A$3:$A$374,MATCH(LARGE(Helper_Clients!$Q$3:$Q$374,4),Helper_Clients!$Q$3:$Q$374,0)),"-")</f>
        <v/>
      </c>
      <c r="C17" s="6">
        <f>IFERROR(INDEX(Helper_Clients!$B$3:$B$374,MATCH(LARGE(Helper_Clients!$Q$3:$Q$374,4),Helper_Clients!$Q$3:$Q$374,0)),"-")</f>
        <v/>
      </c>
      <c r="D17" s="6">
        <f>IFERROR(INDEX(Helper_Clients!$C$3:$C$374,MATCH(LARGE(Helper_Clients!$Q$3:$Q$374,4),Helper_Clients!$Q$3:$Q$374,0)),"-")</f>
        <v/>
      </c>
      <c r="E17" s="10">
        <f>IFERROR(LARGE(Helper_Clients!$Q$3:$Q$374,4),"-")</f>
        <v/>
      </c>
      <c r="F17" s="7">
        <f>IFERROR(E17/SUM(Helper_Clients!$Q$3:$Q$374),"-")</f>
        <v/>
      </c>
    </row>
    <row r="18">
      <c r="A18" s="8" t="n">
        <v>5</v>
      </c>
      <c r="B18" s="6">
        <f>IFERROR(INDEX(Helper_Clients!$A$3:$A$374,MATCH(LARGE(Helper_Clients!$Q$3:$Q$374,5),Helper_Clients!$Q$3:$Q$374,0)),"-")</f>
        <v/>
      </c>
      <c r="C18" s="6">
        <f>IFERROR(INDEX(Helper_Clients!$B$3:$B$374,MATCH(LARGE(Helper_Clients!$Q$3:$Q$374,5),Helper_Clients!$Q$3:$Q$374,0)),"-")</f>
        <v/>
      </c>
      <c r="D18" s="6">
        <f>IFERROR(INDEX(Helper_Clients!$C$3:$C$374,MATCH(LARGE(Helper_Clients!$Q$3:$Q$374,5),Helper_Clients!$Q$3:$Q$374,0)),"-")</f>
        <v/>
      </c>
      <c r="E18" s="10">
        <f>IFERROR(LARGE(Helper_Clients!$Q$3:$Q$374,5),"-")</f>
        <v/>
      </c>
      <c r="F18" s="7">
        <f>IFERROR(E18/SUM(Helper_Clients!$Q$3:$Q$374),"-")</f>
        <v/>
      </c>
    </row>
    <row r="19">
      <c r="A19" s="8" t="n">
        <v>6</v>
      </c>
      <c r="B19" s="6">
        <f>IFERROR(INDEX(Helper_Clients!$A$3:$A$374,MATCH(LARGE(Helper_Clients!$Q$3:$Q$374,6),Helper_Clients!$Q$3:$Q$374,0)),"-")</f>
        <v/>
      </c>
      <c r="C19" s="6">
        <f>IFERROR(INDEX(Helper_Clients!$B$3:$B$374,MATCH(LARGE(Helper_Clients!$Q$3:$Q$374,6),Helper_Clients!$Q$3:$Q$374,0)),"-")</f>
        <v/>
      </c>
      <c r="D19" s="6">
        <f>IFERROR(INDEX(Helper_Clients!$C$3:$C$374,MATCH(LARGE(Helper_Clients!$Q$3:$Q$374,6),Helper_Clients!$Q$3:$Q$374,0)),"-")</f>
        <v/>
      </c>
      <c r="E19" s="10">
        <f>IFERROR(LARGE(Helper_Clients!$Q$3:$Q$374,6),"-")</f>
        <v/>
      </c>
      <c r="F19" s="7">
        <f>IFERROR(E19/SUM(Helper_Clients!$Q$3:$Q$374),"-")</f>
        <v/>
      </c>
    </row>
    <row r="20">
      <c r="A20" s="8" t="n">
        <v>7</v>
      </c>
      <c r="B20" s="6">
        <f>IFERROR(INDEX(Helper_Clients!$A$3:$A$374,MATCH(LARGE(Helper_Clients!$Q$3:$Q$374,7),Helper_Clients!$Q$3:$Q$374,0)),"-")</f>
        <v/>
      </c>
      <c r="C20" s="6">
        <f>IFERROR(INDEX(Helper_Clients!$B$3:$B$374,MATCH(LARGE(Helper_Clients!$Q$3:$Q$374,7),Helper_Clients!$Q$3:$Q$374,0)),"-")</f>
        <v/>
      </c>
      <c r="D20" s="6">
        <f>IFERROR(INDEX(Helper_Clients!$C$3:$C$374,MATCH(LARGE(Helper_Clients!$Q$3:$Q$374,7),Helper_Clients!$Q$3:$Q$374,0)),"-")</f>
        <v/>
      </c>
      <c r="E20" s="10">
        <f>IFERROR(LARGE(Helper_Clients!$Q$3:$Q$374,7),"-")</f>
        <v/>
      </c>
      <c r="F20" s="7">
        <f>IFERROR(E20/SUM(Helper_Clients!$Q$3:$Q$374),"-")</f>
        <v/>
      </c>
    </row>
    <row r="21">
      <c r="A21" s="8" t="n">
        <v>8</v>
      </c>
      <c r="B21" s="6">
        <f>IFERROR(INDEX(Helper_Clients!$A$3:$A$374,MATCH(LARGE(Helper_Clients!$Q$3:$Q$374,8),Helper_Clients!$Q$3:$Q$374,0)),"-")</f>
        <v/>
      </c>
      <c r="C21" s="6">
        <f>IFERROR(INDEX(Helper_Clients!$B$3:$B$374,MATCH(LARGE(Helper_Clients!$Q$3:$Q$374,8),Helper_Clients!$Q$3:$Q$374,0)),"-")</f>
        <v/>
      </c>
      <c r="D21" s="6">
        <f>IFERROR(INDEX(Helper_Clients!$C$3:$C$374,MATCH(LARGE(Helper_Clients!$Q$3:$Q$374,8),Helper_Clients!$Q$3:$Q$374,0)),"-")</f>
        <v/>
      </c>
      <c r="E21" s="10">
        <f>IFERROR(LARGE(Helper_Clients!$Q$3:$Q$374,8),"-")</f>
        <v/>
      </c>
      <c r="F21" s="7">
        <f>IFERROR(E21/SUM(Helper_Clients!$Q$3:$Q$374),"-")</f>
        <v/>
      </c>
    </row>
    <row r="22">
      <c r="A22" s="8" t="n">
        <v>9</v>
      </c>
      <c r="B22" s="6">
        <f>IFERROR(INDEX(Helper_Clients!$A$3:$A$374,MATCH(LARGE(Helper_Clients!$Q$3:$Q$374,9),Helper_Clients!$Q$3:$Q$374,0)),"-")</f>
        <v/>
      </c>
      <c r="C22" s="6">
        <f>IFERROR(INDEX(Helper_Clients!$B$3:$B$374,MATCH(LARGE(Helper_Clients!$Q$3:$Q$374,9),Helper_Clients!$Q$3:$Q$374,0)),"-")</f>
        <v/>
      </c>
      <c r="D22" s="6">
        <f>IFERROR(INDEX(Helper_Clients!$C$3:$C$374,MATCH(LARGE(Helper_Clients!$Q$3:$Q$374,9),Helper_Clients!$Q$3:$Q$374,0)),"-")</f>
        <v/>
      </c>
      <c r="E22" s="10">
        <f>IFERROR(LARGE(Helper_Clients!$Q$3:$Q$374,9),"-")</f>
        <v/>
      </c>
      <c r="F22" s="7">
        <f>IFERROR(E22/SUM(Helper_Clients!$Q$3:$Q$374),"-")</f>
        <v/>
      </c>
    </row>
    <row r="23">
      <c r="A23" s="8" t="n">
        <v>10</v>
      </c>
      <c r="B23" s="6">
        <f>IFERROR(INDEX(Helper_Clients!$A$3:$A$374,MATCH(LARGE(Helper_Clients!$Q$3:$Q$374,10),Helper_Clients!$Q$3:$Q$374,0)),"-")</f>
        <v/>
      </c>
      <c r="C23" s="6">
        <f>IFERROR(INDEX(Helper_Clients!$B$3:$B$374,MATCH(LARGE(Helper_Clients!$Q$3:$Q$374,10),Helper_Clients!$Q$3:$Q$374,0)),"-")</f>
        <v/>
      </c>
      <c r="D23" s="6">
        <f>IFERROR(INDEX(Helper_Clients!$C$3:$C$374,MATCH(LARGE(Helper_Clients!$Q$3:$Q$374,10),Helper_Clients!$Q$3:$Q$374,0)),"-")</f>
        <v/>
      </c>
      <c r="E23" s="10">
        <f>IFERROR(LARGE(Helper_Clients!$Q$3:$Q$374,10),"-")</f>
        <v/>
      </c>
      <c r="F23" s="7">
        <f>IFERROR(E23/SUM(Helper_Clients!$Q$3:$Q$374),"-")</f>
        <v/>
      </c>
    </row>
    <row r="24">
      <c r="A24" s="8" t="n">
        <v>11</v>
      </c>
      <c r="B24" s="6">
        <f>IFERROR(INDEX(Helper_Clients!$A$3:$A$374,MATCH(LARGE(Helper_Clients!$Q$3:$Q$374,11),Helper_Clients!$Q$3:$Q$374,0)),"-")</f>
        <v/>
      </c>
      <c r="C24" s="6">
        <f>IFERROR(INDEX(Helper_Clients!$B$3:$B$374,MATCH(LARGE(Helper_Clients!$Q$3:$Q$374,11),Helper_Clients!$Q$3:$Q$374,0)),"-")</f>
        <v/>
      </c>
      <c r="D24" s="6">
        <f>IFERROR(INDEX(Helper_Clients!$C$3:$C$374,MATCH(LARGE(Helper_Clients!$Q$3:$Q$374,11),Helper_Clients!$Q$3:$Q$374,0)),"-")</f>
        <v/>
      </c>
      <c r="E24" s="10">
        <f>IFERROR(LARGE(Helper_Clients!$Q$3:$Q$374,11),"-")</f>
        <v/>
      </c>
      <c r="F24" s="7">
        <f>IFERROR(E24/SUM(Helper_Clients!$Q$3:$Q$374),"-")</f>
        <v/>
      </c>
    </row>
    <row r="25">
      <c r="A25" s="8" t="n">
        <v>12</v>
      </c>
      <c r="B25" s="6">
        <f>IFERROR(INDEX(Helper_Clients!$A$3:$A$374,MATCH(LARGE(Helper_Clients!$Q$3:$Q$374,12),Helper_Clients!$Q$3:$Q$374,0)),"-")</f>
        <v/>
      </c>
      <c r="C25" s="6">
        <f>IFERROR(INDEX(Helper_Clients!$B$3:$B$374,MATCH(LARGE(Helper_Clients!$Q$3:$Q$374,12),Helper_Clients!$Q$3:$Q$374,0)),"-")</f>
        <v/>
      </c>
      <c r="D25" s="6">
        <f>IFERROR(INDEX(Helper_Clients!$C$3:$C$374,MATCH(LARGE(Helper_Clients!$Q$3:$Q$374,12),Helper_Clients!$Q$3:$Q$374,0)),"-")</f>
        <v/>
      </c>
      <c r="E25" s="10">
        <f>IFERROR(LARGE(Helper_Clients!$Q$3:$Q$374,12),"-")</f>
        <v/>
      </c>
      <c r="F25" s="7">
        <f>IFERROR(E25/SUM(Helper_Clients!$Q$3:$Q$374),"-")</f>
        <v/>
      </c>
    </row>
    <row r="26">
      <c r="A26" s="8" t="n">
        <v>13</v>
      </c>
      <c r="B26" s="6">
        <f>IFERROR(INDEX(Helper_Clients!$A$3:$A$374,MATCH(LARGE(Helper_Clients!$Q$3:$Q$374,13),Helper_Clients!$Q$3:$Q$374,0)),"-")</f>
        <v/>
      </c>
      <c r="C26" s="6">
        <f>IFERROR(INDEX(Helper_Clients!$B$3:$B$374,MATCH(LARGE(Helper_Clients!$Q$3:$Q$374,13),Helper_Clients!$Q$3:$Q$374,0)),"-")</f>
        <v/>
      </c>
      <c r="D26" s="6">
        <f>IFERROR(INDEX(Helper_Clients!$C$3:$C$374,MATCH(LARGE(Helper_Clients!$Q$3:$Q$374,13),Helper_Clients!$Q$3:$Q$374,0)),"-")</f>
        <v/>
      </c>
      <c r="E26" s="10">
        <f>IFERROR(LARGE(Helper_Clients!$Q$3:$Q$374,13),"-")</f>
        <v/>
      </c>
      <c r="F26" s="7">
        <f>IFERROR(E26/SUM(Helper_Clients!$Q$3:$Q$374),"-")</f>
        <v/>
      </c>
    </row>
    <row r="27">
      <c r="A27" s="8" t="n">
        <v>14</v>
      </c>
      <c r="B27" s="6">
        <f>IFERROR(INDEX(Helper_Clients!$A$3:$A$374,MATCH(LARGE(Helper_Clients!$Q$3:$Q$374,14),Helper_Clients!$Q$3:$Q$374,0)),"-")</f>
        <v/>
      </c>
      <c r="C27" s="6">
        <f>IFERROR(INDEX(Helper_Clients!$B$3:$B$374,MATCH(LARGE(Helper_Clients!$Q$3:$Q$374,14),Helper_Clients!$Q$3:$Q$374,0)),"-")</f>
        <v/>
      </c>
      <c r="D27" s="6">
        <f>IFERROR(INDEX(Helper_Clients!$C$3:$C$374,MATCH(LARGE(Helper_Clients!$Q$3:$Q$374,14),Helper_Clients!$Q$3:$Q$374,0)),"-")</f>
        <v/>
      </c>
      <c r="E27" s="10">
        <f>IFERROR(LARGE(Helper_Clients!$Q$3:$Q$374,14),"-")</f>
        <v/>
      </c>
      <c r="F27" s="7">
        <f>IFERROR(E27/SUM(Helper_Clients!$Q$3:$Q$374),"-")</f>
        <v/>
      </c>
    </row>
    <row r="28">
      <c r="A28" s="8" t="n">
        <v>15</v>
      </c>
      <c r="B28" s="6">
        <f>IFERROR(INDEX(Helper_Clients!$A$3:$A$374,MATCH(LARGE(Helper_Clients!$Q$3:$Q$374,15),Helper_Clients!$Q$3:$Q$374,0)),"-")</f>
        <v/>
      </c>
      <c r="C28" s="6">
        <f>IFERROR(INDEX(Helper_Clients!$B$3:$B$374,MATCH(LARGE(Helper_Clients!$Q$3:$Q$374,15),Helper_Clients!$Q$3:$Q$374,0)),"-")</f>
        <v/>
      </c>
      <c r="D28" s="6">
        <f>IFERROR(INDEX(Helper_Clients!$C$3:$C$374,MATCH(LARGE(Helper_Clients!$Q$3:$Q$374,15),Helper_Clients!$Q$3:$Q$374,0)),"-")</f>
        <v/>
      </c>
      <c r="E28" s="10">
        <f>IFERROR(LARGE(Helper_Clients!$Q$3:$Q$374,15),"-")</f>
        <v/>
      </c>
      <c r="F28" s="7">
        <f>IFERROR(E28/SUM(Helper_Clients!$Q$3:$Q$374),"-")</f>
        <v/>
      </c>
    </row>
    <row r="29">
      <c r="A29" s="8" t="n">
        <v>16</v>
      </c>
      <c r="B29" s="6">
        <f>IFERROR(INDEX(Helper_Clients!$A$3:$A$374,MATCH(LARGE(Helper_Clients!$Q$3:$Q$374,16),Helper_Clients!$Q$3:$Q$374,0)),"-")</f>
        <v/>
      </c>
      <c r="C29" s="6">
        <f>IFERROR(INDEX(Helper_Clients!$B$3:$B$374,MATCH(LARGE(Helper_Clients!$Q$3:$Q$374,16),Helper_Clients!$Q$3:$Q$374,0)),"-")</f>
        <v/>
      </c>
      <c r="D29" s="6">
        <f>IFERROR(INDEX(Helper_Clients!$C$3:$C$374,MATCH(LARGE(Helper_Clients!$Q$3:$Q$374,16),Helper_Clients!$Q$3:$Q$374,0)),"-")</f>
        <v/>
      </c>
      <c r="E29" s="10">
        <f>IFERROR(LARGE(Helper_Clients!$Q$3:$Q$374,16),"-")</f>
        <v/>
      </c>
      <c r="F29" s="7">
        <f>IFERROR(E29/SUM(Helper_Clients!$Q$3:$Q$374),"-")</f>
        <v/>
      </c>
    </row>
    <row r="30">
      <c r="A30" s="8" t="n">
        <v>17</v>
      </c>
      <c r="B30" s="6">
        <f>IFERROR(INDEX(Helper_Clients!$A$3:$A$374,MATCH(LARGE(Helper_Clients!$Q$3:$Q$374,17),Helper_Clients!$Q$3:$Q$374,0)),"-")</f>
        <v/>
      </c>
      <c r="C30" s="6">
        <f>IFERROR(INDEX(Helper_Clients!$B$3:$B$374,MATCH(LARGE(Helper_Clients!$Q$3:$Q$374,17),Helper_Clients!$Q$3:$Q$374,0)),"-")</f>
        <v/>
      </c>
      <c r="D30" s="6">
        <f>IFERROR(INDEX(Helper_Clients!$C$3:$C$374,MATCH(LARGE(Helper_Clients!$Q$3:$Q$374,17),Helper_Clients!$Q$3:$Q$374,0)),"-")</f>
        <v/>
      </c>
      <c r="E30" s="10">
        <f>IFERROR(LARGE(Helper_Clients!$Q$3:$Q$374,17),"-")</f>
        <v/>
      </c>
      <c r="F30" s="7">
        <f>IFERROR(E30/SUM(Helper_Clients!$Q$3:$Q$374),"-")</f>
        <v/>
      </c>
    </row>
    <row r="31">
      <c r="A31" s="8" t="n">
        <v>18</v>
      </c>
      <c r="B31" s="6">
        <f>IFERROR(INDEX(Helper_Clients!$A$3:$A$374,MATCH(LARGE(Helper_Clients!$Q$3:$Q$374,18),Helper_Clients!$Q$3:$Q$374,0)),"-")</f>
        <v/>
      </c>
      <c r="C31" s="6">
        <f>IFERROR(INDEX(Helper_Clients!$B$3:$B$374,MATCH(LARGE(Helper_Clients!$Q$3:$Q$374,18),Helper_Clients!$Q$3:$Q$374,0)),"-")</f>
        <v/>
      </c>
      <c r="D31" s="6">
        <f>IFERROR(INDEX(Helper_Clients!$C$3:$C$374,MATCH(LARGE(Helper_Clients!$Q$3:$Q$374,18),Helper_Clients!$Q$3:$Q$374,0)),"-")</f>
        <v/>
      </c>
      <c r="E31" s="10">
        <f>IFERROR(LARGE(Helper_Clients!$Q$3:$Q$374,18),"-")</f>
        <v/>
      </c>
      <c r="F31" s="7">
        <f>IFERROR(E31/SUM(Helper_Clients!$Q$3:$Q$374),"-")</f>
        <v/>
      </c>
    </row>
    <row r="32">
      <c r="A32" s="8" t="n">
        <v>19</v>
      </c>
      <c r="B32" s="6">
        <f>IFERROR(INDEX(Helper_Clients!$A$3:$A$374,MATCH(LARGE(Helper_Clients!$Q$3:$Q$374,19),Helper_Clients!$Q$3:$Q$374,0)),"-")</f>
        <v/>
      </c>
      <c r="C32" s="6">
        <f>IFERROR(INDEX(Helper_Clients!$B$3:$B$374,MATCH(LARGE(Helper_Clients!$Q$3:$Q$374,19),Helper_Clients!$Q$3:$Q$374,0)),"-")</f>
        <v/>
      </c>
      <c r="D32" s="6">
        <f>IFERROR(INDEX(Helper_Clients!$C$3:$C$374,MATCH(LARGE(Helper_Clients!$Q$3:$Q$374,19),Helper_Clients!$Q$3:$Q$374,0)),"-")</f>
        <v/>
      </c>
      <c r="E32" s="10">
        <f>IFERROR(LARGE(Helper_Clients!$Q$3:$Q$374,19),"-")</f>
        <v/>
      </c>
      <c r="F32" s="7">
        <f>IFERROR(E32/SUM(Helper_Clients!$Q$3:$Q$374),"-")</f>
        <v/>
      </c>
    </row>
    <row r="33">
      <c r="A33" s="8" t="n">
        <v>20</v>
      </c>
      <c r="B33" s="6">
        <f>IFERROR(INDEX(Helper_Clients!$A$3:$A$374,MATCH(LARGE(Helper_Clients!$Q$3:$Q$374,20),Helper_Clients!$Q$3:$Q$374,0)),"-")</f>
        <v/>
      </c>
      <c r="C33" s="6">
        <f>IFERROR(INDEX(Helper_Clients!$B$3:$B$374,MATCH(LARGE(Helper_Clients!$Q$3:$Q$374,20),Helper_Clients!$Q$3:$Q$374,0)),"-")</f>
        <v/>
      </c>
      <c r="D33" s="6">
        <f>IFERROR(INDEX(Helper_Clients!$C$3:$C$374,MATCH(LARGE(Helper_Clients!$Q$3:$Q$374,20),Helper_Clients!$Q$3:$Q$374,0)),"-")</f>
        <v/>
      </c>
      <c r="E33" s="10">
        <f>IFERROR(LARGE(Helper_Clients!$Q$3:$Q$374,20),"-")</f>
        <v/>
      </c>
      <c r="F33" s="7">
        <f>IFERROR(E33/SUM(Helper_Clients!$Q$3:$Q$374),"-")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73B57"/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1" t="inlineStr">
        <is>
          <t>Cross-sell — Product breadth per client (£ GBP)</t>
        </is>
      </c>
    </row>
    <row r="2">
      <c r="A2" s="15" t="inlineStr">
        <is>
          <t>"Lines" = active revenue lines per client (proxy for product/country breadth, 1 line = unique product × country combo).</t>
        </is>
      </c>
    </row>
    <row r="4">
      <c r="A4" s="3" t="inlineStr">
        <is>
          <t>Metric</t>
        </is>
      </c>
      <c r="B4" s="3" t="inlineStr">
        <is>
          <t>FY2014A</t>
        </is>
      </c>
      <c r="C4" s="3" t="inlineStr">
        <is>
          <t>FY2015A</t>
        </is>
      </c>
      <c r="D4" s="3" t="inlineStr">
        <is>
          <t>FY2016A</t>
        </is>
      </c>
      <c r="E4" s="3" t="inlineStr">
        <is>
          <t>FY2017A</t>
        </is>
      </c>
      <c r="F4" s="3" t="inlineStr">
        <is>
          <t>FY2018A</t>
        </is>
      </c>
      <c r="G4" s="3" t="inlineStr">
        <is>
          <t>FY2019A</t>
        </is>
      </c>
      <c r="H4" s="3" t="inlineStr">
        <is>
          <t>FY2020A</t>
        </is>
      </c>
      <c r="I4" s="3" t="inlineStr">
        <is>
          <t>FY2021A</t>
        </is>
      </c>
      <c r="J4" s="3" t="inlineStr">
        <is>
          <t>FY2022A</t>
        </is>
      </c>
      <c r="K4" s="3" t="inlineStr">
        <is>
          <t>FY2023A</t>
        </is>
      </c>
      <c r="L4" s="3" t="inlineStr">
        <is>
          <t>FY2024A</t>
        </is>
      </c>
      <c r="M4" s="3" t="inlineStr">
        <is>
          <t>FY2025A</t>
        </is>
      </c>
      <c r="N4" s="3" t="inlineStr">
        <is>
          <t>FY2026A</t>
        </is>
      </c>
    </row>
    <row r="5">
      <c r="A5" s="4" t="inlineStr">
        <is>
          <t>Avg # lines per active client</t>
        </is>
      </c>
      <c r="B5" s="16">
        <f>IFERROR(SUM(Helper_Clients!$U$3:$U$374)/COUNTIF(Helper_Clients!$E$3:$E$374,"&gt;0"),"-")</f>
        <v/>
      </c>
      <c r="C5" s="16">
        <f>IFERROR(SUM(Helper_Clients!$V$3:$V$374)/COUNTIF(Helper_Clients!$F$3:$F$374,"&gt;0"),"-")</f>
        <v/>
      </c>
      <c r="D5" s="16">
        <f>IFERROR(SUM(Helper_Clients!$W$3:$W$374)/COUNTIF(Helper_Clients!$G$3:$G$374,"&gt;0"),"-")</f>
        <v/>
      </c>
      <c r="E5" s="16">
        <f>IFERROR(SUM(Helper_Clients!$X$3:$X$374)/COUNTIF(Helper_Clients!$H$3:$H$374,"&gt;0"),"-")</f>
        <v/>
      </c>
      <c r="F5" s="16">
        <f>IFERROR(SUM(Helper_Clients!$Y$3:$Y$374)/COUNTIF(Helper_Clients!$I$3:$I$374,"&gt;0"),"-")</f>
        <v/>
      </c>
      <c r="G5" s="16">
        <f>IFERROR(SUM(Helper_Clients!$Z$3:$Z$374)/COUNTIF(Helper_Clients!$J$3:$J$374,"&gt;0"),"-")</f>
        <v/>
      </c>
      <c r="H5" s="16">
        <f>IFERROR(SUM(Helper_Clients!$AA$3:$AA$374)/COUNTIF(Helper_Clients!$K$3:$K$374,"&gt;0"),"-")</f>
        <v/>
      </c>
      <c r="I5" s="16">
        <f>IFERROR(SUM(Helper_Clients!$AB$3:$AB$374)/COUNTIF(Helper_Clients!$L$3:$L$374,"&gt;0"),"-")</f>
        <v/>
      </c>
      <c r="J5" s="16">
        <f>IFERROR(SUM(Helper_Clients!$AC$3:$AC$374)/COUNTIF(Helper_Clients!$M$3:$M$374,"&gt;0"),"-")</f>
        <v/>
      </c>
      <c r="K5" s="16">
        <f>IFERROR(SUM(Helper_Clients!$AD$3:$AD$374)/COUNTIF(Helper_Clients!$N$3:$N$374,"&gt;0"),"-")</f>
        <v/>
      </c>
      <c r="L5" s="16">
        <f>IFERROR(SUM(Helper_Clients!$AE$3:$AE$374)/COUNTIF(Helper_Clients!$O$3:$O$374,"&gt;0"),"-")</f>
        <v/>
      </c>
      <c r="M5" s="16">
        <f>IFERROR(SUM(Helper_Clients!$AF$3:$AF$374)/COUNTIF(Helper_Clients!$P$3:$P$374,"&gt;0"),"-")</f>
        <v/>
      </c>
      <c r="N5" s="16">
        <f>IFERROR(SUM(Helper_Clients!$AG$3:$AG$374)/COUNTIF(Helper_Clients!$Q$3:$Q$374,"&gt;0"),"-")</f>
        <v/>
      </c>
    </row>
    <row r="7">
      <c r="A7" s="6" t="inlineStr">
        <is>
          <t># Mono-line clients (1 line)</t>
        </is>
      </c>
      <c r="B7" s="10">
        <f>COUNTIF(Helper_Clients!$U$3:$U$374,1)</f>
        <v/>
      </c>
      <c r="C7" s="10">
        <f>COUNTIF(Helper_Clients!$V$3:$V$374,1)</f>
        <v/>
      </c>
      <c r="D7" s="10">
        <f>COUNTIF(Helper_Clients!$W$3:$W$374,1)</f>
        <v/>
      </c>
      <c r="E7" s="10">
        <f>COUNTIF(Helper_Clients!$X$3:$X$374,1)</f>
        <v/>
      </c>
      <c r="F7" s="10">
        <f>COUNTIF(Helper_Clients!$Y$3:$Y$374,1)</f>
        <v/>
      </c>
      <c r="G7" s="10">
        <f>COUNTIF(Helper_Clients!$Z$3:$Z$374,1)</f>
        <v/>
      </c>
      <c r="H7" s="10">
        <f>COUNTIF(Helper_Clients!$AA$3:$AA$374,1)</f>
        <v/>
      </c>
      <c r="I7" s="10">
        <f>COUNTIF(Helper_Clients!$AB$3:$AB$374,1)</f>
        <v/>
      </c>
      <c r="J7" s="10">
        <f>COUNTIF(Helper_Clients!$AC$3:$AC$374,1)</f>
        <v/>
      </c>
      <c r="K7" s="10">
        <f>COUNTIF(Helper_Clients!$AD$3:$AD$374,1)</f>
        <v/>
      </c>
      <c r="L7" s="10">
        <f>COUNTIF(Helper_Clients!$AE$3:$AE$374,1)</f>
        <v/>
      </c>
      <c r="M7" s="10">
        <f>COUNTIF(Helper_Clients!$AF$3:$AF$374,1)</f>
        <v/>
      </c>
      <c r="N7" s="10">
        <f>COUNTIF(Helper_Clients!$AG$3:$AG$374,1)</f>
        <v/>
      </c>
    </row>
    <row r="8">
      <c r="A8" s="6" t="inlineStr">
        <is>
          <t># Multi-line clients (&gt;=2)</t>
        </is>
      </c>
      <c r="B8" s="10">
        <f>COUNTIF(Helper_Clients!$U$3:$U$374,"&gt;=2")</f>
        <v/>
      </c>
      <c r="C8" s="10">
        <f>COUNTIF(Helper_Clients!$V$3:$V$374,"&gt;=2")</f>
        <v/>
      </c>
      <c r="D8" s="10">
        <f>COUNTIF(Helper_Clients!$W$3:$W$374,"&gt;=2")</f>
        <v/>
      </c>
      <c r="E8" s="10">
        <f>COUNTIF(Helper_Clients!$X$3:$X$374,"&gt;=2")</f>
        <v/>
      </c>
      <c r="F8" s="10">
        <f>COUNTIF(Helper_Clients!$Y$3:$Y$374,"&gt;=2")</f>
        <v/>
      </c>
      <c r="G8" s="10">
        <f>COUNTIF(Helper_Clients!$Z$3:$Z$374,"&gt;=2")</f>
        <v/>
      </c>
      <c r="H8" s="10">
        <f>COUNTIF(Helper_Clients!$AA$3:$AA$374,"&gt;=2")</f>
        <v/>
      </c>
      <c r="I8" s="10">
        <f>COUNTIF(Helper_Clients!$AB$3:$AB$374,"&gt;=2")</f>
        <v/>
      </c>
      <c r="J8" s="10">
        <f>COUNTIF(Helper_Clients!$AC$3:$AC$374,"&gt;=2")</f>
        <v/>
      </c>
      <c r="K8" s="10">
        <f>COUNTIF(Helper_Clients!$AD$3:$AD$374,"&gt;=2")</f>
        <v/>
      </c>
      <c r="L8" s="10">
        <f>COUNTIF(Helper_Clients!$AE$3:$AE$374,"&gt;=2")</f>
        <v/>
      </c>
      <c r="M8" s="10">
        <f>COUNTIF(Helper_Clients!$AF$3:$AF$374,"&gt;=2")</f>
        <v/>
      </c>
      <c r="N8" s="10">
        <f>COUNTIF(Helper_Clients!$AG$3:$AG$374,"&gt;=2")</f>
        <v/>
      </c>
    </row>
    <row r="9">
      <c r="A9" s="6" t="inlineStr">
        <is>
          <t>% Multi-line clients</t>
        </is>
      </c>
      <c r="B9" s="7">
        <f>IFERROR(B8/(B7+B8),"-")</f>
        <v/>
      </c>
      <c r="C9" s="7">
        <f>IFERROR(C8/(C7+C8),"-")</f>
        <v/>
      </c>
      <c r="D9" s="7">
        <f>IFERROR(D8/(D7+D8),"-")</f>
        <v/>
      </c>
      <c r="E9" s="7">
        <f>IFERROR(E8/(E7+E8),"-")</f>
        <v/>
      </c>
      <c r="F9" s="7">
        <f>IFERROR(F8/(F7+F8),"-")</f>
        <v/>
      </c>
      <c r="G9" s="7">
        <f>IFERROR(G8/(G7+G8),"-")</f>
        <v/>
      </c>
      <c r="H9" s="7">
        <f>IFERROR(H8/(H7+H8),"-")</f>
        <v/>
      </c>
      <c r="I9" s="7">
        <f>IFERROR(I8/(I7+I8),"-")</f>
        <v/>
      </c>
      <c r="J9" s="7">
        <f>IFERROR(J8/(J7+J8),"-")</f>
        <v/>
      </c>
      <c r="K9" s="7">
        <f>IFERROR(K8/(K7+K8),"-")</f>
        <v/>
      </c>
      <c r="L9" s="7">
        <f>IFERROR(L8/(L7+L8),"-")</f>
        <v/>
      </c>
      <c r="M9" s="7">
        <f>IFERROR(M8/(M7+M8),"-")</f>
        <v/>
      </c>
      <c r="N9" s="7">
        <f>IFERROR(N8/(N7+N8),"-")</f>
        <v/>
      </c>
    </row>
    <row r="11">
      <c r="A11" s="6" t="inlineStr">
        <is>
          <t>Revenue from mono-line clients (£)</t>
        </is>
      </c>
      <c r="B11" s="10">
        <f>SUMIFS(Helper_Clients!$E$3:$E$374,Helper_Clients!$U$3:$U$374,1)</f>
        <v/>
      </c>
      <c r="C11" s="10">
        <f>SUMIFS(Helper_Clients!$F$3:$F$374,Helper_Clients!$V$3:$V$374,1)</f>
        <v/>
      </c>
      <c r="D11" s="10">
        <f>SUMIFS(Helper_Clients!$G$3:$G$374,Helper_Clients!$W$3:$W$374,1)</f>
        <v/>
      </c>
      <c r="E11" s="10">
        <f>SUMIFS(Helper_Clients!$H$3:$H$374,Helper_Clients!$X$3:$X$374,1)</f>
        <v/>
      </c>
      <c r="F11" s="10">
        <f>SUMIFS(Helper_Clients!$I$3:$I$374,Helper_Clients!$Y$3:$Y$374,1)</f>
        <v/>
      </c>
      <c r="G11" s="10">
        <f>SUMIFS(Helper_Clients!$J$3:$J$374,Helper_Clients!$Z$3:$Z$374,1)</f>
        <v/>
      </c>
      <c r="H11" s="10">
        <f>SUMIFS(Helper_Clients!$K$3:$K$374,Helper_Clients!$AA$3:$AA$374,1)</f>
        <v/>
      </c>
      <c r="I11" s="10">
        <f>SUMIFS(Helper_Clients!$L$3:$L$374,Helper_Clients!$AB$3:$AB$374,1)</f>
        <v/>
      </c>
      <c r="J11" s="10">
        <f>SUMIFS(Helper_Clients!$M$3:$M$374,Helper_Clients!$AC$3:$AC$374,1)</f>
        <v/>
      </c>
      <c r="K11" s="10">
        <f>SUMIFS(Helper_Clients!$N$3:$N$374,Helper_Clients!$AD$3:$AD$374,1)</f>
        <v/>
      </c>
      <c r="L11" s="10">
        <f>SUMIFS(Helper_Clients!$O$3:$O$374,Helper_Clients!$AE$3:$AE$374,1)</f>
        <v/>
      </c>
      <c r="M11" s="10">
        <f>SUMIFS(Helper_Clients!$P$3:$P$374,Helper_Clients!$AF$3:$AF$374,1)</f>
        <v/>
      </c>
      <c r="N11" s="10">
        <f>SUMIFS(Helper_Clients!$Q$3:$Q$374,Helper_Clients!$AG$3:$AG$374,1)</f>
        <v/>
      </c>
    </row>
    <row r="12">
      <c r="A12" s="6" t="inlineStr">
        <is>
          <t>Revenue from multi-line clients (£)</t>
        </is>
      </c>
      <c r="B12" s="10">
        <f>SUMIFS(Helper_Clients!$E$3:$E$374,Helper_Clients!$U$3:$U$374,"&gt;=2")</f>
        <v/>
      </c>
      <c r="C12" s="10">
        <f>SUMIFS(Helper_Clients!$F$3:$F$374,Helper_Clients!$V$3:$V$374,"&gt;=2")</f>
        <v/>
      </c>
      <c r="D12" s="10">
        <f>SUMIFS(Helper_Clients!$G$3:$G$374,Helper_Clients!$W$3:$W$374,"&gt;=2")</f>
        <v/>
      </c>
      <c r="E12" s="10">
        <f>SUMIFS(Helper_Clients!$H$3:$H$374,Helper_Clients!$X$3:$X$374,"&gt;=2")</f>
        <v/>
      </c>
      <c r="F12" s="10">
        <f>SUMIFS(Helper_Clients!$I$3:$I$374,Helper_Clients!$Y$3:$Y$374,"&gt;=2")</f>
        <v/>
      </c>
      <c r="G12" s="10">
        <f>SUMIFS(Helper_Clients!$J$3:$J$374,Helper_Clients!$Z$3:$Z$374,"&gt;=2")</f>
        <v/>
      </c>
      <c r="H12" s="10">
        <f>SUMIFS(Helper_Clients!$K$3:$K$374,Helper_Clients!$AA$3:$AA$374,"&gt;=2")</f>
        <v/>
      </c>
      <c r="I12" s="10">
        <f>SUMIFS(Helper_Clients!$L$3:$L$374,Helper_Clients!$AB$3:$AB$374,"&gt;=2")</f>
        <v/>
      </c>
      <c r="J12" s="10">
        <f>SUMIFS(Helper_Clients!$M$3:$M$374,Helper_Clients!$AC$3:$AC$374,"&gt;=2")</f>
        <v/>
      </c>
      <c r="K12" s="10">
        <f>SUMIFS(Helper_Clients!$N$3:$N$374,Helper_Clients!$AD$3:$AD$374,"&gt;=2")</f>
        <v/>
      </c>
      <c r="L12" s="10">
        <f>SUMIFS(Helper_Clients!$O$3:$O$374,Helper_Clients!$AE$3:$AE$374,"&gt;=2")</f>
        <v/>
      </c>
      <c r="M12" s="10">
        <f>SUMIFS(Helper_Clients!$P$3:$P$374,Helper_Clients!$AF$3:$AF$374,"&gt;=2")</f>
        <v/>
      </c>
      <c r="N12" s="10">
        <f>SUMIFS(Helper_Clients!$Q$3:$Q$374,Helper_Clients!$AG$3:$AG$374,"&gt;=2")</f>
        <v/>
      </c>
    </row>
    <row r="13">
      <c r="A13" s="4" t="inlineStr">
        <is>
          <t>% Revenue from multi-line clients</t>
        </is>
      </c>
      <c r="B13" s="13">
        <f>IFERROR(B12/(B11+B12),"-")</f>
        <v/>
      </c>
      <c r="C13" s="13">
        <f>IFERROR(C12/(C11+C12),"-")</f>
        <v/>
      </c>
      <c r="D13" s="13">
        <f>IFERROR(D12/(D11+D12),"-")</f>
        <v/>
      </c>
      <c r="E13" s="13">
        <f>IFERROR(E12/(E11+E12),"-")</f>
        <v/>
      </c>
      <c r="F13" s="13">
        <f>IFERROR(F12/(F11+F12),"-")</f>
        <v/>
      </c>
      <c r="G13" s="13">
        <f>IFERROR(G12/(G11+G12),"-")</f>
        <v/>
      </c>
      <c r="H13" s="13">
        <f>IFERROR(H12/(H11+H12),"-")</f>
        <v/>
      </c>
      <c r="I13" s="13">
        <f>IFERROR(I12/(I11+I12),"-")</f>
        <v/>
      </c>
      <c r="J13" s="13">
        <f>IFERROR(J12/(J11+J12),"-")</f>
        <v/>
      </c>
      <c r="K13" s="13">
        <f>IFERROR(K12/(K11+K12),"-")</f>
        <v/>
      </c>
      <c r="L13" s="13">
        <f>IFERROR(L12/(L11+L12),"-")</f>
        <v/>
      </c>
      <c r="M13" s="13">
        <f>IFERROR(M12/(M11+M12),"-")</f>
        <v/>
      </c>
      <c r="N13" s="13">
        <f>IFERROR(N12/(N11+N12),"-")</f>
        <v/>
      </c>
    </row>
    <row r="16">
      <c r="A16" s="9" t="inlineStr">
        <is>
          <t>Distribution of clients by # lines</t>
        </is>
      </c>
    </row>
    <row r="17">
      <c r="A17" s="3" t="inlineStr">
        <is>
          <t># lines</t>
        </is>
      </c>
      <c r="B17" s="3" t="inlineStr">
        <is>
          <t>FY2014A</t>
        </is>
      </c>
      <c r="C17" s="3" t="inlineStr">
        <is>
          <t>FY2015A</t>
        </is>
      </c>
      <c r="D17" s="3" t="inlineStr">
        <is>
          <t>FY2016A</t>
        </is>
      </c>
      <c r="E17" s="3" t="inlineStr">
        <is>
          <t>FY2017A</t>
        </is>
      </c>
      <c r="F17" s="3" t="inlineStr">
        <is>
          <t>FY2018A</t>
        </is>
      </c>
      <c r="G17" s="3" t="inlineStr">
        <is>
          <t>FY2019A</t>
        </is>
      </c>
      <c r="H17" s="3" t="inlineStr">
        <is>
          <t>FY2020A</t>
        </is>
      </c>
      <c r="I17" s="3" t="inlineStr">
        <is>
          <t>FY2021A</t>
        </is>
      </c>
      <c r="J17" s="3" t="inlineStr">
        <is>
          <t>FY2022A</t>
        </is>
      </c>
      <c r="K17" s="3" t="inlineStr">
        <is>
          <t>FY2023A</t>
        </is>
      </c>
      <c r="L17" s="3" t="inlineStr">
        <is>
          <t>FY2024A</t>
        </is>
      </c>
      <c r="M17" s="3" t="inlineStr">
        <is>
          <t>FY2025A</t>
        </is>
      </c>
      <c r="N17" s="3" t="inlineStr">
        <is>
          <t>FY2026A</t>
        </is>
      </c>
    </row>
    <row r="18">
      <c r="A18" s="6" t="inlineStr">
        <is>
          <t>1</t>
        </is>
      </c>
      <c r="B18" s="10">
        <f>COUNTIF(Helper_Clients!$U$3:$U$374,1)</f>
        <v/>
      </c>
      <c r="C18" s="10">
        <f>COUNTIF(Helper_Clients!$V$3:$V$374,1)</f>
        <v/>
      </c>
      <c r="D18" s="10">
        <f>COUNTIF(Helper_Clients!$W$3:$W$374,1)</f>
        <v/>
      </c>
      <c r="E18" s="10">
        <f>COUNTIF(Helper_Clients!$X$3:$X$374,1)</f>
        <v/>
      </c>
      <c r="F18" s="10">
        <f>COUNTIF(Helper_Clients!$Y$3:$Y$374,1)</f>
        <v/>
      </c>
      <c r="G18" s="10">
        <f>COUNTIF(Helper_Clients!$Z$3:$Z$374,1)</f>
        <v/>
      </c>
      <c r="H18" s="10">
        <f>COUNTIF(Helper_Clients!$AA$3:$AA$374,1)</f>
        <v/>
      </c>
      <c r="I18" s="10">
        <f>COUNTIF(Helper_Clients!$AB$3:$AB$374,1)</f>
        <v/>
      </c>
      <c r="J18" s="10">
        <f>COUNTIF(Helper_Clients!$AC$3:$AC$374,1)</f>
        <v/>
      </c>
      <c r="K18" s="10">
        <f>COUNTIF(Helper_Clients!$AD$3:$AD$374,1)</f>
        <v/>
      </c>
      <c r="L18" s="10">
        <f>COUNTIF(Helper_Clients!$AE$3:$AE$374,1)</f>
        <v/>
      </c>
      <c r="M18" s="10">
        <f>COUNTIF(Helper_Clients!$AF$3:$AF$374,1)</f>
        <v/>
      </c>
      <c r="N18" s="10">
        <f>COUNTIF(Helper_Clients!$AG$3:$AG$374,1)</f>
        <v/>
      </c>
    </row>
    <row r="19">
      <c r="A19" s="6" t="inlineStr">
        <is>
          <t>2</t>
        </is>
      </c>
      <c r="B19" s="10">
        <f>COUNTIF(Helper_Clients!$U$3:$U$374,2)</f>
        <v/>
      </c>
      <c r="C19" s="10">
        <f>COUNTIF(Helper_Clients!$V$3:$V$374,2)</f>
        <v/>
      </c>
      <c r="D19" s="10">
        <f>COUNTIF(Helper_Clients!$W$3:$W$374,2)</f>
        <v/>
      </c>
      <c r="E19" s="10">
        <f>COUNTIF(Helper_Clients!$X$3:$X$374,2)</f>
        <v/>
      </c>
      <c r="F19" s="10">
        <f>COUNTIF(Helper_Clients!$Y$3:$Y$374,2)</f>
        <v/>
      </c>
      <c r="G19" s="10">
        <f>COUNTIF(Helper_Clients!$Z$3:$Z$374,2)</f>
        <v/>
      </c>
      <c r="H19" s="10">
        <f>COUNTIF(Helper_Clients!$AA$3:$AA$374,2)</f>
        <v/>
      </c>
      <c r="I19" s="10">
        <f>COUNTIF(Helper_Clients!$AB$3:$AB$374,2)</f>
        <v/>
      </c>
      <c r="J19" s="10">
        <f>COUNTIF(Helper_Clients!$AC$3:$AC$374,2)</f>
        <v/>
      </c>
      <c r="K19" s="10">
        <f>COUNTIF(Helper_Clients!$AD$3:$AD$374,2)</f>
        <v/>
      </c>
      <c r="L19" s="10">
        <f>COUNTIF(Helper_Clients!$AE$3:$AE$374,2)</f>
        <v/>
      </c>
      <c r="M19" s="10">
        <f>COUNTIF(Helper_Clients!$AF$3:$AF$374,2)</f>
        <v/>
      </c>
      <c r="N19" s="10">
        <f>COUNTIF(Helper_Clients!$AG$3:$AG$374,2)</f>
        <v/>
      </c>
    </row>
    <row r="20">
      <c r="A20" s="6" t="inlineStr">
        <is>
          <t>3</t>
        </is>
      </c>
      <c r="B20" s="10">
        <f>COUNTIF(Helper_Clients!$U$3:$U$374,3)</f>
        <v/>
      </c>
      <c r="C20" s="10">
        <f>COUNTIF(Helper_Clients!$V$3:$V$374,3)</f>
        <v/>
      </c>
      <c r="D20" s="10">
        <f>COUNTIF(Helper_Clients!$W$3:$W$374,3)</f>
        <v/>
      </c>
      <c r="E20" s="10">
        <f>COUNTIF(Helper_Clients!$X$3:$X$374,3)</f>
        <v/>
      </c>
      <c r="F20" s="10">
        <f>COUNTIF(Helper_Clients!$Y$3:$Y$374,3)</f>
        <v/>
      </c>
      <c r="G20" s="10">
        <f>COUNTIF(Helper_Clients!$Z$3:$Z$374,3)</f>
        <v/>
      </c>
      <c r="H20" s="10">
        <f>COUNTIF(Helper_Clients!$AA$3:$AA$374,3)</f>
        <v/>
      </c>
      <c r="I20" s="10">
        <f>COUNTIF(Helper_Clients!$AB$3:$AB$374,3)</f>
        <v/>
      </c>
      <c r="J20" s="10">
        <f>COUNTIF(Helper_Clients!$AC$3:$AC$374,3)</f>
        <v/>
      </c>
      <c r="K20" s="10">
        <f>COUNTIF(Helper_Clients!$AD$3:$AD$374,3)</f>
        <v/>
      </c>
      <c r="L20" s="10">
        <f>COUNTIF(Helper_Clients!$AE$3:$AE$374,3)</f>
        <v/>
      </c>
      <c r="M20" s="10">
        <f>COUNTIF(Helper_Clients!$AF$3:$AF$374,3)</f>
        <v/>
      </c>
      <c r="N20" s="10">
        <f>COUNTIF(Helper_Clients!$AG$3:$AG$374,3)</f>
        <v/>
      </c>
    </row>
    <row r="21">
      <c r="A21" s="6" t="inlineStr">
        <is>
          <t>4+</t>
        </is>
      </c>
      <c r="B21" s="10">
        <f>COUNTIF(Helper_Clients!$U$3:$U$374,"&gt;=4")</f>
        <v/>
      </c>
      <c r="C21" s="10">
        <f>COUNTIF(Helper_Clients!$V$3:$V$374,"&gt;=4")</f>
        <v/>
      </c>
      <c r="D21" s="10">
        <f>COUNTIF(Helper_Clients!$W$3:$W$374,"&gt;=4")</f>
        <v/>
      </c>
      <c r="E21" s="10">
        <f>COUNTIF(Helper_Clients!$X$3:$X$374,"&gt;=4")</f>
        <v/>
      </c>
      <c r="F21" s="10">
        <f>COUNTIF(Helper_Clients!$Y$3:$Y$374,"&gt;=4")</f>
        <v/>
      </c>
      <c r="G21" s="10">
        <f>COUNTIF(Helper_Clients!$Z$3:$Z$374,"&gt;=4")</f>
        <v/>
      </c>
      <c r="H21" s="10">
        <f>COUNTIF(Helper_Clients!$AA$3:$AA$374,"&gt;=4")</f>
        <v/>
      </c>
      <c r="I21" s="10">
        <f>COUNTIF(Helper_Clients!$AB$3:$AB$374,"&gt;=4")</f>
        <v/>
      </c>
      <c r="J21" s="10">
        <f>COUNTIF(Helper_Clients!$AC$3:$AC$374,"&gt;=4")</f>
        <v/>
      </c>
      <c r="K21" s="10">
        <f>COUNTIF(Helper_Clients!$AD$3:$AD$374,"&gt;=4")</f>
        <v/>
      </c>
      <c r="L21" s="10">
        <f>COUNTIF(Helper_Clients!$AE$3:$AE$374,"&gt;=4")</f>
        <v/>
      </c>
      <c r="M21" s="10">
        <f>COUNTIF(Helper_Clients!$AF$3:$AF$374,"&gt;=4")</f>
        <v/>
      </c>
      <c r="N21" s="10">
        <f>COUNTIF(Helper_Clients!$AG$3:$AG$374,"&gt;=4")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BFBFBF"/>
    <outlinePr summaryBelow="1" summaryRight="1"/>
    <pageSetUpPr/>
  </sheetPr>
  <dimension ref="A1:AG37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Helper tab — derived from Source_Evolution unique clients (labels only). All revenue = formulas.</t>
        </is>
      </c>
    </row>
    <row r="2">
      <c r="A2" s="3" t="inlineStr">
        <is>
          <t>Client</t>
        </is>
      </c>
      <c r="B2" s="3" t="inlineStr">
        <is>
          <t>Primary Dept</t>
        </is>
      </c>
      <c r="C2" s="3" t="inlineStr">
        <is>
          <t>Primary Country</t>
        </is>
      </c>
      <c r="D2" s="3" t="inlineStr">
        <is>
          <t>Cohort year (first FY &gt; 0)</t>
        </is>
      </c>
      <c r="E2" s="3" t="inlineStr">
        <is>
          <t>FY2014A</t>
        </is>
      </c>
      <c r="F2" s="3" t="inlineStr">
        <is>
          <t>FY2015A</t>
        </is>
      </c>
      <c r="G2" s="3" t="inlineStr">
        <is>
          <t>FY2016A</t>
        </is>
      </c>
      <c r="H2" s="3" t="inlineStr">
        <is>
          <t>FY2017A</t>
        </is>
      </c>
      <c r="I2" s="3" t="inlineStr">
        <is>
          <t>FY2018A</t>
        </is>
      </c>
      <c r="J2" s="3" t="inlineStr">
        <is>
          <t>FY2019A</t>
        </is>
      </c>
      <c r="K2" s="3" t="inlineStr">
        <is>
          <t>FY2020A</t>
        </is>
      </c>
      <c r="L2" s="3" t="inlineStr">
        <is>
          <t>FY2021A</t>
        </is>
      </c>
      <c r="M2" s="3" t="inlineStr">
        <is>
          <t>FY2022A</t>
        </is>
      </c>
      <c r="N2" s="3" t="inlineStr">
        <is>
          <t>FY2023A</t>
        </is>
      </c>
      <c r="O2" s="3" t="inlineStr">
        <is>
          <t>FY2024A</t>
        </is>
      </c>
      <c r="P2" s="3" t="inlineStr">
        <is>
          <t>FY2025A</t>
        </is>
      </c>
      <c r="Q2" s="3" t="inlineStr">
        <is>
          <t>FY2026A</t>
        </is>
      </c>
      <c r="R2" s="3" t="inlineStr">
        <is>
          <t>Total FY14-FY26</t>
        </is>
      </c>
      <c r="S2" s="3" t="inlineStr">
        <is>
          <t>Latest FY26</t>
        </is>
      </c>
      <c r="T2" s="3" t="inlineStr">
        <is>
          <t>Software flag</t>
        </is>
      </c>
    </row>
    <row r="3">
      <c r="A3" t="inlineStr">
        <is>
          <t>Company 1</t>
        </is>
      </c>
      <c r="B3" t="inlineStr">
        <is>
          <t>Software</t>
        </is>
      </c>
      <c r="C3" t="inlineStr">
        <is>
          <t>UK</t>
        </is>
      </c>
      <c r="D3" t="n">
        <v>2014</v>
      </c>
      <c r="E3" s="17">
        <f>SUMIFS(Source_Evolution!$E$3:$E$731,Source_Evolution!$A$3:$A$731,$A3)</f>
        <v/>
      </c>
      <c r="F3" s="17">
        <f>SUMIFS(Source_Evolution!$F$3:$F$731,Source_Evolution!$A$3:$A$731,$A3)</f>
        <v/>
      </c>
      <c r="G3" s="17">
        <f>SUMIFS(Source_Evolution!$G$3:$G$731,Source_Evolution!$A$3:$A$731,$A3)</f>
        <v/>
      </c>
      <c r="H3" s="17">
        <f>SUMIFS(Source_Evolution!$H$3:$H$731,Source_Evolution!$A$3:$A$731,$A3)</f>
        <v/>
      </c>
      <c r="I3" s="17">
        <f>SUMIFS(Source_Evolution!$I$3:$I$731,Source_Evolution!$A$3:$A$731,$A3)</f>
        <v/>
      </c>
      <c r="J3" s="17">
        <f>SUMIFS(Source_Evolution!$J$3:$J$731,Source_Evolution!$A$3:$A$731,$A3)</f>
        <v/>
      </c>
      <c r="K3" s="17">
        <f>SUMIFS(Source_Evolution!$K$3:$K$731,Source_Evolution!$A$3:$A$731,$A3)</f>
        <v/>
      </c>
      <c r="L3" s="17">
        <f>SUMIFS(Source_Evolution!$L$3:$L$731,Source_Evolution!$A$3:$A$731,$A3)</f>
        <v/>
      </c>
      <c r="M3" s="17">
        <f>SUMIFS(Source_Evolution!$M$3:$M$731,Source_Evolution!$A$3:$A$731,$A3)</f>
        <v/>
      </c>
      <c r="N3" s="17">
        <f>SUMIFS(Source_Evolution!$N$3:$N$731,Source_Evolution!$A$3:$A$731,$A3)</f>
        <v/>
      </c>
      <c r="O3" s="17">
        <f>SUMIFS(Source_Evolution!$O$3:$O$731,Source_Evolution!$A$3:$A$731,$A3)</f>
        <v/>
      </c>
      <c r="P3" s="17">
        <f>SUMIFS(Source_Evolution!$P$3:$P$731,Source_Evolution!$A$3:$A$731,$A3)</f>
        <v/>
      </c>
      <c r="Q3" s="17">
        <f>SUMIFS(Source_Evolution!$Q$3:$Q$731,Source_Evolution!$A$3:$A$731,$A3)</f>
        <v/>
      </c>
      <c r="R3" s="17">
        <f>SUM(E3:Q3)</f>
        <v/>
      </c>
      <c r="S3" s="17">
        <f>Q3</f>
        <v/>
      </c>
      <c r="T3">
        <f>IF(B3="Software",1,0)</f>
        <v/>
      </c>
      <c r="U3" s="18">
        <f>SUMPRODUCT((Source_Evolution!$A$3:$A$731=$A3)*(Source_Evolution!$E$3:$E$731&gt;0))</f>
        <v/>
      </c>
      <c r="V3" s="18">
        <f>SUMPRODUCT((Source_Evolution!$A$3:$A$731=$A3)*(Source_Evolution!$F$3:$F$731&gt;0))</f>
        <v/>
      </c>
      <c r="W3" s="18">
        <f>SUMPRODUCT((Source_Evolution!$A$3:$A$731=$A3)*(Source_Evolution!$G$3:$G$731&gt;0))</f>
        <v/>
      </c>
      <c r="X3" s="18">
        <f>SUMPRODUCT((Source_Evolution!$A$3:$A$731=$A3)*(Source_Evolution!$H$3:$H$731&gt;0))</f>
        <v/>
      </c>
      <c r="Y3" s="18">
        <f>SUMPRODUCT((Source_Evolution!$A$3:$A$731=$A3)*(Source_Evolution!$I$3:$I$731&gt;0))</f>
        <v/>
      </c>
      <c r="Z3" s="18">
        <f>SUMPRODUCT((Source_Evolution!$A$3:$A$731=$A3)*(Source_Evolution!$J$3:$J$731&gt;0))</f>
        <v/>
      </c>
      <c r="AA3" s="18">
        <f>SUMPRODUCT((Source_Evolution!$A$3:$A$731=$A3)*(Source_Evolution!$K$3:$K$731&gt;0))</f>
        <v/>
      </c>
      <c r="AB3" s="18">
        <f>SUMPRODUCT((Source_Evolution!$A$3:$A$731=$A3)*(Source_Evolution!$L$3:$L$731&gt;0))</f>
        <v/>
      </c>
      <c r="AC3" s="18">
        <f>SUMPRODUCT((Source_Evolution!$A$3:$A$731=$A3)*(Source_Evolution!$M$3:$M$731&gt;0))</f>
        <v/>
      </c>
      <c r="AD3" s="18">
        <f>SUMPRODUCT((Source_Evolution!$A$3:$A$731=$A3)*(Source_Evolution!$N$3:$N$731&gt;0))</f>
        <v/>
      </c>
      <c r="AE3" s="18">
        <f>SUMPRODUCT((Source_Evolution!$A$3:$A$731=$A3)*(Source_Evolution!$O$3:$O$731&gt;0))</f>
        <v/>
      </c>
      <c r="AF3" s="18">
        <f>SUMPRODUCT((Source_Evolution!$A$3:$A$731=$A3)*(Source_Evolution!$P$3:$P$731&gt;0))</f>
        <v/>
      </c>
      <c r="AG3" s="18">
        <f>SUMPRODUCT((Source_Evolution!$A$3:$A$731=$A3)*(Source_Evolution!$Q$3:$Q$731&gt;0))</f>
        <v/>
      </c>
    </row>
    <row r="4">
      <c r="A4" t="inlineStr">
        <is>
          <t>Company 10</t>
        </is>
      </c>
      <c r="B4" t="inlineStr">
        <is>
          <t>Operations</t>
        </is>
      </c>
      <c r="C4" t="inlineStr">
        <is>
          <t>Netherlands</t>
        </is>
      </c>
      <c r="D4" t="n">
        <v>2014</v>
      </c>
      <c r="E4" s="17">
        <f>SUMIFS(Source_Evolution!$E$3:$E$731,Source_Evolution!$A$3:$A$731,$A4)</f>
        <v/>
      </c>
      <c r="F4" s="17">
        <f>SUMIFS(Source_Evolution!$F$3:$F$731,Source_Evolution!$A$3:$A$731,$A4)</f>
        <v/>
      </c>
      <c r="G4" s="17">
        <f>SUMIFS(Source_Evolution!$G$3:$G$731,Source_Evolution!$A$3:$A$731,$A4)</f>
        <v/>
      </c>
      <c r="H4" s="17">
        <f>SUMIFS(Source_Evolution!$H$3:$H$731,Source_Evolution!$A$3:$A$731,$A4)</f>
        <v/>
      </c>
      <c r="I4" s="17">
        <f>SUMIFS(Source_Evolution!$I$3:$I$731,Source_Evolution!$A$3:$A$731,$A4)</f>
        <v/>
      </c>
      <c r="J4" s="17">
        <f>SUMIFS(Source_Evolution!$J$3:$J$731,Source_Evolution!$A$3:$A$731,$A4)</f>
        <v/>
      </c>
      <c r="K4" s="17">
        <f>SUMIFS(Source_Evolution!$K$3:$K$731,Source_Evolution!$A$3:$A$731,$A4)</f>
        <v/>
      </c>
      <c r="L4" s="17">
        <f>SUMIFS(Source_Evolution!$L$3:$L$731,Source_Evolution!$A$3:$A$731,$A4)</f>
        <v/>
      </c>
      <c r="M4" s="17">
        <f>SUMIFS(Source_Evolution!$M$3:$M$731,Source_Evolution!$A$3:$A$731,$A4)</f>
        <v/>
      </c>
      <c r="N4" s="17">
        <f>SUMIFS(Source_Evolution!$N$3:$N$731,Source_Evolution!$A$3:$A$731,$A4)</f>
        <v/>
      </c>
      <c r="O4" s="17">
        <f>SUMIFS(Source_Evolution!$O$3:$O$731,Source_Evolution!$A$3:$A$731,$A4)</f>
        <v/>
      </c>
      <c r="P4" s="17">
        <f>SUMIFS(Source_Evolution!$P$3:$P$731,Source_Evolution!$A$3:$A$731,$A4)</f>
        <v/>
      </c>
      <c r="Q4" s="17">
        <f>SUMIFS(Source_Evolution!$Q$3:$Q$731,Source_Evolution!$A$3:$A$731,$A4)</f>
        <v/>
      </c>
      <c r="R4" s="17">
        <f>SUM(E4:Q4)</f>
        <v/>
      </c>
      <c r="S4" s="17">
        <f>Q4</f>
        <v/>
      </c>
      <c r="T4">
        <f>IF(B4="Software",1,0)</f>
        <v/>
      </c>
      <c r="U4" s="18">
        <f>SUMPRODUCT((Source_Evolution!$A$3:$A$731=$A4)*(Source_Evolution!$E$3:$E$731&gt;0))</f>
        <v/>
      </c>
      <c r="V4" s="18">
        <f>SUMPRODUCT((Source_Evolution!$A$3:$A$731=$A4)*(Source_Evolution!$F$3:$F$731&gt;0))</f>
        <v/>
      </c>
      <c r="W4" s="18">
        <f>SUMPRODUCT((Source_Evolution!$A$3:$A$731=$A4)*(Source_Evolution!$G$3:$G$731&gt;0))</f>
        <v/>
      </c>
      <c r="X4" s="18">
        <f>SUMPRODUCT((Source_Evolution!$A$3:$A$731=$A4)*(Source_Evolution!$H$3:$H$731&gt;0))</f>
        <v/>
      </c>
      <c r="Y4" s="18">
        <f>SUMPRODUCT((Source_Evolution!$A$3:$A$731=$A4)*(Source_Evolution!$I$3:$I$731&gt;0))</f>
        <v/>
      </c>
      <c r="Z4" s="18">
        <f>SUMPRODUCT((Source_Evolution!$A$3:$A$731=$A4)*(Source_Evolution!$J$3:$J$731&gt;0))</f>
        <v/>
      </c>
      <c r="AA4" s="18">
        <f>SUMPRODUCT((Source_Evolution!$A$3:$A$731=$A4)*(Source_Evolution!$K$3:$K$731&gt;0))</f>
        <v/>
      </c>
      <c r="AB4" s="18">
        <f>SUMPRODUCT((Source_Evolution!$A$3:$A$731=$A4)*(Source_Evolution!$L$3:$L$731&gt;0))</f>
        <v/>
      </c>
      <c r="AC4" s="18">
        <f>SUMPRODUCT((Source_Evolution!$A$3:$A$731=$A4)*(Source_Evolution!$M$3:$M$731&gt;0))</f>
        <v/>
      </c>
      <c r="AD4" s="18">
        <f>SUMPRODUCT((Source_Evolution!$A$3:$A$731=$A4)*(Source_Evolution!$N$3:$N$731&gt;0))</f>
        <v/>
      </c>
      <c r="AE4" s="18">
        <f>SUMPRODUCT((Source_Evolution!$A$3:$A$731=$A4)*(Source_Evolution!$O$3:$O$731&gt;0))</f>
        <v/>
      </c>
      <c r="AF4" s="18">
        <f>SUMPRODUCT((Source_Evolution!$A$3:$A$731=$A4)*(Source_Evolution!$P$3:$P$731&gt;0))</f>
        <v/>
      </c>
      <c r="AG4" s="18">
        <f>SUMPRODUCT((Source_Evolution!$A$3:$A$731=$A4)*(Source_Evolution!$Q$3:$Q$731&gt;0))</f>
        <v/>
      </c>
    </row>
    <row r="5">
      <c r="A5" t="inlineStr">
        <is>
          <t>Company 100</t>
        </is>
      </c>
      <c r="B5" t="inlineStr">
        <is>
          <t>Operations</t>
        </is>
      </c>
      <c r="C5" t="inlineStr">
        <is>
          <t>Belgium</t>
        </is>
      </c>
      <c r="D5" t="n">
        <v>2018</v>
      </c>
      <c r="E5" s="17">
        <f>SUMIFS(Source_Evolution!$E$3:$E$731,Source_Evolution!$A$3:$A$731,$A5)</f>
        <v/>
      </c>
      <c r="F5" s="17">
        <f>SUMIFS(Source_Evolution!$F$3:$F$731,Source_Evolution!$A$3:$A$731,$A5)</f>
        <v/>
      </c>
      <c r="G5" s="17">
        <f>SUMIFS(Source_Evolution!$G$3:$G$731,Source_Evolution!$A$3:$A$731,$A5)</f>
        <v/>
      </c>
      <c r="H5" s="17">
        <f>SUMIFS(Source_Evolution!$H$3:$H$731,Source_Evolution!$A$3:$A$731,$A5)</f>
        <v/>
      </c>
      <c r="I5" s="17">
        <f>SUMIFS(Source_Evolution!$I$3:$I$731,Source_Evolution!$A$3:$A$731,$A5)</f>
        <v/>
      </c>
      <c r="J5" s="17">
        <f>SUMIFS(Source_Evolution!$J$3:$J$731,Source_Evolution!$A$3:$A$731,$A5)</f>
        <v/>
      </c>
      <c r="K5" s="17">
        <f>SUMIFS(Source_Evolution!$K$3:$K$731,Source_Evolution!$A$3:$A$731,$A5)</f>
        <v/>
      </c>
      <c r="L5" s="17">
        <f>SUMIFS(Source_Evolution!$L$3:$L$731,Source_Evolution!$A$3:$A$731,$A5)</f>
        <v/>
      </c>
      <c r="M5" s="17">
        <f>SUMIFS(Source_Evolution!$M$3:$M$731,Source_Evolution!$A$3:$A$731,$A5)</f>
        <v/>
      </c>
      <c r="N5" s="17">
        <f>SUMIFS(Source_Evolution!$N$3:$N$731,Source_Evolution!$A$3:$A$731,$A5)</f>
        <v/>
      </c>
      <c r="O5" s="17">
        <f>SUMIFS(Source_Evolution!$O$3:$O$731,Source_Evolution!$A$3:$A$731,$A5)</f>
        <v/>
      </c>
      <c r="P5" s="17">
        <f>SUMIFS(Source_Evolution!$P$3:$P$731,Source_Evolution!$A$3:$A$731,$A5)</f>
        <v/>
      </c>
      <c r="Q5" s="17">
        <f>SUMIFS(Source_Evolution!$Q$3:$Q$731,Source_Evolution!$A$3:$A$731,$A5)</f>
        <v/>
      </c>
      <c r="R5" s="17">
        <f>SUM(E5:Q5)</f>
        <v/>
      </c>
      <c r="S5" s="17">
        <f>Q5</f>
        <v/>
      </c>
      <c r="T5">
        <f>IF(B5="Software",1,0)</f>
        <v/>
      </c>
      <c r="U5" s="18">
        <f>SUMPRODUCT((Source_Evolution!$A$3:$A$731=$A5)*(Source_Evolution!$E$3:$E$731&gt;0))</f>
        <v/>
      </c>
      <c r="V5" s="18">
        <f>SUMPRODUCT((Source_Evolution!$A$3:$A$731=$A5)*(Source_Evolution!$F$3:$F$731&gt;0))</f>
        <v/>
      </c>
      <c r="W5" s="18">
        <f>SUMPRODUCT((Source_Evolution!$A$3:$A$731=$A5)*(Source_Evolution!$G$3:$G$731&gt;0))</f>
        <v/>
      </c>
      <c r="X5" s="18">
        <f>SUMPRODUCT((Source_Evolution!$A$3:$A$731=$A5)*(Source_Evolution!$H$3:$H$731&gt;0))</f>
        <v/>
      </c>
      <c r="Y5" s="18">
        <f>SUMPRODUCT((Source_Evolution!$A$3:$A$731=$A5)*(Source_Evolution!$I$3:$I$731&gt;0))</f>
        <v/>
      </c>
      <c r="Z5" s="18">
        <f>SUMPRODUCT((Source_Evolution!$A$3:$A$731=$A5)*(Source_Evolution!$J$3:$J$731&gt;0))</f>
        <v/>
      </c>
      <c r="AA5" s="18">
        <f>SUMPRODUCT((Source_Evolution!$A$3:$A$731=$A5)*(Source_Evolution!$K$3:$K$731&gt;0))</f>
        <v/>
      </c>
      <c r="AB5" s="18">
        <f>SUMPRODUCT((Source_Evolution!$A$3:$A$731=$A5)*(Source_Evolution!$L$3:$L$731&gt;0))</f>
        <v/>
      </c>
      <c r="AC5" s="18">
        <f>SUMPRODUCT((Source_Evolution!$A$3:$A$731=$A5)*(Source_Evolution!$M$3:$M$731&gt;0))</f>
        <v/>
      </c>
      <c r="AD5" s="18">
        <f>SUMPRODUCT((Source_Evolution!$A$3:$A$731=$A5)*(Source_Evolution!$N$3:$N$731&gt;0))</f>
        <v/>
      </c>
      <c r="AE5" s="18">
        <f>SUMPRODUCT((Source_Evolution!$A$3:$A$731=$A5)*(Source_Evolution!$O$3:$O$731&gt;0))</f>
        <v/>
      </c>
      <c r="AF5" s="18">
        <f>SUMPRODUCT((Source_Evolution!$A$3:$A$731=$A5)*(Source_Evolution!$P$3:$P$731&gt;0))</f>
        <v/>
      </c>
      <c r="AG5" s="18">
        <f>SUMPRODUCT((Source_Evolution!$A$3:$A$731=$A5)*(Source_Evolution!$Q$3:$Q$731&gt;0))</f>
        <v/>
      </c>
    </row>
    <row r="6">
      <c r="A6" t="inlineStr">
        <is>
          <t>Company 101</t>
        </is>
      </c>
      <c r="B6" t="inlineStr">
        <is>
          <t>Operations</t>
        </is>
      </c>
      <c r="C6" t="inlineStr">
        <is>
          <t>UK</t>
        </is>
      </c>
      <c r="D6" t="n">
        <v>2019</v>
      </c>
      <c r="E6" s="17">
        <f>SUMIFS(Source_Evolution!$E$3:$E$731,Source_Evolution!$A$3:$A$731,$A6)</f>
        <v/>
      </c>
      <c r="F6" s="17">
        <f>SUMIFS(Source_Evolution!$F$3:$F$731,Source_Evolution!$A$3:$A$731,$A6)</f>
        <v/>
      </c>
      <c r="G6" s="17">
        <f>SUMIFS(Source_Evolution!$G$3:$G$731,Source_Evolution!$A$3:$A$731,$A6)</f>
        <v/>
      </c>
      <c r="H6" s="17">
        <f>SUMIFS(Source_Evolution!$H$3:$H$731,Source_Evolution!$A$3:$A$731,$A6)</f>
        <v/>
      </c>
      <c r="I6" s="17">
        <f>SUMIFS(Source_Evolution!$I$3:$I$731,Source_Evolution!$A$3:$A$731,$A6)</f>
        <v/>
      </c>
      <c r="J6" s="17">
        <f>SUMIFS(Source_Evolution!$J$3:$J$731,Source_Evolution!$A$3:$A$731,$A6)</f>
        <v/>
      </c>
      <c r="K6" s="17">
        <f>SUMIFS(Source_Evolution!$K$3:$K$731,Source_Evolution!$A$3:$A$731,$A6)</f>
        <v/>
      </c>
      <c r="L6" s="17">
        <f>SUMIFS(Source_Evolution!$L$3:$L$731,Source_Evolution!$A$3:$A$731,$A6)</f>
        <v/>
      </c>
      <c r="M6" s="17">
        <f>SUMIFS(Source_Evolution!$M$3:$M$731,Source_Evolution!$A$3:$A$731,$A6)</f>
        <v/>
      </c>
      <c r="N6" s="17">
        <f>SUMIFS(Source_Evolution!$N$3:$N$731,Source_Evolution!$A$3:$A$731,$A6)</f>
        <v/>
      </c>
      <c r="O6" s="17">
        <f>SUMIFS(Source_Evolution!$O$3:$O$731,Source_Evolution!$A$3:$A$731,$A6)</f>
        <v/>
      </c>
      <c r="P6" s="17">
        <f>SUMIFS(Source_Evolution!$P$3:$P$731,Source_Evolution!$A$3:$A$731,$A6)</f>
        <v/>
      </c>
      <c r="Q6" s="17">
        <f>SUMIFS(Source_Evolution!$Q$3:$Q$731,Source_Evolution!$A$3:$A$731,$A6)</f>
        <v/>
      </c>
      <c r="R6" s="17">
        <f>SUM(E6:Q6)</f>
        <v/>
      </c>
      <c r="S6" s="17">
        <f>Q6</f>
        <v/>
      </c>
      <c r="T6">
        <f>IF(B6="Software",1,0)</f>
        <v/>
      </c>
      <c r="U6" s="18">
        <f>SUMPRODUCT((Source_Evolution!$A$3:$A$731=$A6)*(Source_Evolution!$E$3:$E$731&gt;0))</f>
        <v/>
      </c>
      <c r="V6" s="18">
        <f>SUMPRODUCT((Source_Evolution!$A$3:$A$731=$A6)*(Source_Evolution!$F$3:$F$731&gt;0))</f>
        <v/>
      </c>
      <c r="W6" s="18">
        <f>SUMPRODUCT((Source_Evolution!$A$3:$A$731=$A6)*(Source_Evolution!$G$3:$G$731&gt;0))</f>
        <v/>
      </c>
      <c r="X6" s="18">
        <f>SUMPRODUCT((Source_Evolution!$A$3:$A$731=$A6)*(Source_Evolution!$H$3:$H$731&gt;0))</f>
        <v/>
      </c>
      <c r="Y6" s="18">
        <f>SUMPRODUCT((Source_Evolution!$A$3:$A$731=$A6)*(Source_Evolution!$I$3:$I$731&gt;0))</f>
        <v/>
      </c>
      <c r="Z6" s="18">
        <f>SUMPRODUCT((Source_Evolution!$A$3:$A$731=$A6)*(Source_Evolution!$J$3:$J$731&gt;0))</f>
        <v/>
      </c>
      <c r="AA6" s="18">
        <f>SUMPRODUCT((Source_Evolution!$A$3:$A$731=$A6)*(Source_Evolution!$K$3:$K$731&gt;0))</f>
        <v/>
      </c>
      <c r="AB6" s="18">
        <f>SUMPRODUCT((Source_Evolution!$A$3:$A$731=$A6)*(Source_Evolution!$L$3:$L$731&gt;0))</f>
        <v/>
      </c>
      <c r="AC6" s="18">
        <f>SUMPRODUCT((Source_Evolution!$A$3:$A$731=$A6)*(Source_Evolution!$M$3:$M$731&gt;0))</f>
        <v/>
      </c>
      <c r="AD6" s="18">
        <f>SUMPRODUCT((Source_Evolution!$A$3:$A$731=$A6)*(Source_Evolution!$N$3:$N$731&gt;0))</f>
        <v/>
      </c>
      <c r="AE6" s="18">
        <f>SUMPRODUCT((Source_Evolution!$A$3:$A$731=$A6)*(Source_Evolution!$O$3:$O$731&gt;0))</f>
        <v/>
      </c>
      <c r="AF6" s="18">
        <f>SUMPRODUCT((Source_Evolution!$A$3:$A$731=$A6)*(Source_Evolution!$P$3:$P$731&gt;0))</f>
        <v/>
      </c>
      <c r="AG6" s="18">
        <f>SUMPRODUCT((Source_Evolution!$A$3:$A$731=$A6)*(Source_Evolution!$Q$3:$Q$731&gt;0))</f>
        <v/>
      </c>
    </row>
    <row r="7">
      <c r="A7" t="inlineStr">
        <is>
          <t>Company 102</t>
        </is>
      </c>
      <c r="B7" t="inlineStr">
        <is>
          <t>Operations</t>
        </is>
      </c>
      <c r="C7" t="inlineStr">
        <is>
          <t>Switzerland</t>
        </is>
      </c>
      <c r="D7" t="n">
        <v>2019</v>
      </c>
      <c r="E7" s="17">
        <f>SUMIFS(Source_Evolution!$E$3:$E$731,Source_Evolution!$A$3:$A$731,$A7)</f>
        <v/>
      </c>
      <c r="F7" s="17">
        <f>SUMIFS(Source_Evolution!$F$3:$F$731,Source_Evolution!$A$3:$A$731,$A7)</f>
        <v/>
      </c>
      <c r="G7" s="17">
        <f>SUMIFS(Source_Evolution!$G$3:$G$731,Source_Evolution!$A$3:$A$731,$A7)</f>
        <v/>
      </c>
      <c r="H7" s="17">
        <f>SUMIFS(Source_Evolution!$H$3:$H$731,Source_Evolution!$A$3:$A$731,$A7)</f>
        <v/>
      </c>
      <c r="I7" s="17">
        <f>SUMIFS(Source_Evolution!$I$3:$I$731,Source_Evolution!$A$3:$A$731,$A7)</f>
        <v/>
      </c>
      <c r="J7" s="17">
        <f>SUMIFS(Source_Evolution!$J$3:$J$731,Source_Evolution!$A$3:$A$731,$A7)</f>
        <v/>
      </c>
      <c r="K7" s="17">
        <f>SUMIFS(Source_Evolution!$K$3:$K$731,Source_Evolution!$A$3:$A$731,$A7)</f>
        <v/>
      </c>
      <c r="L7" s="17">
        <f>SUMIFS(Source_Evolution!$L$3:$L$731,Source_Evolution!$A$3:$A$731,$A7)</f>
        <v/>
      </c>
      <c r="M7" s="17">
        <f>SUMIFS(Source_Evolution!$M$3:$M$731,Source_Evolution!$A$3:$A$731,$A7)</f>
        <v/>
      </c>
      <c r="N7" s="17">
        <f>SUMIFS(Source_Evolution!$N$3:$N$731,Source_Evolution!$A$3:$A$731,$A7)</f>
        <v/>
      </c>
      <c r="O7" s="17">
        <f>SUMIFS(Source_Evolution!$O$3:$O$731,Source_Evolution!$A$3:$A$731,$A7)</f>
        <v/>
      </c>
      <c r="P7" s="17">
        <f>SUMIFS(Source_Evolution!$P$3:$P$731,Source_Evolution!$A$3:$A$731,$A7)</f>
        <v/>
      </c>
      <c r="Q7" s="17">
        <f>SUMIFS(Source_Evolution!$Q$3:$Q$731,Source_Evolution!$A$3:$A$731,$A7)</f>
        <v/>
      </c>
      <c r="R7" s="17">
        <f>SUM(E7:Q7)</f>
        <v/>
      </c>
      <c r="S7" s="17">
        <f>Q7</f>
        <v/>
      </c>
      <c r="T7">
        <f>IF(B7="Software",1,0)</f>
        <v/>
      </c>
      <c r="U7" s="18">
        <f>SUMPRODUCT((Source_Evolution!$A$3:$A$731=$A7)*(Source_Evolution!$E$3:$E$731&gt;0))</f>
        <v/>
      </c>
      <c r="V7" s="18">
        <f>SUMPRODUCT((Source_Evolution!$A$3:$A$731=$A7)*(Source_Evolution!$F$3:$F$731&gt;0))</f>
        <v/>
      </c>
      <c r="W7" s="18">
        <f>SUMPRODUCT((Source_Evolution!$A$3:$A$731=$A7)*(Source_Evolution!$G$3:$G$731&gt;0))</f>
        <v/>
      </c>
      <c r="X7" s="18">
        <f>SUMPRODUCT((Source_Evolution!$A$3:$A$731=$A7)*(Source_Evolution!$H$3:$H$731&gt;0))</f>
        <v/>
      </c>
      <c r="Y7" s="18">
        <f>SUMPRODUCT((Source_Evolution!$A$3:$A$731=$A7)*(Source_Evolution!$I$3:$I$731&gt;0))</f>
        <v/>
      </c>
      <c r="Z7" s="18">
        <f>SUMPRODUCT((Source_Evolution!$A$3:$A$731=$A7)*(Source_Evolution!$J$3:$J$731&gt;0))</f>
        <v/>
      </c>
      <c r="AA7" s="18">
        <f>SUMPRODUCT((Source_Evolution!$A$3:$A$731=$A7)*(Source_Evolution!$K$3:$K$731&gt;0))</f>
        <v/>
      </c>
      <c r="AB7" s="18">
        <f>SUMPRODUCT((Source_Evolution!$A$3:$A$731=$A7)*(Source_Evolution!$L$3:$L$731&gt;0))</f>
        <v/>
      </c>
      <c r="AC7" s="18">
        <f>SUMPRODUCT((Source_Evolution!$A$3:$A$731=$A7)*(Source_Evolution!$M$3:$M$731&gt;0))</f>
        <v/>
      </c>
      <c r="AD7" s="18">
        <f>SUMPRODUCT((Source_Evolution!$A$3:$A$731=$A7)*(Source_Evolution!$N$3:$N$731&gt;0))</f>
        <v/>
      </c>
      <c r="AE7" s="18">
        <f>SUMPRODUCT((Source_Evolution!$A$3:$A$731=$A7)*(Source_Evolution!$O$3:$O$731&gt;0))</f>
        <v/>
      </c>
      <c r="AF7" s="18">
        <f>SUMPRODUCT((Source_Evolution!$A$3:$A$731=$A7)*(Source_Evolution!$P$3:$P$731&gt;0))</f>
        <v/>
      </c>
      <c r="AG7" s="18">
        <f>SUMPRODUCT((Source_Evolution!$A$3:$A$731=$A7)*(Source_Evolution!$Q$3:$Q$731&gt;0))</f>
        <v/>
      </c>
    </row>
    <row r="8">
      <c r="A8" t="inlineStr">
        <is>
          <t>Company 103</t>
        </is>
      </c>
      <c r="B8" t="inlineStr">
        <is>
          <t>Software</t>
        </is>
      </c>
      <c r="C8" t="inlineStr">
        <is>
          <t>UK</t>
        </is>
      </c>
      <c r="D8" t="n">
        <v>2023</v>
      </c>
      <c r="E8" s="17">
        <f>SUMIFS(Source_Evolution!$E$3:$E$731,Source_Evolution!$A$3:$A$731,$A8)</f>
        <v/>
      </c>
      <c r="F8" s="17">
        <f>SUMIFS(Source_Evolution!$F$3:$F$731,Source_Evolution!$A$3:$A$731,$A8)</f>
        <v/>
      </c>
      <c r="G8" s="17">
        <f>SUMIFS(Source_Evolution!$G$3:$G$731,Source_Evolution!$A$3:$A$731,$A8)</f>
        <v/>
      </c>
      <c r="H8" s="17">
        <f>SUMIFS(Source_Evolution!$H$3:$H$731,Source_Evolution!$A$3:$A$731,$A8)</f>
        <v/>
      </c>
      <c r="I8" s="17">
        <f>SUMIFS(Source_Evolution!$I$3:$I$731,Source_Evolution!$A$3:$A$731,$A8)</f>
        <v/>
      </c>
      <c r="J8" s="17">
        <f>SUMIFS(Source_Evolution!$J$3:$J$731,Source_Evolution!$A$3:$A$731,$A8)</f>
        <v/>
      </c>
      <c r="K8" s="17">
        <f>SUMIFS(Source_Evolution!$K$3:$K$731,Source_Evolution!$A$3:$A$731,$A8)</f>
        <v/>
      </c>
      <c r="L8" s="17">
        <f>SUMIFS(Source_Evolution!$L$3:$L$731,Source_Evolution!$A$3:$A$731,$A8)</f>
        <v/>
      </c>
      <c r="M8" s="17">
        <f>SUMIFS(Source_Evolution!$M$3:$M$731,Source_Evolution!$A$3:$A$731,$A8)</f>
        <v/>
      </c>
      <c r="N8" s="17">
        <f>SUMIFS(Source_Evolution!$N$3:$N$731,Source_Evolution!$A$3:$A$731,$A8)</f>
        <v/>
      </c>
      <c r="O8" s="17">
        <f>SUMIFS(Source_Evolution!$O$3:$O$731,Source_Evolution!$A$3:$A$731,$A8)</f>
        <v/>
      </c>
      <c r="P8" s="17">
        <f>SUMIFS(Source_Evolution!$P$3:$P$731,Source_Evolution!$A$3:$A$731,$A8)</f>
        <v/>
      </c>
      <c r="Q8" s="17">
        <f>SUMIFS(Source_Evolution!$Q$3:$Q$731,Source_Evolution!$A$3:$A$731,$A8)</f>
        <v/>
      </c>
      <c r="R8" s="17">
        <f>SUM(E8:Q8)</f>
        <v/>
      </c>
      <c r="S8" s="17">
        <f>Q8</f>
        <v/>
      </c>
      <c r="T8">
        <f>IF(B8="Software",1,0)</f>
        <v/>
      </c>
      <c r="U8" s="18">
        <f>SUMPRODUCT((Source_Evolution!$A$3:$A$731=$A8)*(Source_Evolution!$E$3:$E$731&gt;0))</f>
        <v/>
      </c>
      <c r="V8" s="18">
        <f>SUMPRODUCT((Source_Evolution!$A$3:$A$731=$A8)*(Source_Evolution!$F$3:$F$731&gt;0))</f>
        <v/>
      </c>
      <c r="W8" s="18">
        <f>SUMPRODUCT((Source_Evolution!$A$3:$A$731=$A8)*(Source_Evolution!$G$3:$G$731&gt;0))</f>
        <v/>
      </c>
      <c r="X8" s="18">
        <f>SUMPRODUCT((Source_Evolution!$A$3:$A$731=$A8)*(Source_Evolution!$H$3:$H$731&gt;0))</f>
        <v/>
      </c>
      <c r="Y8" s="18">
        <f>SUMPRODUCT((Source_Evolution!$A$3:$A$731=$A8)*(Source_Evolution!$I$3:$I$731&gt;0))</f>
        <v/>
      </c>
      <c r="Z8" s="18">
        <f>SUMPRODUCT((Source_Evolution!$A$3:$A$731=$A8)*(Source_Evolution!$J$3:$J$731&gt;0))</f>
        <v/>
      </c>
      <c r="AA8" s="18">
        <f>SUMPRODUCT((Source_Evolution!$A$3:$A$731=$A8)*(Source_Evolution!$K$3:$K$731&gt;0))</f>
        <v/>
      </c>
      <c r="AB8" s="18">
        <f>SUMPRODUCT((Source_Evolution!$A$3:$A$731=$A8)*(Source_Evolution!$L$3:$L$731&gt;0))</f>
        <v/>
      </c>
      <c r="AC8" s="18">
        <f>SUMPRODUCT((Source_Evolution!$A$3:$A$731=$A8)*(Source_Evolution!$M$3:$M$731&gt;0))</f>
        <v/>
      </c>
      <c r="AD8" s="18">
        <f>SUMPRODUCT((Source_Evolution!$A$3:$A$731=$A8)*(Source_Evolution!$N$3:$N$731&gt;0))</f>
        <v/>
      </c>
      <c r="AE8" s="18">
        <f>SUMPRODUCT((Source_Evolution!$A$3:$A$731=$A8)*(Source_Evolution!$O$3:$O$731&gt;0))</f>
        <v/>
      </c>
      <c r="AF8" s="18">
        <f>SUMPRODUCT((Source_Evolution!$A$3:$A$731=$A8)*(Source_Evolution!$P$3:$P$731&gt;0))</f>
        <v/>
      </c>
      <c r="AG8" s="18">
        <f>SUMPRODUCT((Source_Evolution!$A$3:$A$731=$A8)*(Source_Evolution!$Q$3:$Q$731&gt;0))</f>
        <v/>
      </c>
    </row>
    <row r="9">
      <c r="A9" t="inlineStr">
        <is>
          <t>Company 104</t>
        </is>
      </c>
      <c r="B9" t="inlineStr">
        <is>
          <t>Software</t>
        </is>
      </c>
      <c r="C9" t="inlineStr">
        <is>
          <t>Switzerland</t>
        </is>
      </c>
      <c r="D9" t="n">
        <v>2019</v>
      </c>
      <c r="E9" s="17">
        <f>SUMIFS(Source_Evolution!$E$3:$E$731,Source_Evolution!$A$3:$A$731,$A9)</f>
        <v/>
      </c>
      <c r="F9" s="17">
        <f>SUMIFS(Source_Evolution!$F$3:$F$731,Source_Evolution!$A$3:$A$731,$A9)</f>
        <v/>
      </c>
      <c r="G9" s="17">
        <f>SUMIFS(Source_Evolution!$G$3:$G$731,Source_Evolution!$A$3:$A$731,$A9)</f>
        <v/>
      </c>
      <c r="H9" s="17">
        <f>SUMIFS(Source_Evolution!$H$3:$H$731,Source_Evolution!$A$3:$A$731,$A9)</f>
        <v/>
      </c>
      <c r="I9" s="17">
        <f>SUMIFS(Source_Evolution!$I$3:$I$731,Source_Evolution!$A$3:$A$731,$A9)</f>
        <v/>
      </c>
      <c r="J9" s="17">
        <f>SUMIFS(Source_Evolution!$J$3:$J$731,Source_Evolution!$A$3:$A$731,$A9)</f>
        <v/>
      </c>
      <c r="K9" s="17">
        <f>SUMIFS(Source_Evolution!$K$3:$K$731,Source_Evolution!$A$3:$A$731,$A9)</f>
        <v/>
      </c>
      <c r="L9" s="17">
        <f>SUMIFS(Source_Evolution!$L$3:$L$731,Source_Evolution!$A$3:$A$731,$A9)</f>
        <v/>
      </c>
      <c r="M9" s="17">
        <f>SUMIFS(Source_Evolution!$M$3:$M$731,Source_Evolution!$A$3:$A$731,$A9)</f>
        <v/>
      </c>
      <c r="N9" s="17">
        <f>SUMIFS(Source_Evolution!$N$3:$N$731,Source_Evolution!$A$3:$A$731,$A9)</f>
        <v/>
      </c>
      <c r="O9" s="17">
        <f>SUMIFS(Source_Evolution!$O$3:$O$731,Source_Evolution!$A$3:$A$731,$A9)</f>
        <v/>
      </c>
      <c r="P9" s="17">
        <f>SUMIFS(Source_Evolution!$P$3:$P$731,Source_Evolution!$A$3:$A$731,$A9)</f>
        <v/>
      </c>
      <c r="Q9" s="17">
        <f>SUMIFS(Source_Evolution!$Q$3:$Q$731,Source_Evolution!$A$3:$A$731,$A9)</f>
        <v/>
      </c>
      <c r="R9" s="17">
        <f>SUM(E9:Q9)</f>
        <v/>
      </c>
      <c r="S9" s="17">
        <f>Q9</f>
        <v/>
      </c>
      <c r="T9">
        <f>IF(B9="Software",1,0)</f>
        <v/>
      </c>
      <c r="U9" s="18">
        <f>SUMPRODUCT((Source_Evolution!$A$3:$A$731=$A9)*(Source_Evolution!$E$3:$E$731&gt;0))</f>
        <v/>
      </c>
      <c r="V9" s="18">
        <f>SUMPRODUCT((Source_Evolution!$A$3:$A$731=$A9)*(Source_Evolution!$F$3:$F$731&gt;0))</f>
        <v/>
      </c>
      <c r="W9" s="18">
        <f>SUMPRODUCT((Source_Evolution!$A$3:$A$731=$A9)*(Source_Evolution!$G$3:$G$731&gt;0))</f>
        <v/>
      </c>
      <c r="X9" s="18">
        <f>SUMPRODUCT((Source_Evolution!$A$3:$A$731=$A9)*(Source_Evolution!$H$3:$H$731&gt;0))</f>
        <v/>
      </c>
      <c r="Y9" s="18">
        <f>SUMPRODUCT((Source_Evolution!$A$3:$A$731=$A9)*(Source_Evolution!$I$3:$I$731&gt;0))</f>
        <v/>
      </c>
      <c r="Z9" s="18">
        <f>SUMPRODUCT((Source_Evolution!$A$3:$A$731=$A9)*(Source_Evolution!$J$3:$J$731&gt;0))</f>
        <v/>
      </c>
      <c r="AA9" s="18">
        <f>SUMPRODUCT((Source_Evolution!$A$3:$A$731=$A9)*(Source_Evolution!$K$3:$K$731&gt;0))</f>
        <v/>
      </c>
      <c r="AB9" s="18">
        <f>SUMPRODUCT((Source_Evolution!$A$3:$A$731=$A9)*(Source_Evolution!$L$3:$L$731&gt;0))</f>
        <v/>
      </c>
      <c r="AC9" s="18">
        <f>SUMPRODUCT((Source_Evolution!$A$3:$A$731=$A9)*(Source_Evolution!$M$3:$M$731&gt;0))</f>
        <v/>
      </c>
      <c r="AD9" s="18">
        <f>SUMPRODUCT((Source_Evolution!$A$3:$A$731=$A9)*(Source_Evolution!$N$3:$N$731&gt;0))</f>
        <v/>
      </c>
      <c r="AE9" s="18">
        <f>SUMPRODUCT((Source_Evolution!$A$3:$A$731=$A9)*(Source_Evolution!$O$3:$O$731&gt;0))</f>
        <v/>
      </c>
      <c r="AF9" s="18">
        <f>SUMPRODUCT((Source_Evolution!$A$3:$A$731=$A9)*(Source_Evolution!$P$3:$P$731&gt;0))</f>
        <v/>
      </c>
      <c r="AG9" s="18">
        <f>SUMPRODUCT((Source_Evolution!$A$3:$A$731=$A9)*(Source_Evolution!$Q$3:$Q$731&gt;0))</f>
        <v/>
      </c>
    </row>
    <row r="10">
      <c r="A10" t="inlineStr">
        <is>
          <t>Company 105</t>
        </is>
      </c>
      <c r="B10" t="inlineStr">
        <is>
          <t>Software</t>
        </is>
      </c>
      <c r="C10" t="inlineStr">
        <is>
          <t>Germany</t>
        </is>
      </c>
      <c r="D10" t="n">
        <v>2023</v>
      </c>
      <c r="E10" s="17">
        <f>SUMIFS(Source_Evolution!$E$3:$E$731,Source_Evolution!$A$3:$A$731,$A10)</f>
        <v/>
      </c>
      <c r="F10" s="17">
        <f>SUMIFS(Source_Evolution!$F$3:$F$731,Source_Evolution!$A$3:$A$731,$A10)</f>
        <v/>
      </c>
      <c r="G10" s="17">
        <f>SUMIFS(Source_Evolution!$G$3:$G$731,Source_Evolution!$A$3:$A$731,$A10)</f>
        <v/>
      </c>
      <c r="H10" s="17">
        <f>SUMIFS(Source_Evolution!$H$3:$H$731,Source_Evolution!$A$3:$A$731,$A10)</f>
        <v/>
      </c>
      <c r="I10" s="17">
        <f>SUMIFS(Source_Evolution!$I$3:$I$731,Source_Evolution!$A$3:$A$731,$A10)</f>
        <v/>
      </c>
      <c r="J10" s="17">
        <f>SUMIFS(Source_Evolution!$J$3:$J$731,Source_Evolution!$A$3:$A$731,$A10)</f>
        <v/>
      </c>
      <c r="K10" s="17">
        <f>SUMIFS(Source_Evolution!$K$3:$K$731,Source_Evolution!$A$3:$A$731,$A10)</f>
        <v/>
      </c>
      <c r="L10" s="17">
        <f>SUMIFS(Source_Evolution!$L$3:$L$731,Source_Evolution!$A$3:$A$731,$A10)</f>
        <v/>
      </c>
      <c r="M10" s="17">
        <f>SUMIFS(Source_Evolution!$M$3:$M$731,Source_Evolution!$A$3:$A$731,$A10)</f>
        <v/>
      </c>
      <c r="N10" s="17">
        <f>SUMIFS(Source_Evolution!$N$3:$N$731,Source_Evolution!$A$3:$A$731,$A10)</f>
        <v/>
      </c>
      <c r="O10" s="17">
        <f>SUMIFS(Source_Evolution!$O$3:$O$731,Source_Evolution!$A$3:$A$731,$A10)</f>
        <v/>
      </c>
      <c r="P10" s="17">
        <f>SUMIFS(Source_Evolution!$P$3:$P$731,Source_Evolution!$A$3:$A$731,$A10)</f>
        <v/>
      </c>
      <c r="Q10" s="17">
        <f>SUMIFS(Source_Evolution!$Q$3:$Q$731,Source_Evolution!$A$3:$A$731,$A10)</f>
        <v/>
      </c>
      <c r="R10" s="17">
        <f>SUM(E10:Q10)</f>
        <v/>
      </c>
      <c r="S10" s="17">
        <f>Q10</f>
        <v/>
      </c>
      <c r="T10">
        <f>IF(B10="Software",1,0)</f>
        <v/>
      </c>
      <c r="U10" s="18">
        <f>SUMPRODUCT((Source_Evolution!$A$3:$A$731=$A10)*(Source_Evolution!$E$3:$E$731&gt;0))</f>
        <v/>
      </c>
      <c r="V10" s="18">
        <f>SUMPRODUCT((Source_Evolution!$A$3:$A$731=$A10)*(Source_Evolution!$F$3:$F$731&gt;0))</f>
        <v/>
      </c>
      <c r="W10" s="18">
        <f>SUMPRODUCT((Source_Evolution!$A$3:$A$731=$A10)*(Source_Evolution!$G$3:$G$731&gt;0))</f>
        <v/>
      </c>
      <c r="X10" s="18">
        <f>SUMPRODUCT((Source_Evolution!$A$3:$A$731=$A10)*(Source_Evolution!$H$3:$H$731&gt;0))</f>
        <v/>
      </c>
      <c r="Y10" s="18">
        <f>SUMPRODUCT((Source_Evolution!$A$3:$A$731=$A10)*(Source_Evolution!$I$3:$I$731&gt;0))</f>
        <v/>
      </c>
      <c r="Z10" s="18">
        <f>SUMPRODUCT((Source_Evolution!$A$3:$A$731=$A10)*(Source_Evolution!$J$3:$J$731&gt;0))</f>
        <v/>
      </c>
      <c r="AA10" s="18">
        <f>SUMPRODUCT((Source_Evolution!$A$3:$A$731=$A10)*(Source_Evolution!$K$3:$K$731&gt;0))</f>
        <v/>
      </c>
      <c r="AB10" s="18">
        <f>SUMPRODUCT((Source_Evolution!$A$3:$A$731=$A10)*(Source_Evolution!$L$3:$L$731&gt;0))</f>
        <v/>
      </c>
      <c r="AC10" s="18">
        <f>SUMPRODUCT((Source_Evolution!$A$3:$A$731=$A10)*(Source_Evolution!$M$3:$M$731&gt;0))</f>
        <v/>
      </c>
      <c r="AD10" s="18">
        <f>SUMPRODUCT((Source_Evolution!$A$3:$A$731=$A10)*(Source_Evolution!$N$3:$N$731&gt;0))</f>
        <v/>
      </c>
      <c r="AE10" s="18">
        <f>SUMPRODUCT((Source_Evolution!$A$3:$A$731=$A10)*(Source_Evolution!$O$3:$O$731&gt;0))</f>
        <v/>
      </c>
      <c r="AF10" s="18">
        <f>SUMPRODUCT((Source_Evolution!$A$3:$A$731=$A10)*(Source_Evolution!$P$3:$P$731&gt;0))</f>
        <v/>
      </c>
      <c r="AG10" s="18">
        <f>SUMPRODUCT((Source_Evolution!$A$3:$A$731=$A10)*(Source_Evolution!$Q$3:$Q$731&gt;0))</f>
        <v/>
      </c>
    </row>
    <row r="11">
      <c r="A11" t="inlineStr">
        <is>
          <t>Company 106</t>
        </is>
      </c>
      <c r="B11" t="inlineStr">
        <is>
          <t>Software</t>
        </is>
      </c>
      <c r="C11" t="inlineStr">
        <is>
          <t>Spain</t>
        </is>
      </c>
      <c r="D11" t="n">
        <v>2020</v>
      </c>
      <c r="E11" s="17">
        <f>SUMIFS(Source_Evolution!$E$3:$E$731,Source_Evolution!$A$3:$A$731,$A11)</f>
        <v/>
      </c>
      <c r="F11" s="17">
        <f>SUMIFS(Source_Evolution!$F$3:$F$731,Source_Evolution!$A$3:$A$731,$A11)</f>
        <v/>
      </c>
      <c r="G11" s="17">
        <f>SUMIFS(Source_Evolution!$G$3:$G$731,Source_Evolution!$A$3:$A$731,$A11)</f>
        <v/>
      </c>
      <c r="H11" s="17">
        <f>SUMIFS(Source_Evolution!$H$3:$H$731,Source_Evolution!$A$3:$A$731,$A11)</f>
        <v/>
      </c>
      <c r="I11" s="17">
        <f>SUMIFS(Source_Evolution!$I$3:$I$731,Source_Evolution!$A$3:$A$731,$A11)</f>
        <v/>
      </c>
      <c r="J11" s="17">
        <f>SUMIFS(Source_Evolution!$J$3:$J$731,Source_Evolution!$A$3:$A$731,$A11)</f>
        <v/>
      </c>
      <c r="K11" s="17">
        <f>SUMIFS(Source_Evolution!$K$3:$K$731,Source_Evolution!$A$3:$A$731,$A11)</f>
        <v/>
      </c>
      <c r="L11" s="17">
        <f>SUMIFS(Source_Evolution!$L$3:$L$731,Source_Evolution!$A$3:$A$731,$A11)</f>
        <v/>
      </c>
      <c r="M11" s="17">
        <f>SUMIFS(Source_Evolution!$M$3:$M$731,Source_Evolution!$A$3:$A$731,$A11)</f>
        <v/>
      </c>
      <c r="N11" s="17">
        <f>SUMIFS(Source_Evolution!$N$3:$N$731,Source_Evolution!$A$3:$A$731,$A11)</f>
        <v/>
      </c>
      <c r="O11" s="17">
        <f>SUMIFS(Source_Evolution!$O$3:$O$731,Source_Evolution!$A$3:$A$731,$A11)</f>
        <v/>
      </c>
      <c r="P11" s="17">
        <f>SUMIFS(Source_Evolution!$P$3:$P$731,Source_Evolution!$A$3:$A$731,$A11)</f>
        <v/>
      </c>
      <c r="Q11" s="17">
        <f>SUMIFS(Source_Evolution!$Q$3:$Q$731,Source_Evolution!$A$3:$A$731,$A11)</f>
        <v/>
      </c>
      <c r="R11" s="17">
        <f>SUM(E11:Q11)</f>
        <v/>
      </c>
      <c r="S11" s="17">
        <f>Q11</f>
        <v/>
      </c>
      <c r="T11">
        <f>IF(B11="Software",1,0)</f>
        <v/>
      </c>
      <c r="U11" s="18">
        <f>SUMPRODUCT((Source_Evolution!$A$3:$A$731=$A11)*(Source_Evolution!$E$3:$E$731&gt;0))</f>
        <v/>
      </c>
      <c r="V11" s="18">
        <f>SUMPRODUCT((Source_Evolution!$A$3:$A$731=$A11)*(Source_Evolution!$F$3:$F$731&gt;0))</f>
        <v/>
      </c>
      <c r="W11" s="18">
        <f>SUMPRODUCT((Source_Evolution!$A$3:$A$731=$A11)*(Source_Evolution!$G$3:$G$731&gt;0))</f>
        <v/>
      </c>
      <c r="X11" s="18">
        <f>SUMPRODUCT((Source_Evolution!$A$3:$A$731=$A11)*(Source_Evolution!$H$3:$H$731&gt;0))</f>
        <v/>
      </c>
      <c r="Y11" s="18">
        <f>SUMPRODUCT((Source_Evolution!$A$3:$A$731=$A11)*(Source_Evolution!$I$3:$I$731&gt;0))</f>
        <v/>
      </c>
      <c r="Z11" s="18">
        <f>SUMPRODUCT((Source_Evolution!$A$3:$A$731=$A11)*(Source_Evolution!$J$3:$J$731&gt;0))</f>
        <v/>
      </c>
      <c r="AA11" s="18">
        <f>SUMPRODUCT((Source_Evolution!$A$3:$A$731=$A11)*(Source_Evolution!$K$3:$K$731&gt;0))</f>
        <v/>
      </c>
      <c r="AB11" s="18">
        <f>SUMPRODUCT((Source_Evolution!$A$3:$A$731=$A11)*(Source_Evolution!$L$3:$L$731&gt;0))</f>
        <v/>
      </c>
      <c r="AC11" s="18">
        <f>SUMPRODUCT((Source_Evolution!$A$3:$A$731=$A11)*(Source_Evolution!$M$3:$M$731&gt;0))</f>
        <v/>
      </c>
      <c r="AD11" s="18">
        <f>SUMPRODUCT((Source_Evolution!$A$3:$A$731=$A11)*(Source_Evolution!$N$3:$N$731&gt;0))</f>
        <v/>
      </c>
      <c r="AE11" s="18">
        <f>SUMPRODUCT((Source_Evolution!$A$3:$A$731=$A11)*(Source_Evolution!$O$3:$O$731&gt;0))</f>
        <v/>
      </c>
      <c r="AF11" s="18">
        <f>SUMPRODUCT((Source_Evolution!$A$3:$A$731=$A11)*(Source_Evolution!$P$3:$P$731&gt;0))</f>
        <v/>
      </c>
      <c r="AG11" s="18">
        <f>SUMPRODUCT((Source_Evolution!$A$3:$A$731=$A11)*(Source_Evolution!$Q$3:$Q$731&gt;0))</f>
        <v/>
      </c>
    </row>
    <row r="12">
      <c r="A12" t="inlineStr">
        <is>
          <t>Company 107</t>
        </is>
      </c>
      <c r="B12" t="inlineStr">
        <is>
          <t>Software</t>
        </is>
      </c>
      <c r="C12" t="inlineStr">
        <is>
          <t>UK</t>
        </is>
      </c>
      <c r="D12" t="n">
        <v>2020</v>
      </c>
      <c r="E12" s="17">
        <f>SUMIFS(Source_Evolution!$E$3:$E$731,Source_Evolution!$A$3:$A$731,$A12)</f>
        <v/>
      </c>
      <c r="F12" s="17">
        <f>SUMIFS(Source_Evolution!$F$3:$F$731,Source_Evolution!$A$3:$A$731,$A12)</f>
        <v/>
      </c>
      <c r="G12" s="17">
        <f>SUMIFS(Source_Evolution!$G$3:$G$731,Source_Evolution!$A$3:$A$731,$A12)</f>
        <v/>
      </c>
      <c r="H12" s="17">
        <f>SUMIFS(Source_Evolution!$H$3:$H$731,Source_Evolution!$A$3:$A$731,$A12)</f>
        <v/>
      </c>
      <c r="I12" s="17">
        <f>SUMIFS(Source_Evolution!$I$3:$I$731,Source_Evolution!$A$3:$A$731,$A12)</f>
        <v/>
      </c>
      <c r="J12" s="17">
        <f>SUMIFS(Source_Evolution!$J$3:$J$731,Source_Evolution!$A$3:$A$731,$A12)</f>
        <v/>
      </c>
      <c r="K12" s="17">
        <f>SUMIFS(Source_Evolution!$K$3:$K$731,Source_Evolution!$A$3:$A$731,$A12)</f>
        <v/>
      </c>
      <c r="L12" s="17">
        <f>SUMIFS(Source_Evolution!$L$3:$L$731,Source_Evolution!$A$3:$A$731,$A12)</f>
        <v/>
      </c>
      <c r="M12" s="17">
        <f>SUMIFS(Source_Evolution!$M$3:$M$731,Source_Evolution!$A$3:$A$731,$A12)</f>
        <v/>
      </c>
      <c r="N12" s="17">
        <f>SUMIFS(Source_Evolution!$N$3:$N$731,Source_Evolution!$A$3:$A$731,$A12)</f>
        <v/>
      </c>
      <c r="O12" s="17">
        <f>SUMIFS(Source_Evolution!$O$3:$O$731,Source_Evolution!$A$3:$A$731,$A12)</f>
        <v/>
      </c>
      <c r="P12" s="17">
        <f>SUMIFS(Source_Evolution!$P$3:$P$731,Source_Evolution!$A$3:$A$731,$A12)</f>
        <v/>
      </c>
      <c r="Q12" s="17">
        <f>SUMIFS(Source_Evolution!$Q$3:$Q$731,Source_Evolution!$A$3:$A$731,$A12)</f>
        <v/>
      </c>
      <c r="R12" s="17">
        <f>SUM(E12:Q12)</f>
        <v/>
      </c>
      <c r="S12" s="17">
        <f>Q12</f>
        <v/>
      </c>
      <c r="T12">
        <f>IF(B12="Software",1,0)</f>
        <v/>
      </c>
      <c r="U12" s="18">
        <f>SUMPRODUCT((Source_Evolution!$A$3:$A$731=$A12)*(Source_Evolution!$E$3:$E$731&gt;0))</f>
        <v/>
      </c>
      <c r="V12" s="18">
        <f>SUMPRODUCT((Source_Evolution!$A$3:$A$731=$A12)*(Source_Evolution!$F$3:$F$731&gt;0))</f>
        <v/>
      </c>
      <c r="W12" s="18">
        <f>SUMPRODUCT((Source_Evolution!$A$3:$A$731=$A12)*(Source_Evolution!$G$3:$G$731&gt;0))</f>
        <v/>
      </c>
      <c r="X12" s="18">
        <f>SUMPRODUCT((Source_Evolution!$A$3:$A$731=$A12)*(Source_Evolution!$H$3:$H$731&gt;0))</f>
        <v/>
      </c>
      <c r="Y12" s="18">
        <f>SUMPRODUCT((Source_Evolution!$A$3:$A$731=$A12)*(Source_Evolution!$I$3:$I$731&gt;0))</f>
        <v/>
      </c>
      <c r="Z12" s="18">
        <f>SUMPRODUCT((Source_Evolution!$A$3:$A$731=$A12)*(Source_Evolution!$J$3:$J$731&gt;0))</f>
        <v/>
      </c>
      <c r="AA12" s="18">
        <f>SUMPRODUCT((Source_Evolution!$A$3:$A$731=$A12)*(Source_Evolution!$K$3:$K$731&gt;0))</f>
        <v/>
      </c>
      <c r="AB12" s="18">
        <f>SUMPRODUCT((Source_Evolution!$A$3:$A$731=$A12)*(Source_Evolution!$L$3:$L$731&gt;0))</f>
        <v/>
      </c>
      <c r="AC12" s="18">
        <f>SUMPRODUCT((Source_Evolution!$A$3:$A$731=$A12)*(Source_Evolution!$M$3:$M$731&gt;0))</f>
        <v/>
      </c>
      <c r="AD12" s="18">
        <f>SUMPRODUCT((Source_Evolution!$A$3:$A$731=$A12)*(Source_Evolution!$N$3:$N$731&gt;0))</f>
        <v/>
      </c>
      <c r="AE12" s="18">
        <f>SUMPRODUCT((Source_Evolution!$A$3:$A$731=$A12)*(Source_Evolution!$O$3:$O$731&gt;0))</f>
        <v/>
      </c>
      <c r="AF12" s="18">
        <f>SUMPRODUCT((Source_Evolution!$A$3:$A$731=$A12)*(Source_Evolution!$P$3:$P$731&gt;0))</f>
        <v/>
      </c>
      <c r="AG12" s="18">
        <f>SUMPRODUCT((Source_Evolution!$A$3:$A$731=$A12)*(Source_Evolution!$Q$3:$Q$731&gt;0))</f>
        <v/>
      </c>
    </row>
    <row r="13">
      <c r="A13" t="inlineStr">
        <is>
          <t>Company 108</t>
        </is>
      </c>
      <c r="B13" t="inlineStr">
        <is>
          <t>Operations</t>
        </is>
      </c>
      <c r="C13" t="inlineStr">
        <is>
          <t>Hungary</t>
        </is>
      </c>
      <c r="D13" t="n">
        <v>2020</v>
      </c>
      <c r="E13" s="17">
        <f>SUMIFS(Source_Evolution!$E$3:$E$731,Source_Evolution!$A$3:$A$731,$A13)</f>
        <v/>
      </c>
      <c r="F13" s="17">
        <f>SUMIFS(Source_Evolution!$F$3:$F$731,Source_Evolution!$A$3:$A$731,$A13)</f>
        <v/>
      </c>
      <c r="G13" s="17">
        <f>SUMIFS(Source_Evolution!$G$3:$G$731,Source_Evolution!$A$3:$A$731,$A13)</f>
        <v/>
      </c>
      <c r="H13" s="17">
        <f>SUMIFS(Source_Evolution!$H$3:$H$731,Source_Evolution!$A$3:$A$731,$A13)</f>
        <v/>
      </c>
      <c r="I13" s="17">
        <f>SUMIFS(Source_Evolution!$I$3:$I$731,Source_Evolution!$A$3:$A$731,$A13)</f>
        <v/>
      </c>
      <c r="J13" s="17">
        <f>SUMIFS(Source_Evolution!$J$3:$J$731,Source_Evolution!$A$3:$A$731,$A13)</f>
        <v/>
      </c>
      <c r="K13" s="17">
        <f>SUMIFS(Source_Evolution!$K$3:$K$731,Source_Evolution!$A$3:$A$731,$A13)</f>
        <v/>
      </c>
      <c r="L13" s="17">
        <f>SUMIFS(Source_Evolution!$L$3:$L$731,Source_Evolution!$A$3:$A$731,$A13)</f>
        <v/>
      </c>
      <c r="M13" s="17">
        <f>SUMIFS(Source_Evolution!$M$3:$M$731,Source_Evolution!$A$3:$A$731,$A13)</f>
        <v/>
      </c>
      <c r="N13" s="17">
        <f>SUMIFS(Source_Evolution!$N$3:$N$731,Source_Evolution!$A$3:$A$731,$A13)</f>
        <v/>
      </c>
      <c r="O13" s="17">
        <f>SUMIFS(Source_Evolution!$O$3:$O$731,Source_Evolution!$A$3:$A$731,$A13)</f>
        <v/>
      </c>
      <c r="P13" s="17">
        <f>SUMIFS(Source_Evolution!$P$3:$P$731,Source_Evolution!$A$3:$A$731,$A13)</f>
        <v/>
      </c>
      <c r="Q13" s="17">
        <f>SUMIFS(Source_Evolution!$Q$3:$Q$731,Source_Evolution!$A$3:$A$731,$A13)</f>
        <v/>
      </c>
      <c r="R13" s="17">
        <f>SUM(E13:Q13)</f>
        <v/>
      </c>
      <c r="S13" s="17">
        <f>Q13</f>
        <v/>
      </c>
      <c r="T13">
        <f>IF(B13="Software",1,0)</f>
        <v/>
      </c>
      <c r="U13" s="18">
        <f>SUMPRODUCT((Source_Evolution!$A$3:$A$731=$A13)*(Source_Evolution!$E$3:$E$731&gt;0))</f>
        <v/>
      </c>
      <c r="V13" s="18">
        <f>SUMPRODUCT((Source_Evolution!$A$3:$A$731=$A13)*(Source_Evolution!$F$3:$F$731&gt;0))</f>
        <v/>
      </c>
      <c r="W13" s="18">
        <f>SUMPRODUCT((Source_Evolution!$A$3:$A$731=$A13)*(Source_Evolution!$G$3:$G$731&gt;0))</f>
        <v/>
      </c>
      <c r="X13" s="18">
        <f>SUMPRODUCT((Source_Evolution!$A$3:$A$731=$A13)*(Source_Evolution!$H$3:$H$731&gt;0))</f>
        <v/>
      </c>
      <c r="Y13" s="18">
        <f>SUMPRODUCT((Source_Evolution!$A$3:$A$731=$A13)*(Source_Evolution!$I$3:$I$731&gt;0))</f>
        <v/>
      </c>
      <c r="Z13" s="18">
        <f>SUMPRODUCT((Source_Evolution!$A$3:$A$731=$A13)*(Source_Evolution!$J$3:$J$731&gt;0))</f>
        <v/>
      </c>
      <c r="AA13" s="18">
        <f>SUMPRODUCT((Source_Evolution!$A$3:$A$731=$A13)*(Source_Evolution!$K$3:$K$731&gt;0))</f>
        <v/>
      </c>
      <c r="AB13" s="18">
        <f>SUMPRODUCT((Source_Evolution!$A$3:$A$731=$A13)*(Source_Evolution!$L$3:$L$731&gt;0))</f>
        <v/>
      </c>
      <c r="AC13" s="18">
        <f>SUMPRODUCT((Source_Evolution!$A$3:$A$731=$A13)*(Source_Evolution!$M$3:$M$731&gt;0))</f>
        <v/>
      </c>
      <c r="AD13" s="18">
        <f>SUMPRODUCT((Source_Evolution!$A$3:$A$731=$A13)*(Source_Evolution!$N$3:$N$731&gt;0))</f>
        <v/>
      </c>
      <c r="AE13" s="18">
        <f>SUMPRODUCT((Source_Evolution!$A$3:$A$731=$A13)*(Source_Evolution!$O$3:$O$731&gt;0))</f>
        <v/>
      </c>
      <c r="AF13" s="18">
        <f>SUMPRODUCT((Source_Evolution!$A$3:$A$731=$A13)*(Source_Evolution!$P$3:$P$731&gt;0))</f>
        <v/>
      </c>
      <c r="AG13" s="18">
        <f>SUMPRODUCT((Source_Evolution!$A$3:$A$731=$A13)*(Source_Evolution!$Q$3:$Q$731&gt;0))</f>
        <v/>
      </c>
    </row>
    <row r="14">
      <c r="A14" t="inlineStr">
        <is>
          <t>Company 109</t>
        </is>
      </c>
      <c r="B14" t="inlineStr">
        <is>
          <t>Power</t>
        </is>
      </c>
      <c r="C14" t="inlineStr">
        <is>
          <t>UK</t>
        </is>
      </c>
      <c r="D14" t="n">
        <v>2021</v>
      </c>
      <c r="E14" s="17">
        <f>SUMIFS(Source_Evolution!$E$3:$E$731,Source_Evolution!$A$3:$A$731,$A14)</f>
        <v/>
      </c>
      <c r="F14" s="17">
        <f>SUMIFS(Source_Evolution!$F$3:$F$731,Source_Evolution!$A$3:$A$731,$A14)</f>
        <v/>
      </c>
      <c r="G14" s="17">
        <f>SUMIFS(Source_Evolution!$G$3:$G$731,Source_Evolution!$A$3:$A$731,$A14)</f>
        <v/>
      </c>
      <c r="H14" s="17">
        <f>SUMIFS(Source_Evolution!$H$3:$H$731,Source_Evolution!$A$3:$A$731,$A14)</f>
        <v/>
      </c>
      <c r="I14" s="17">
        <f>SUMIFS(Source_Evolution!$I$3:$I$731,Source_Evolution!$A$3:$A$731,$A14)</f>
        <v/>
      </c>
      <c r="J14" s="17">
        <f>SUMIFS(Source_Evolution!$J$3:$J$731,Source_Evolution!$A$3:$A$731,$A14)</f>
        <v/>
      </c>
      <c r="K14" s="17">
        <f>SUMIFS(Source_Evolution!$K$3:$K$731,Source_Evolution!$A$3:$A$731,$A14)</f>
        <v/>
      </c>
      <c r="L14" s="17">
        <f>SUMIFS(Source_Evolution!$L$3:$L$731,Source_Evolution!$A$3:$A$731,$A14)</f>
        <v/>
      </c>
      <c r="M14" s="17">
        <f>SUMIFS(Source_Evolution!$M$3:$M$731,Source_Evolution!$A$3:$A$731,$A14)</f>
        <v/>
      </c>
      <c r="N14" s="17">
        <f>SUMIFS(Source_Evolution!$N$3:$N$731,Source_Evolution!$A$3:$A$731,$A14)</f>
        <v/>
      </c>
      <c r="O14" s="17">
        <f>SUMIFS(Source_Evolution!$O$3:$O$731,Source_Evolution!$A$3:$A$731,$A14)</f>
        <v/>
      </c>
      <c r="P14" s="17">
        <f>SUMIFS(Source_Evolution!$P$3:$P$731,Source_Evolution!$A$3:$A$731,$A14)</f>
        <v/>
      </c>
      <c r="Q14" s="17">
        <f>SUMIFS(Source_Evolution!$Q$3:$Q$731,Source_Evolution!$A$3:$A$731,$A14)</f>
        <v/>
      </c>
      <c r="R14" s="17">
        <f>SUM(E14:Q14)</f>
        <v/>
      </c>
      <c r="S14" s="17">
        <f>Q14</f>
        <v/>
      </c>
      <c r="T14">
        <f>IF(B14="Software",1,0)</f>
        <v/>
      </c>
      <c r="U14" s="18">
        <f>SUMPRODUCT((Source_Evolution!$A$3:$A$731=$A14)*(Source_Evolution!$E$3:$E$731&gt;0))</f>
        <v/>
      </c>
      <c r="V14" s="18">
        <f>SUMPRODUCT((Source_Evolution!$A$3:$A$731=$A14)*(Source_Evolution!$F$3:$F$731&gt;0))</f>
        <v/>
      </c>
      <c r="W14" s="18">
        <f>SUMPRODUCT((Source_Evolution!$A$3:$A$731=$A14)*(Source_Evolution!$G$3:$G$731&gt;0))</f>
        <v/>
      </c>
      <c r="X14" s="18">
        <f>SUMPRODUCT((Source_Evolution!$A$3:$A$731=$A14)*(Source_Evolution!$H$3:$H$731&gt;0))</f>
        <v/>
      </c>
      <c r="Y14" s="18">
        <f>SUMPRODUCT((Source_Evolution!$A$3:$A$731=$A14)*(Source_Evolution!$I$3:$I$731&gt;0))</f>
        <v/>
      </c>
      <c r="Z14" s="18">
        <f>SUMPRODUCT((Source_Evolution!$A$3:$A$731=$A14)*(Source_Evolution!$J$3:$J$731&gt;0))</f>
        <v/>
      </c>
      <c r="AA14" s="18">
        <f>SUMPRODUCT((Source_Evolution!$A$3:$A$731=$A14)*(Source_Evolution!$K$3:$K$731&gt;0))</f>
        <v/>
      </c>
      <c r="AB14" s="18">
        <f>SUMPRODUCT((Source_Evolution!$A$3:$A$731=$A14)*(Source_Evolution!$L$3:$L$731&gt;0))</f>
        <v/>
      </c>
      <c r="AC14" s="18">
        <f>SUMPRODUCT((Source_Evolution!$A$3:$A$731=$A14)*(Source_Evolution!$M$3:$M$731&gt;0))</f>
        <v/>
      </c>
      <c r="AD14" s="18">
        <f>SUMPRODUCT((Source_Evolution!$A$3:$A$731=$A14)*(Source_Evolution!$N$3:$N$731&gt;0))</f>
        <v/>
      </c>
      <c r="AE14" s="18">
        <f>SUMPRODUCT((Source_Evolution!$A$3:$A$731=$A14)*(Source_Evolution!$O$3:$O$731&gt;0))</f>
        <v/>
      </c>
      <c r="AF14" s="18">
        <f>SUMPRODUCT((Source_Evolution!$A$3:$A$731=$A14)*(Source_Evolution!$P$3:$P$731&gt;0))</f>
        <v/>
      </c>
      <c r="AG14" s="18">
        <f>SUMPRODUCT((Source_Evolution!$A$3:$A$731=$A14)*(Source_Evolution!$Q$3:$Q$731&gt;0))</f>
        <v/>
      </c>
    </row>
    <row r="15">
      <c r="A15" t="inlineStr">
        <is>
          <t>Company 11</t>
        </is>
      </c>
      <c r="B15" t="inlineStr">
        <is>
          <t>Operations</t>
        </is>
      </c>
      <c r="C15" t="inlineStr">
        <is>
          <t>Ireland</t>
        </is>
      </c>
      <c r="D15" t="n">
        <v>2014</v>
      </c>
      <c r="E15" s="17">
        <f>SUMIFS(Source_Evolution!$E$3:$E$731,Source_Evolution!$A$3:$A$731,$A15)</f>
        <v/>
      </c>
      <c r="F15" s="17">
        <f>SUMIFS(Source_Evolution!$F$3:$F$731,Source_Evolution!$A$3:$A$731,$A15)</f>
        <v/>
      </c>
      <c r="G15" s="17">
        <f>SUMIFS(Source_Evolution!$G$3:$G$731,Source_Evolution!$A$3:$A$731,$A15)</f>
        <v/>
      </c>
      <c r="H15" s="17">
        <f>SUMIFS(Source_Evolution!$H$3:$H$731,Source_Evolution!$A$3:$A$731,$A15)</f>
        <v/>
      </c>
      <c r="I15" s="17">
        <f>SUMIFS(Source_Evolution!$I$3:$I$731,Source_Evolution!$A$3:$A$731,$A15)</f>
        <v/>
      </c>
      <c r="J15" s="17">
        <f>SUMIFS(Source_Evolution!$J$3:$J$731,Source_Evolution!$A$3:$A$731,$A15)</f>
        <v/>
      </c>
      <c r="K15" s="17">
        <f>SUMIFS(Source_Evolution!$K$3:$K$731,Source_Evolution!$A$3:$A$731,$A15)</f>
        <v/>
      </c>
      <c r="L15" s="17">
        <f>SUMIFS(Source_Evolution!$L$3:$L$731,Source_Evolution!$A$3:$A$731,$A15)</f>
        <v/>
      </c>
      <c r="M15" s="17">
        <f>SUMIFS(Source_Evolution!$M$3:$M$731,Source_Evolution!$A$3:$A$731,$A15)</f>
        <v/>
      </c>
      <c r="N15" s="17">
        <f>SUMIFS(Source_Evolution!$N$3:$N$731,Source_Evolution!$A$3:$A$731,$A15)</f>
        <v/>
      </c>
      <c r="O15" s="17">
        <f>SUMIFS(Source_Evolution!$O$3:$O$731,Source_Evolution!$A$3:$A$731,$A15)</f>
        <v/>
      </c>
      <c r="P15" s="17">
        <f>SUMIFS(Source_Evolution!$P$3:$P$731,Source_Evolution!$A$3:$A$731,$A15)</f>
        <v/>
      </c>
      <c r="Q15" s="17">
        <f>SUMIFS(Source_Evolution!$Q$3:$Q$731,Source_Evolution!$A$3:$A$731,$A15)</f>
        <v/>
      </c>
      <c r="R15" s="17">
        <f>SUM(E15:Q15)</f>
        <v/>
      </c>
      <c r="S15" s="17">
        <f>Q15</f>
        <v/>
      </c>
      <c r="T15">
        <f>IF(B15="Software",1,0)</f>
        <v/>
      </c>
      <c r="U15" s="18">
        <f>SUMPRODUCT((Source_Evolution!$A$3:$A$731=$A15)*(Source_Evolution!$E$3:$E$731&gt;0))</f>
        <v/>
      </c>
      <c r="V15" s="18">
        <f>SUMPRODUCT((Source_Evolution!$A$3:$A$731=$A15)*(Source_Evolution!$F$3:$F$731&gt;0))</f>
        <v/>
      </c>
      <c r="W15" s="18">
        <f>SUMPRODUCT((Source_Evolution!$A$3:$A$731=$A15)*(Source_Evolution!$G$3:$G$731&gt;0))</f>
        <v/>
      </c>
      <c r="X15" s="18">
        <f>SUMPRODUCT((Source_Evolution!$A$3:$A$731=$A15)*(Source_Evolution!$H$3:$H$731&gt;0))</f>
        <v/>
      </c>
      <c r="Y15" s="18">
        <f>SUMPRODUCT((Source_Evolution!$A$3:$A$731=$A15)*(Source_Evolution!$I$3:$I$731&gt;0))</f>
        <v/>
      </c>
      <c r="Z15" s="18">
        <f>SUMPRODUCT((Source_Evolution!$A$3:$A$731=$A15)*(Source_Evolution!$J$3:$J$731&gt;0))</f>
        <v/>
      </c>
      <c r="AA15" s="18">
        <f>SUMPRODUCT((Source_Evolution!$A$3:$A$731=$A15)*(Source_Evolution!$K$3:$K$731&gt;0))</f>
        <v/>
      </c>
      <c r="AB15" s="18">
        <f>SUMPRODUCT((Source_Evolution!$A$3:$A$731=$A15)*(Source_Evolution!$L$3:$L$731&gt;0))</f>
        <v/>
      </c>
      <c r="AC15" s="18">
        <f>SUMPRODUCT((Source_Evolution!$A$3:$A$731=$A15)*(Source_Evolution!$M$3:$M$731&gt;0))</f>
        <v/>
      </c>
      <c r="AD15" s="18">
        <f>SUMPRODUCT((Source_Evolution!$A$3:$A$731=$A15)*(Source_Evolution!$N$3:$N$731&gt;0))</f>
        <v/>
      </c>
      <c r="AE15" s="18">
        <f>SUMPRODUCT((Source_Evolution!$A$3:$A$731=$A15)*(Source_Evolution!$O$3:$O$731&gt;0))</f>
        <v/>
      </c>
      <c r="AF15" s="18">
        <f>SUMPRODUCT((Source_Evolution!$A$3:$A$731=$A15)*(Source_Evolution!$P$3:$P$731&gt;0))</f>
        <v/>
      </c>
      <c r="AG15" s="18">
        <f>SUMPRODUCT((Source_Evolution!$A$3:$A$731=$A15)*(Source_Evolution!$Q$3:$Q$731&gt;0))</f>
        <v/>
      </c>
    </row>
    <row r="16">
      <c r="A16" t="inlineStr">
        <is>
          <t>Company 110</t>
        </is>
      </c>
      <c r="B16" t="inlineStr">
        <is>
          <t>Software</t>
        </is>
      </c>
      <c r="C16" t="inlineStr">
        <is>
          <t>UK</t>
        </is>
      </c>
      <c r="D16" t="n">
        <v>2014</v>
      </c>
      <c r="E16" s="17">
        <f>SUMIFS(Source_Evolution!$E$3:$E$731,Source_Evolution!$A$3:$A$731,$A16)</f>
        <v/>
      </c>
      <c r="F16" s="17">
        <f>SUMIFS(Source_Evolution!$F$3:$F$731,Source_Evolution!$A$3:$A$731,$A16)</f>
        <v/>
      </c>
      <c r="G16" s="17">
        <f>SUMIFS(Source_Evolution!$G$3:$G$731,Source_Evolution!$A$3:$A$731,$A16)</f>
        <v/>
      </c>
      <c r="H16" s="17">
        <f>SUMIFS(Source_Evolution!$H$3:$H$731,Source_Evolution!$A$3:$A$731,$A16)</f>
        <v/>
      </c>
      <c r="I16" s="17">
        <f>SUMIFS(Source_Evolution!$I$3:$I$731,Source_Evolution!$A$3:$A$731,$A16)</f>
        <v/>
      </c>
      <c r="J16" s="17">
        <f>SUMIFS(Source_Evolution!$J$3:$J$731,Source_Evolution!$A$3:$A$731,$A16)</f>
        <v/>
      </c>
      <c r="K16" s="17">
        <f>SUMIFS(Source_Evolution!$K$3:$K$731,Source_Evolution!$A$3:$A$731,$A16)</f>
        <v/>
      </c>
      <c r="L16" s="17">
        <f>SUMIFS(Source_Evolution!$L$3:$L$731,Source_Evolution!$A$3:$A$731,$A16)</f>
        <v/>
      </c>
      <c r="M16" s="17">
        <f>SUMIFS(Source_Evolution!$M$3:$M$731,Source_Evolution!$A$3:$A$731,$A16)</f>
        <v/>
      </c>
      <c r="N16" s="17">
        <f>SUMIFS(Source_Evolution!$N$3:$N$731,Source_Evolution!$A$3:$A$731,$A16)</f>
        <v/>
      </c>
      <c r="O16" s="17">
        <f>SUMIFS(Source_Evolution!$O$3:$O$731,Source_Evolution!$A$3:$A$731,$A16)</f>
        <v/>
      </c>
      <c r="P16" s="17">
        <f>SUMIFS(Source_Evolution!$P$3:$P$731,Source_Evolution!$A$3:$A$731,$A16)</f>
        <v/>
      </c>
      <c r="Q16" s="17">
        <f>SUMIFS(Source_Evolution!$Q$3:$Q$731,Source_Evolution!$A$3:$A$731,$A16)</f>
        <v/>
      </c>
      <c r="R16" s="17">
        <f>SUM(E16:Q16)</f>
        <v/>
      </c>
      <c r="S16" s="17">
        <f>Q16</f>
        <v/>
      </c>
      <c r="T16">
        <f>IF(B16="Software",1,0)</f>
        <v/>
      </c>
      <c r="U16" s="18">
        <f>SUMPRODUCT((Source_Evolution!$A$3:$A$731=$A16)*(Source_Evolution!$E$3:$E$731&gt;0))</f>
        <v/>
      </c>
      <c r="V16" s="18">
        <f>SUMPRODUCT((Source_Evolution!$A$3:$A$731=$A16)*(Source_Evolution!$F$3:$F$731&gt;0))</f>
        <v/>
      </c>
      <c r="W16" s="18">
        <f>SUMPRODUCT((Source_Evolution!$A$3:$A$731=$A16)*(Source_Evolution!$G$3:$G$731&gt;0))</f>
        <v/>
      </c>
      <c r="X16" s="18">
        <f>SUMPRODUCT((Source_Evolution!$A$3:$A$731=$A16)*(Source_Evolution!$H$3:$H$731&gt;0))</f>
        <v/>
      </c>
      <c r="Y16" s="18">
        <f>SUMPRODUCT((Source_Evolution!$A$3:$A$731=$A16)*(Source_Evolution!$I$3:$I$731&gt;0))</f>
        <v/>
      </c>
      <c r="Z16" s="18">
        <f>SUMPRODUCT((Source_Evolution!$A$3:$A$731=$A16)*(Source_Evolution!$J$3:$J$731&gt;0))</f>
        <v/>
      </c>
      <c r="AA16" s="18">
        <f>SUMPRODUCT((Source_Evolution!$A$3:$A$731=$A16)*(Source_Evolution!$K$3:$K$731&gt;0))</f>
        <v/>
      </c>
      <c r="AB16" s="18">
        <f>SUMPRODUCT((Source_Evolution!$A$3:$A$731=$A16)*(Source_Evolution!$L$3:$L$731&gt;0))</f>
        <v/>
      </c>
      <c r="AC16" s="18">
        <f>SUMPRODUCT((Source_Evolution!$A$3:$A$731=$A16)*(Source_Evolution!$M$3:$M$731&gt;0))</f>
        <v/>
      </c>
      <c r="AD16" s="18">
        <f>SUMPRODUCT((Source_Evolution!$A$3:$A$731=$A16)*(Source_Evolution!$N$3:$N$731&gt;0))</f>
        <v/>
      </c>
      <c r="AE16" s="18">
        <f>SUMPRODUCT((Source_Evolution!$A$3:$A$731=$A16)*(Source_Evolution!$O$3:$O$731&gt;0))</f>
        <v/>
      </c>
      <c r="AF16" s="18">
        <f>SUMPRODUCT((Source_Evolution!$A$3:$A$731=$A16)*(Source_Evolution!$P$3:$P$731&gt;0))</f>
        <v/>
      </c>
      <c r="AG16" s="18">
        <f>SUMPRODUCT((Source_Evolution!$A$3:$A$731=$A16)*(Source_Evolution!$Q$3:$Q$731&gt;0))</f>
        <v/>
      </c>
    </row>
    <row r="17">
      <c r="A17" t="inlineStr">
        <is>
          <t>Company 111</t>
        </is>
      </c>
      <c r="B17" t="inlineStr">
        <is>
          <t>Software</t>
        </is>
      </c>
      <c r="C17" t="inlineStr">
        <is>
          <t>Austria</t>
        </is>
      </c>
      <c r="D17" t="n">
        <v>2021</v>
      </c>
      <c r="E17" s="17">
        <f>SUMIFS(Source_Evolution!$E$3:$E$731,Source_Evolution!$A$3:$A$731,$A17)</f>
        <v/>
      </c>
      <c r="F17" s="17">
        <f>SUMIFS(Source_Evolution!$F$3:$F$731,Source_Evolution!$A$3:$A$731,$A17)</f>
        <v/>
      </c>
      <c r="G17" s="17">
        <f>SUMIFS(Source_Evolution!$G$3:$G$731,Source_Evolution!$A$3:$A$731,$A17)</f>
        <v/>
      </c>
      <c r="H17" s="17">
        <f>SUMIFS(Source_Evolution!$H$3:$H$731,Source_Evolution!$A$3:$A$731,$A17)</f>
        <v/>
      </c>
      <c r="I17" s="17">
        <f>SUMIFS(Source_Evolution!$I$3:$I$731,Source_Evolution!$A$3:$A$731,$A17)</f>
        <v/>
      </c>
      <c r="J17" s="17">
        <f>SUMIFS(Source_Evolution!$J$3:$J$731,Source_Evolution!$A$3:$A$731,$A17)</f>
        <v/>
      </c>
      <c r="K17" s="17">
        <f>SUMIFS(Source_Evolution!$K$3:$K$731,Source_Evolution!$A$3:$A$731,$A17)</f>
        <v/>
      </c>
      <c r="L17" s="17">
        <f>SUMIFS(Source_Evolution!$L$3:$L$731,Source_Evolution!$A$3:$A$731,$A17)</f>
        <v/>
      </c>
      <c r="M17" s="17">
        <f>SUMIFS(Source_Evolution!$M$3:$M$731,Source_Evolution!$A$3:$A$731,$A17)</f>
        <v/>
      </c>
      <c r="N17" s="17">
        <f>SUMIFS(Source_Evolution!$N$3:$N$731,Source_Evolution!$A$3:$A$731,$A17)</f>
        <v/>
      </c>
      <c r="O17" s="17">
        <f>SUMIFS(Source_Evolution!$O$3:$O$731,Source_Evolution!$A$3:$A$731,$A17)</f>
        <v/>
      </c>
      <c r="P17" s="17">
        <f>SUMIFS(Source_Evolution!$P$3:$P$731,Source_Evolution!$A$3:$A$731,$A17)</f>
        <v/>
      </c>
      <c r="Q17" s="17">
        <f>SUMIFS(Source_Evolution!$Q$3:$Q$731,Source_Evolution!$A$3:$A$731,$A17)</f>
        <v/>
      </c>
      <c r="R17" s="17">
        <f>SUM(E17:Q17)</f>
        <v/>
      </c>
      <c r="S17" s="17">
        <f>Q17</f>
        <v/>
      </c>
      <c r="T17">
        <f>IF(B17="Software",1,0)</f>
        <v/>
      </c>
      <c r="U17" s="18">
        <f>SUMPRODUCT((Source_Evolution!$A$3:$A$731=$A17)*(Source_Evolution!$E$3:$E$731&gt;0))</f>
        <v/>
      </c>
      <c r="V17" s="18">
        <f>SUMPRODUCT((Source_Evolution!$A$3:$A$731=$A17)*(Source_Evolution!$F$3:$F$731&gt;0))</f>
        <v/>
      </c>
      <c r="W17" s="18">
        <f>SUMPRODUCT((Source_Evolution!$A$3:$A$731=$A17)*(Source_Evolution!$G$3:$G$731&gt;0))</f>
        <v/>
      </c>
      <c r="X17" s="18">
        <f>SUMPRODUCT((Source_Evolution!$A$3:$A$731=$A17)*(Source_Evolution!$H$3:$H$731&gt;0))</f>
        <v/>
      </c>
      <c r="Y17" s="18">
        <f>SUMPRODUCT((Source_Evolution!$A$3:$A$731=$A17)*(Source_Evolution!$I$3:$I$731&gt;0))</f>
        <v/>
      </c>
      <c r="Z17" s="18">
        <f>SUMPRODUCT((Source_Evolution!$A$3:$A$731=$A17)*(Source_Evolution!$J$3:$J$731&gt;0))</f>
        <v/>
      </c>
      <c r="AA17" s="18">
        <f>SUMPRODUCT((Source_Evolution!$A$3:$A$731=$A17)*(Source_Evolution!$K$3:$K$731&gt;0))</f>
        <v/>
      </c>
      <c r="AB17" s="18">
        <f>SUMPRODUCT((Source_Evolution!$A$3:$A$731=$A17)*(Source_Evolution!$L$3:$L$731&gt;0))</f>
        <v/>
      </c>
      <c r="AC17" s="18">
        <f>SUMPRODUCT((Source_Evolution!$A$3:$A$731=$A17)*(Source_Evolution!$M$3:$M$731&gt;0))</f>
        <v/>
      </c>
      <c r="AD17" s="18">
        <f>SUMPRODUCT((Source_Evolution!$A$3:$A$731=$A17)*(Source_Evolution!$N$3:$N$731&gt;0))</f>
        <v/>
      </c>
      <c r="AE17" s="18">
        <f>SUMPRODUCT((Source_Evolution!$A$3:$A$731=$A17)*(Source_Evolution!$O$3:$O$731&gt;0))</f>
        <v/>
      </c>
      <c r="AF17" s="18">
        <f>SUMPRODUCT((Source_Evolution!$A$3:$A$731=$A17)*(Source_Evolution!$P$3:$P$731&gt;0))</f>
        <v/>
      </c>
      <c r="AG17" s="18">
        <f>SUMPRODUCT((Source_Evolution!$A$3:$A$731=$A17)*(Source_Evolution!$Q$3:$Q$731&gt;0))</f>
        <v/>
      </c>
    </row>
    <row r="18">
      <c r="A18" t="inlineStr">
        <is>
          <t>Company 112</t>
        </is>
      </c>
      <c r="B18" t="inlineStr">
        <is>
          <t>Software</t>
        </is>
      </c>
      <c r="C18" t="inlineStr">
        <is>
          <t>Singapore</t>
        </is>
      </c>
      <c r="D18" t="n">
        <v>2022</v>
      </c>
      <c r="E18" s="17">
        <f>SUMIFS(Source_Evolution!$E$3:$E$731,Source_Evolution!$A$3:$A$731,$A18)</f>
        <v/>
      </c>
      <c r="F18" s="17">
        <f>SUMIFS(Source_Evolution!$F$3:$F$731,Source_Evolution!$A$3:$A$731,$A18)</f>
        <v/>
      </c>
      <c r="G18" s="17">
        <f>SUMIFS(Source_Evolution!$G$3:$G$731,Source_Evolution!$A$3:$A$731,$A18)</f>
        <v/>
      </c>
      <c r="H18" s="17">
        <f>SUMIFS(Source_Evolution!$H$3:$H$731,Source_Evolution!$A$3:$A$731,$A18)</f>
        <v/>
      </c>
      <c r="I18" s="17">
        <f>SUMIFS(Source_Evolution!$I$3:$I$731,Source_Evolution!$A$3:$A$731,$A18)</f>
        <v/>
      </c>
      <c r="J18" s="17">
        <f>SUMIFS(Source_Evolution!$J$3:$J$731,Source_Evolution!$A$3:$A$731,$A18)</f>
        <v/>
      </c>
      <c r="K18" s="17">
        <f>SUMIFS(Source_Evolution!$K$3:$K$731,Source_Evolution!$A$3:$A$731,$A18)</f>
        <v/>
      </c>
      <c r="L18" s="17">
        <f>SUMIFS(Source_Evolution!$L$3:$L$731,Source_Evolution!$A$3:$A$731,$A18)</f>
        <v/>
      </c>
      <c r="M18" s="17">
        <f>SUMIFS(Source_Evolution!$M$3:$M$731,Source_Evolution!$A$3:$A$731,$A18)</f>
        <v/>
      </c>
      <c r="N18" s="17">
        <f>SUMIFS(Source_Evolution!$N$3:$N$731,Source_Evolution!$A$3:$A$731,$A18)</f>
        <v/>
      </c>
      <c r="O18" s="17">
        <f>SUMIFS(Source_Evolution!$O$3:$O$731,Source_Evolution!$A$3:$A$731,$A18)</f>
        <v/>
      </c>
      <c r="P18" s="17">
        <f>SUMIFS(Source_Evolution!$P$3:$P$731,Source_Evolution!$A$3:$A$731,$A18)</f>
        <v/>
      </c>
      <c r="Q18" s="17">
        <f>SUMIFS(Source_Evolution!$Q$3:$Q$731,Source_Evolution!$A$3:$A$731,$A18)</f>
        <v/>
      </c>
      <c r="R18" s="17">
        <f>SUM(E18:Q18)</f>
        <v/>
      </c>
      <c r="S18" s="17">
        <f>Q18</f>
        <v/>
      </c>
      <c r="T18">
        <f>IF(B18="Software",1,0)</f>
        <v/>
      </c>
      <c r="U18" s="18">
        <f>SUMPRODUCT((Source_Evolution!$A$3:$A$731=$A18)*(Source_Evolution!$E$3:$E$731&gt;0))</f>
        <v/>
      </c>
      <c r="V18" s="18">
        <f>SUMPRODUCT((Source_Evolution!$A$3:$A$731=$A18)*(Source_Evolution!$F$3:$F$731&gt;0))</f>
        <v/>
      </c>
      <c r="W18" s="18">
        <f>SUMPRODUCT((Source_Evolution!$A$3:$A$731=$A18)*(Source_Evolution!$G$3:$G$731&gt;0))</f>
        <v/>
      </c>
      <c r="X18" s="18">
        <f>SUMPRODUCT((Source_Evolution!$A$3:$A$731=$A18)*(Source_Evolution!$H$3:$H$731&gt;0))</f>
        <v/>
      </c>
      <c r="Y18" s="18">
        <f>SUMPRODUCT((Source_Evolution!$A$3:$A$731=$A18)*(Source_Evolution!$I$3:$I$731&gt;0))</f>
        <v/>
      </c>
      <c r="Z18" s="18">
        <f>SUMPRODUCT((Source_Evolution!$A$3:$A$731=$A18)*(Source_Evolution!$J$3:$J$731&gt;0))</f>
        <v/>
      </c>
      <c r="AA18" s="18">
        <f>SUMPRODUCT((Source_Evolution!$A$3:$A$731=$A18)*(Source_Evolution!$K$3:$K$731&gt;0))</f>
        <v/>
      </c>
      <c r="AB18" s="18">
        <f>SUMPRODUCT((Source_Evolution!$A$3:$A$731=$A18)*(Source_Evolution!$L$3:$L$731&gt;0))</f>
        <v/>
      </c>
      <c r="AC18" s="18">
        <f>SUMPRODUCT((Source_Evolution!$A$3:$A$731=$A18)*(Source_Evolution!$M$3:$M$731&gt;0))</f>
        <v/>
      </c>
      <c r="AD18" s="18">
        <f>SUMPRODUCT((Source_Evolution!$A$3:$A$731=$A18)*(Source_Evolution!$N$3:$N$731&gt;0))</f>
        <v/>
      </c>
      <c r="AE18" s="18">
        <f>SUMPRODUCT((Source_Evolution!$A$3:$A$731=$A18)*(Source_Evolution!$O$3:$O$731&gt;0))</f>
        <v/>
      </c>
      <c r="AF18" s="18">
        <f>SUMPRODUCT((Source_Evolution!$A$3:$A$731=$A18)*(Source_Evolution!$P$3:$P$731&gt;0))</f>
        <v/>
      </c>
      <c r="AG18" s="18">
        <f>SUMPRODUCT((Source_Evolution!$A$3:$A$731=$A18)*(Source_Evolution!$Q$3:$Q$731&gt;0))</f>
        <v/>
      </c>
    </row>
    <row r="19">
      <c r="A19" t="inlineStr">
        <is>
          <t>Company 113</t>
        </is>
      </c>
      <c r="B19" t="inlineStr">
        <is>
          <t>Operations</t>
        </is>
      </c>
      <c r="C19" t="inlineStr">
        <is>
          <t>Norway</t>
        </is>
      </c>
      <c r="D19" t="n">
        <v>2022</v>
      </c>
      <c r="E19" s="17">
        <f>SUMIFS(Source_Evolution!$E$3:$E$731,Source_Evolution!$A$3:$A$731,$A19)</f>
        <v/>
      </c>
      <c r="F19" s="17">
        <f>SUMIFS(Source_Evolution!$F$3:$F$731,Source_Evolution!$A$3:$A$731,$A19)</f>
        <v/>
      </c>
      <c r="G19" s="17">
        <f>SUMIFS(Source_Evolution!$G$3:$G$731,Source_Evolution!$A$3:$A$731,$A19)</f>
        <v/>
      </c>
      <c r="H19" s="17">
        <f>SUMIFS(Source_Evolution!$H$3:$H$731,Source_Evolution!$A$3:$A$731,$A19)</f>
        <v/>
      </c>
      <c r="I19" s="17">
        <f>SUMIFS(Source_Evolution!$I$3:$I$731,Source_Evolution!$A$3:$A$731,$A19)</f>
        <v/>
      </c>
      <c r="J19" s="17">
        <f>SUMIFS(Source_Evolution!$J$3:$J$731,Source_Evolution!$A$3:$A$731,$A19)</f>
        <v/>
      </c>
      <c r="K19" s="17">
        <f>SUMIFS(Source_Evolution!$K$3:$K$731,Source_Evolution!$A$3:$A$731,$A19)</f>
        <v/>
      </c>
      <c r="L19" s="17">
        <f>SUMIFS(Source_Evolution!$L$3:$L$731,Source_Evolution!$A$3:$A$731,$A19)</f>
        <v/>
      </c>
      <c r="M19" s="17">
        <f>SUMIFS(Source_Evolution!$M$3:$M$731,Source_Evolution!$A$3:$A$731,$A19)</f>
        <v/>
      </c>
      <c r="N19" s="17">
        <f>SUMIFS(Source_Evolution!$N$3:$N$731,Source_Evolution!$A$3:$A$731,$A19)</f>
        <v/>
      </c>
      <c r="O19" s="17">
        <f>SUMIFS(Source_Evolution!$O$3:$O$731,Source_Evolution!$A$3:$A$731,$A19)</f>
        <v/>
      </c>
      <c r="P19" s="17">
        <f>SUMIFS(Source_Evolution!$P$3:$P$731,Source_Evolution!$A$3:$A$731,$A19)</f>
        <v/>
      </c>
      <c r="Q19" s="17">
        <f>SUMIFS(Source_Evolution!$Q$3:$Q$731,Source_Evolution!$A$3:$A$731,$A19)</f>
        <v/>
      </c>
      <c r="R19" s="17">
        <f>SUM(E19:Q19)</f>
        <v/>
      </c>
      <c r="S19" s="17">
        <f>Q19</f>
        <v/>
      </c>
      <c r="T19">
        <f>IF(B19="Software",1,0)</f>
        <v/>
      </c>
      <c r="U19" s="18">
        <f>SUMPRODUCT((Source_Evolution!$A$3:$A$731=$A19)*(Source_Evolution!$E$3:$E$731&gt;0))</f>
        <v/>
      </c>
      <c r="V19" s="18">
        <f>SUMPRODUCT((Source_Evolution!$A$3:$A$731=$A19)*(Source_Evolution!$F$3:$F$731&gt;0))</f>
        <v/>
      </c>
      <c r="W19" s="18">
        <f>SUMPRODUCT((Source_Evolution!$A$3:$A$731=$A19)*(Source_Evolution!$G$3:$G$731&gt;0))</f>
        <v/>
      </c>
      <c r="X19" s="18">
        <f>SUMPRODUCT((Source_Evolution!$A$3:$A$731=$A19)*(Source_Evolution!$H$3:$H$731&gt;0))</f>
        <v/>
      </c>
      <c r="Y19" s="18">
        <f>SUMPRODUCT((Source_Evolution!$A$3:$A$731=$A19)*(Source_Evolution!$I$3:$I$731&gt;0))</f>
        <v/>
      </c>
      <c r="Z19" s="18">
        <f>SUMPRODUCT((Source_Evolution!$A$3:$A$731=$A19)*(Source_Evolution!$J$3:$J$731&gt;0))</f>
        <v/>
      </c>
      <c r="AA19" s="18">
        <f>SUMPRODUCT((Source_Evolution!$A$3:$A$731=$A19)*(Source_Evolution!$K$3:$K$731&gt;0))</f>
        <v/>
      </c>
      <c r="AB19" s="18">
        <f>SUMPRODUCT((Source_Evolution!$A$3:$A$731=$A19)*(Source_Evolution!$L$3:$L$731&gt;0))</f>
        <v/>
      </c>
      <c r="AC19" s="18">
        <f>SUMPRODUCT((Source_Evolution!$A$3:$A$731=$A19)*(Source_Evolution!$M$3:$M$731&gt;0))</f>
        <v/>
      </c>
      <c r="AD19" s="18">
        <f>SUMPRODUCT((Source_Evolution!$A$3:$A$731=$A19)*(Source_Evolution!$N$3:$N$731&gt;0))</f>
        <v/>
      </c>
      <c r="AE19" s="18">
        <f>SUMPRODUCT((Source_Evolution!$A$3:$A$731=$A19)*(Source_Evolution!$O$3:$O$731&gt;0))</f>
        <v/>
      </c>
      <c r="AF19" s="18">
        <f>SUMPRODUCT((Source_Evolution!$A$3:$A$731=$A19)*(Source_Evolution!$P$3:$P$731&gt;0))</f>
        <v/>
      </c>
      <c r="AG19" s="18">
        <f>SUMPRODUCT((Source_Evolution!$A$3:$A$731=$A19)*(Source_Evolution!$Q$3:$Q$731&gt;0))</f>
        <v/>
      </c>
    </row>
    <row r="20">
      <c r="A20" t="inlineStr">
        <is>
          <t>Company 114</t>
        </is>
      </c>
      <c r="B20" t="inlineStr">
        <is>
          <t>Software</t>
        </is>
      </c>
      <c r="C20" t="inlineStr">
        <is>
          <t>Netherlands</t>
        </is>
      </c>
      <c r="D20" t="n">
        <v>2022</v>
      </c>
      <c r="E20" s="17">
        <f>SUMIFS(Source_Evolution!$E$3:$E$731,Source_Evolution!$A$3:$A$731,$A20)</f>
        <v/>
      </c>
      <c r="F20" s="17">
        <f>SUMIFS(Source_Evolution!$F$3:$F$731,Source_Evolution!$A$3:$A$731,$A20)</f>
        <v/>
      </c>
      <c r="G20" s="17">
        <f>SUMIFS(Source_Evolution!$G$3:$G$731,Source_Evolution!$A$3:$A$731,$A20)</f>
        <v/>
      </c>
      <c r="H20" s="17">
        <f>SUMIFS(Source_Evolution!$H$3:$H$731,Source_Evolution!$A$3:$A$731,$A20)</f>
        <v/>
      </c>
      <c r="I20" s="17">
        <f>SUMIFS(Source_Evolution!$I$3:$I$731,Source_Evolution!$A$3:$A$731,$A20)</f>
        <v/>
      </c>
      <c r="J20" s="17">
        <f>SUMIFS(Source_Evolution!$J$3:$J$731,Source_Evolution!$A$3:$A$731,$A20)</f>
        <v/>
      </c>
      <c r="K20" s="17">
        <f>SUMIFS(Source_Evolution!$K$3:$K$731,Source_Evolution!$A$3:$A$731,$A20)</f>
        <v/>
      </c>
      <c r="L20" s="17">
        <f>SUMIFS(Source_Evolution!$L$3:$L$731,Source_Evolution!$A$3:$A$731,$A20)</f>
        <v/>
      </c>
      <c r="M20" s="17">
        <f>SUMIFS(Source_Evolution!$M$3:$M$731,Source_Evolution!$A$3:$A$731,$A20)</f>
        <v/>
      </c>
      <c r="N20" s="17">
        <f>SUMIFS(Source_Evolution!$N$3:$N$731,Source_Evolution!$A$3:$A$731,$A20)</f>
        <v/>
      </c>
      <c r="O20" s="17">
        <f>SUMIFS(Source_Evolution!$O$3:$O$731,Source_Evolution!$A$3:$A$731,$A20)</f>
        <v/>
      </c>
      <c r="P20" s="17">
        <f>SUMIFS(Source_Evolution!$P$3:$P$731,Source_Evolution!$A$3:$A$731,$A20)</f>
        <v/>
      </c>
      <c r="Q20" s="17">
        <f>SUMIFS(Source_Evolution!$Q$3:$Q$731,Source_Evolution!$A$3:$A$731,$A20)</f>
        <v/>
      </c>
      <c r="R20" s="17">
        <f>SUM(E20:Q20)</f>
        <v/>
      </c>
      <c r="S20" s="17">
        <f>Q20</f>
        <v/>
      </c>
      <c r="T20">
        <f>IF(B20="Software",1,0)</f>
        <v/>
      </c>
      <c r="U20" s="18">
        <f>SUMPRODUCT((Source_Evolution!$A$3:$A$731=$A20)*(Source_Evolution!$E$3:$E$731&gt;0))</f>
        <v/>
      </c>
      <c r="V20" s="18">
        <f>SUMPRODUCT((Source_Evolution!$A$3:$A$731=$A20)*(Source_Evolution!$F$3:$F$731&gt;0))</f>
        <v/>
      </c>
      <c r="W20" s="18">
        <f>SUMPRODUCT((Source_Evolution!$A$3:$A$731=$A20)*(Source_Evolution!$G$3:$G$731&gt;0))</f>
        <v/>
      </c>
      <c r="X20" s="18">
        <f>SUMPRODUCT((Source_Evolution!$A$3:$A$731=$A20)*(Source_Evolution!$H$3:$H$731&gt;0))</f>
        <v/>
      </c>
      <c r="Y20" s="18">
        <f>SUMPRODUCT((Source_Evolution!$A$3:$A$731=$A20)*(Source_Evolution!$I$3:$I$731&gt;0))</f>
        <v/>
      </c>
      <c r="Z20" s="18">
        <f>SUMPRODUCT((Source_Evolution!$A$3:$A$731=$A20)*(Source_Evolution!$J$3:$J$731&gt;0))</f>
        <v/>
      </c>
      <c r="AA20" s="18">
        <f>SUMPRODUCT((Source_Evolution!$A$3:$A$731=$A20)*(Source_Evolution!$K$3:$K$731&gt;0))</f>
        <v/>
      </c>
      <c r="AB20" s="18">
        <f>SUMPRODUCT((Source_Evolution!$A$3:$A$731=$A20)*(Source_Evolution!$L$3:$L$731&gt;0))</f>
        <v/>
      </c>
      <c r="AC20" s="18">
        <f>SUMPRODUCT((Source_Evolution!$A$3:$A$731=$A20)*(Source_Evolution!$M$3:$M$731&gt;0))</f>
        <v/>
      </c>
      <c r="AD20" s="18">
        <f>SUMPRODUCT((Source_Evolution!$A$3:$A$731=$A20)*(Source_Evolution!$N$3:$N$731&gt;0))</f>
        <v/>
      </c>
      <c r="AE20" s="18">
        <f>SUMPRODUCT((Source_Evolution!$A$3:$A$731=$A20)*(Source_Evolution!$O$3:$O$731&gt;0))</f>
        <v/>
      </c>
      <c r="AF20" s="18">
        <f>SUMPRODUCT((Source_Evolution!$A$3:$A$731=$A20)*(Source_Evolution!$P$3:$P$731&gt;0))</f>
        <v/>
      </c>
      <c r="AG20" s="18">
        <f>SUMPRODUCT((Source_Evolution!$A$3:$A$731=$A20)*(Source_Evolution!$Q$3:$Q$731&gt;0))</f>
        <v/>
      </c>
    </row>
    <row r="21">
      <c r="A21" t="inlineStr">
        <is>
          <t>Company 115</t>
        </is>
      </c>
      <c r="B21" t="inlineStr">
        <is>
          <t>Operations</t>
        </is>
      </c>
      <c r="C21" t="inlineStr">
        <is>
          <t>Netherlands</t>
        </is>
      </c>
      <c r="D21" t="n">
        <v>2022</v>
      </c>
      <c r="E21" s="17">
        <f>SUMIFS(Source_Evolution!$E$3:$E$731,Source_Evolution!$A$3:$A$731,$A21)</f>
        <v/>
      </c>
      <c r="F21" s="17">
        <f>SUMIFS(Source_Evolution!$F$3:$F$731,Source_Evolution!$A$3:$A$731,$A21)</f>
        <v/>
      </c>
      <c r="G21" s="17">
        <f>SUMIFS(Source_Evolution!$G$3:$G$731,Source_Evolution!$A$3:$A$731,$A21)</f>
        <v/>
      </c>
      <c r="H21" s="17">
        <f>SUMIFS(Source_Evolution!$H$3:$H$731,Source_Evolution!$A$3:$A$731,$A21)</f>
        <v/>
      </c>
      <c r="I21" s="17">
        <f>SUMIFS(Source_Evolution!$I$3:$I$731,Source_Evolution!$A$3:$A$731,$A21)</f>
        <v/>
      </c>
      <c r="J21" s="17">
        <f>SUMIFS(Source_Evolution!$J$3:$J$731,Source_Evolution!$A$3:$A$731,$A21)</f>
        <v/>
      </c>
      <c r="K21" s="17">
        <f>SUMIFS(Source_Evolution!$K$3:$K$731,Source_Evolution!$A$3:$A$731,$A21)</f>
        <v/>
      </c>
      <c r="L21" s="17">
        <f>SUMIFS(Source_Evolution!$L$3:$L$731,Source_Evolution!$A$3:$A$731,$A21)</f>
        <v/>
      </c>
      <c r="M21" s="17">
        <f>SUMIFS(Source_Evolution!$M$3:$M$731,Source_Evolution!$A$3:$A$731,$A21)</f>
        <v/>
      </c>
      <c r="N21" s="17">
        <f>SUMIFS(Source_Evolution!$N$3:$N$731,Source_Evolution!$A$3:$A$731,$A21)</f>
        <v/>
      </c>
      <c r="O21" s="17">
        <f>SUMIFS(Source_Evolution!$O$3:$O$731,Source_Evolution!$A$3:$A$731,$A21)</f>
        <v/>
      </c>
      <c r="P21" s="17">
        <f>SUMIFS(Source_Evolution!$P$3:$P$731,Source_Evolution!$A$3:$A$731,$A21)</f>
        <v/>
      </c>
      <c r="Q21" s="17">
        <f>SUMIFS(Source_Evolution!$Q$3:$Q$731,Source_Evolution!$A$3:$A$731,$A21)</f>
        <v/>
      </c>
      <c r="R21" s="17">
        <f>SUM(E21:Q21)</f>
        <v/>
      </c>
      <c r="S21" s="17">
        <f>Q21</f>
        <v/>
      </c>
      <c r="T21">
        <f>IF(B21="Software",1,0)</f>
        <v/>
      </c>
      <c r="U21" s="18">
        <f>SUMPRODUCT((Source_Evolution!$A$3:$A$731=$A21)*(Source_Evolution!$E$3:$E$731&gt;0))</f>
        <v/>
      </c>
      <c r="V21" s="18">
        <f>SUMPRODUCT((Source_Evolution!$A$3:$A$731=$A21)*(Source_Evolution!$F$3:$F$731&gt;0))</f>
        <v/>
      </c>
      <c r="W21" s="18">
        <f>SUMPRODUCT((Source_Evolution!$A$3:$A$731=$A21)*(Source_Evolution!$G$3:$G$731&gt;0))</f>
        <v/>
      </c>
      <c r="X21" s="18">
        <f>SUMPRODUCT((Source_Evolution!$A$3:$A$731=$A21)*(Source_Evolution!$H$3:$H$731&gt;0))</f>
        <v/>
      </c>
      <c r="Y21" s="18">
        <f>SUMPRODUCT((Source_Evolution!$A$3:$A$731=$A21)*(Source_Evolution!$I$3:$I$731&gt;0))</f>
        <v/>
      </c>
      <c r="Z21" s="18">
        <f>SUMPRODUCT((Source_Evolution!$A$3:$A$731=$A21)*(Source_Evolution!$J$3:$J$731&gt;0))</f>
        <v/>
      </c>
      <c r="AA21" s="18">
        <f>SUMPRODUCT((Source_Evolution!$A$3:$A$731=$A21)*(Source_Evolution!$K$3:$K$731&gt;0))</f>
        <v/>
      </c>
      <c r="AB21" s="18">
        <f>SUMPRODUCT((Source_Evolution!$A$3:$A$731=$A21)*(Source_Evolution!$L$3:$L$731&gt;0))</f>
        <v/>
      </c>
      <c r="AC21" s="18">
        <f>SUMPRODUCT((Source_Evolution!$A$3:$A$731=$A21)*(Source_Evolution!$M$3:$M$731&gt;0))</f>
        <v/>
      </c>
      <c r="AD21" s="18">
        <f>SUMPRODUCT((Source_Evolution!$A$3:$A$731=$A21)*(Source_Evolution!$N$3:$N$731&gt;0))</f>
        <v/>
      </c>
      <c r="AE21" s="18">
        <f>SUMPRODUCT((Source_Evolution!$A$3:$A$731=$A21)*(Source_Evolution!$O$3:$O$731&gt;0))</f>
        <v/>
      </c>
      <c r="AF21" s="18">
        <f>SUMPRODUCT((Source_Evolution!$A$3:$A$731=$A21)*(Source_Evolution!$P$3:$P$731&gt;0))</f>
        <v/>
      </c>
      <c r="AG21" s="18">
        <f>SUMPRODUCT((Source_Evolution!$A$3:$A$731=$A21)*(Source_Evolution!$Q$3:$Q$731&gt;0))</f>
        <v/>
      </c>
    </row>
    <row r="22">
      <c r="A22" t="inlineStr">
        <is>
          <t>Company 116</t>
        </is>
      </c>
      <c r="B22" t="inlineStr">
        <is>
          <t>Software</t>
        </is>
      </c>
      <c r="C22" t="inlineStr">
        <is>
          <t>Czech Republic</t>
        </is>
      </c>
      <c r="D22" t="n">
        <v>2022</v>
      </c>
      <c r="E22" s="17">
        <f>SUMIFS(Source_Evolution!$E$3:$E$731,Source_Evolution!$A$3:$A$731,$A22)</f>
        <v/>
      </c>
      <c r="F22" s="17">
        <f>SUMIFS(Source_Evolution!$F$3:$F$731,Source_Evolution!$A$3:$A$731,$A22)</f>
        <v/>
      </c>
      <c r="G22" s="17">
        <f>SUMIFS(Source_Evolution!$G$3:$G$731,Source_Evolution!$A$3:$A$731,$A22)</f>
        <v/>
      </c>
      <c r="H22" s="17">
        <f>SUMIFS(Source_Evolution!$H$3:$H$731,Source_Evolution!$A$3:$A$731,$A22)</f>
        <v/>
      </c>
      <c r="I22" s="17">
        <f>SUMIFS(Source_Evolution!$I$3:$I$731,Source_Evolution!$A$3:$A$731,$A22)</f>
        <v/>
      </c>
      <c r="J22" s="17">
        <f>SUMIFS(Source_Evolution!$J$3:$J$731,Source_Evolution!$A$3:$A$731,$A22)</f>
        <v/>
      </c>
      <c r="K22" s="17">
        <f>SUMIFS(Source_Evolution!$K$3:$K$731,Source_Evolution!$A$3:$A$731,$A22)</f>
        <v/>
      </c>
      <c r="L22" s="17">
        <f>SUMIFS(Source_Evolution!$L$3:$L$731,Source_Evolution!$A$3:$A$731,$A22)</f>
        <v/>
      </c>
      <c r="M22" s="17">
        <f>SUMIFS(Source_Evolution!$M$3:$M$731,Source_Evolution!$A$3:$A$731,$A22)</f>
        <v/>
      </c>
      <c r="N22" s="17">
        <f>SUMIFS(Source_Evolution!$N$3:$N$731,Source_Evolution!$A$3:$A$731,$A22)</f>
        <v/>
      </c>
      <c r="O22" s="17">
        <f>SUMIFS(Source_Evolution!$O$3:$O$731,Source_Evolution!$A$3:$A$731,$A22)</f>
        <v/>
      </c>
      <c r="P22" s="17">
        <f>SUMIFS(Source_Evolution!$P$3:$P$731,Source_Evolution!$A$3:$A$731,$A22)</f>
        <v/>
      </c>
      <c r="Q22" s="17">
        <f>SUMIFS(Source_Evolution!$Q$3:$Q$731,Source_Evolution!$A$3:$A$731,$A22)</f>
        <v/>
      </c>
      <c r="R22" s="17">
        <f>SUM(E22:Q22)</f>
        <v/>
      </c>
      <c r="S22" s="17">
        <f>Q22</f>
        <v/>
      </c>
      <c r="T22">
        <f>IF(B22="Software",1,0)</f>
        <v/>
      </c>
      <c r="U22" s="18">
        <f>SUMPRODUCT((Source_Evolution!$A$3:$A$731=$A22)*(Source_Evolution!$E$3:$E$731&gt;0))</f>
        <v/>
      </c>
      <c r="V22" s="18">
        <f>SUMPRODUCT((Source_Evolution!$A$3:$A$731=$A22)*(Source_Evolution!$F$3:$F$731&gt;0))</f>
        <v/>
      </c>
      <c r="W22" s="18">
        <f>SUMPRODUCT((Source_Evolution!$A$3:$A$731=$A22)*(Source_Evolution!$G$3:$G$731&gt;0))</f>
        <v/>
      </c>
      <c r="X22" s="18">
        <f>SUMPRODUCT((Source_Evolution!$A$3:$A$731=$A22)*(Source_Evolution!$H$3:$H$731&gt;0))</f>
        <v/>
      </c>
      <c r="Y22" s="18">
        <f>SUMPRODUCT((Source_Evolution!$A$3:$A$731=$A22)*(Source_Evolution!$I$3:$I$731&gt;0))</f>
        <v/>
      </c>
      <c r="Z22" s="18">
        <f>SUMPRODUCT((Source_Evolution!$A$3:$A$731=$A22)*(Source_Evolution!$J$3:$J$731&gt;0))</f>
        <v/>
      </c>
      <c r="AA22" s="18">
        <f>SUMPRODUCT((Source_Evolution!$A$3:$A$731=$A22)*(Source_Evolution!$K$3:$K$731&gt;0))</f>
        <v/>
      </c>
      <c r="AB22" s="18">
        <f>SUMPRODUCT((Source_Evolution!$A$3:$A$731=$A22)*(Source_Evolution!$L$3:$L$731&gt;0))</f>
        <v/>
      </c>
      <c r="AC22" s="18">
        <f>SUMPRODUCT((Source_Evolution!$A$3:$A$731=$A22)*(Source_Evolution!$M$3:$M$731&gt;0))</f>
        <v/>
      </c>
      <c r="AD22" s="18">
        <f>SUMPRODUCT((Source_Evolution!$A$3:$A$731=$A22)*(Source_Evolution!$N$3:$N$731&gt;0))</f>
        <v/>
      </c>
      <c r="AE22" s="18">
        <f>SUMPRODUCT((Source_Evolution!$A$3:$A$731=$A22)*(Source_Evolution!$O$3:$O$731&gt;0))</f>
        <v/>
      </c>
      <c r="AF22" s="18">
        <f>SUMPRODUCT((Source_Evolution!$A$3:$A$731=$A22)*(Source_Evolution!$P$3:$P$731&gt;0))</f>
        <v/>
      </c>
      <c r="AG22" s="18">
        <f>SUMPRODUCT((Source_Evolution!$A$3:$A$731=$A22)*(Source_Evolution!$Q$3:$Q$731&gt;0))</f>
        <v/>
      </c>
    </row>
    <row r="23">
      <c r="A23" t="inlineStr">
        <is>
          <t>Company 117</t>
        </is>
      </c>
      <c r="B23" t="inlineStr">
        <is>
          <t>Software</t>
        </is>
      </c>
      <c r="C23" t="inlineStr">
        <is>
          <t>Switzerland</t>
        </is>
      </c>
      <c r="D23" t="n">
        <v>2014</v>
      </c>
      <c r="E23" s="17">
        <f>SUMIFS(Source_Evolution!$E$3:$E$731,Source_Evolution!$A$3:$A$731,$A23)</f>
        <v/>
      </c>
      <c r="F23" s="17">
        <f>SUMIFS(Source_Evolution!$F$3:$F$731,Source_Evolution!$A$3:$A$731,$A23)</f>
        <v/>
      </c>
      <c r="G23" s="17">
        <f>SUMIFS(Source_Evolution!$G$3:$G$731,Source_Evolution!$A$3:$A$731,$A23)</f>
        <v/>
      </c>
      <c r="H23" s="17">
        <f>SUMIFS(Source_Evolution!$H$3:$H$731,Source_Evolution!$A$3:$A$731,$A23)</f>
        <v/>
      </c>
      <c r="I23" s="17">
        <f>SUMIFS(Source_Evolution!$I$3:$I$731,Source_Evolution!$A$3:$A$731,$A23)</f>
        <v/>
      </c>
      <c r="J23" s="17">
        <f>SUMIFS(Source_Evolution!$J$3:$J$731,Source_Evolution!$A$3:$A$731,$A23)</f>
        <v/>
      </c>
      <c r="K23" s="17">
        <f>SUMIFS(Source_Evolution!$K$3:$K$731,Source_Evolution!$A$3:$A$731,$A23)</f>
        <v/>
      </c>
      <c r="L23" s="17">
        <f>SUMIFS(Source_Evolution!$L$3:$L$731,Source_Evolution!$A$3:$A$731,$A23)</f>
        <v/>
      </c>
      <c r="M23" s="17">
        <f>SUMIFS(Source_Evolution!$M$3:$M$731,Source_Evolution!$A$3:$A$731,$A23)</f>
        <v/>
      </c>
      <c r="N23" s="17">
        <f>SUMIFS(Source_Evolution!$N$3:$N$731,Source_Evolution!$A$3:$A$731,$A23)</f>
        <v/>
      </c>
      <c r="O23" s="17">
        <f>SUMIFS(Source_Evolution!$O$3:$O$731,Source_Evolution!$A$3:$A$731,$A23)</f>
        <v/>
      </c>
      <c r="P23" s="17">
        <f>SUMIFS(Source_Evolution!$P$3:$P$731,Source_Evolution!$A$3:$A$731,$A23)</f>
        <v/>
      </c>
      <c r="Q23" s="17">
        <f>SUMIFS(Source_Evolution!$Q$3:$Q$731,Source_Evolution!$A$3:$A$731,$A23)</f>
        <v/>
      </c>
      <c r="R23" s="17">
        <f>SUM(E23:Q23)</f>
        <v/>
      </c>
      <c r="S23" s="17">
        <f>Q23</f>
        <v/>
      </c>
      <c r="T23">
        <f>IF(B23="Software",1,0)</f>
        <v/>
      </c>
      <c r="U23" s="18">
        <f>SUMPRODUCT((Source_Evolution!$A$3:$A$731=$A23)*(Source_Evolution!$E$3:$E$731&gt;0))</f>
        <v/>
      </c>
      <c r="V23" s="18">
        <f>SUMPRODUCT((Source_Evolution!$A$3:$A$731=$A23)*(Source_Evolution!$F$3:$F$731&gt;0))</f>
        <v/>
      </c>
      <c r="W23" s="18">
        <f>SUMPRODUCT((Source_Evolution!$A$3:$A$731=$A23)*(Source_Evolution!$G$3:$G$731&gt;0))</f>
        <v/>
      </c>
      <c r="X23" s="18">
        <f>SUMPRODUCT((Source_Evolution!$A$3:$A$731=$A23)*(Source_Evolution!$H$3:$H$731&gt;0))</f>
        <v/>
      </c>
      <c r="Y23" s="18">
        <f>SUMPRODUCT((Source_Evolution!$A$3:$A$731=$A23)*(Source_Evolution!$I$3:$I$731&gt;0))</f>
        <v/>
      </c>
      <c r="Z23" s="18">
        <f>SUMPRODUCT((Source_Evolution!$A$3:$A$731=$A23)*(Source_Evolution!$J$3:$J$731&gt;0))</f>
        <v/>
      </c>
      <c r="AA23" s="18">
        <f>SUMPRODUCT((Source_Evolution!$A$3:$A$731=$A23)*(Source_Evolution!$K$3:$K$731&gt;0))</f>
        <v/>
      </c>
      <c r="AB23" s="18">
        <f>SUMPRODUCT((Source_Evolution!$A$3:$A$731=$A23)*(Source_Evolution!$L$3:$L$731&gt;0))</f>
        <v/>
      </c>
      <c r="AC23" s="18">
        <f>SUMPRODUCT((Source_Evolution!$A$3:$A$731=$A23)*(Source_Evolution!$M$3:$M$731&gt;0))</f>
        <v/>
      </c>
      <c r="AD23" s="18">
        <f>SUMPRODUCT((Source_Evolution!$A$3:$A$731=$A23)*(Source_Evolution!$N$3:$N$731&gt;0))</f>
        <v/>
      </c>
      <c r="AE23" s="18">
        <f>SUMPRODUCT((Source_Evolution!$A$3:$A$731=$A23)*(Source_Evolution!$O$3:$O$731&gt;0))</f>
        <v/>
      </c>
      <c r="AF23" s="18">
        <f>SUMPRODUCT((Source_Evolution!$A$3:$A$731=$A23)*(Source_Evolution!$P$3:$P$731&gt;0))</f>
        <v/>
      </c>
      <c r="AG23" s="18">
        <f>SUMPRODUCT((Source_Evolution!$A$3:$A$731=$A23)*(Source_Evolution!$Q$3:$Q$731&gt;0))</f>
        <v/>
      </c>
    </row>
    <row r="24">
      <c r="A24" t="inlineStr">
        <is>
          <t>Company 118</t>
        </is>
      </c>
      <c r="B24" t="inlineStr">
        <is>
          <t>Operations</t>
        </is>
      </c>
      <c r="C24" t="inlineStr">
        <is>
          <t>UK</t>
        </is>
      </c>
      <c r="D24" t="n">
        <v>2022</v>
      </c>
      <c r="E24" s="17">
        <f>SUMIFS(Source_Evolution!$E$3:$E$731,Source_Evolution!$A$3:$A$731,$A24)</f>
        <v/>
      </c>
      <c r="F24" s="17">
        <f>SUMIFS(Source_Evolution!$F$3:$F$731,Source_Evolution!$A$3:$A$731,$A24)</f>
        <v/>
      </c>
      <c r="G24" s="17">
        <f>SUMIFS(Source_Evolution!$G$3:$G$731,Source_Evolution!$A$3:$A$731,$A24)</f>
        <v/>
      </c>
      <c r="H24" s="17">
        <f>SUMIFS(Source_Evolution!$H$3:$H$731,Source_Evolution!$A$3:$A$731,$A24)</f>
        <v/>
      </c>
      <c r="I24" s="17">
        <f>SUMIFS(Source_Evolution!$I$3:$I$731,Source_Evolution!$A$3:$A$731,$A24)</f>
        <v/>
      </c>
      <c r="J24" s="17">
        <f>SUMIFS(Source_Evolution!$J$3:$J$731,Source_Evolution!$A$3:$A$731,$A24)</f>
        <v/>
      </c>
      <c r="K24" s="17">
        <f>SUMIFS(Source_Evolution!$K$3:$K$731,Source_Evolution!$A$3:$A$731,$A24)</f>
        <v/>
      </c>
      <c r="L24" s="17">
        <f>SUMIFS(Source_Evolution!$L$3:$L$731,Source_Evolution!$A$3:$A$731,$A24)</f>
        <v/>
      </c>
      <c r="M24" s="17">
        <f>SUMIFS(Source_Evolution!$M$3:$M$731,Source_Evolution!$A$3:$A$731,$A24)</f>
        <v/>
      </c>
      <c r="N24" s="17">
        <f>SUMIFS(Source_Evolution!$N$3:$N$731,Source_Evolution!$A$3:$A$731,$A24)</f>
        <v/>
      </c>
      <c r="O24" s="17">
        <f>SUMIFS(Source_Evolution!$O$3:$O$731,Source_Evolution!$A$3:$A$731,$A24)</f>
        <v/>
      </c>
      <c r="P24" s="17">
        <f>SUMIFS(Source_Evolution!$P$3:$P$731,Source_Evolution!$A$3:$A$731,$A24)</f>
        <v/>
      </c>
      <c r="Q24" s="17">
        <f>SUMIFS(Source_Evolution!$Q$3:$Q$731,Source_Evolution!$A$3:$A$731,$A24)</f>
        <v/>
      </c>
      <c r="R24" s="17">
        <f>SUM(E24:Q24)</f>
        <v/>
      </c>
      <c r="S24" s="17">
        <f>Q24</f>
        <v/>
      </c>
      <c r="T24">
        <f>IF(B24="Software",1,0)</f>
        <v/>
      </c>
      <c r="U24" s="18">
        <f>SUMPRODUCT((Source_Evolution!$A$3:$A$731=$A24)*(Source_Evolution!$E$3:$E$731&gt;0))</f>
        <v/>
      </c>
      <c r="V24" s="18">
        <f>SUMPRODUCT((Source_Evolution!$A$3:$A$731=$A24)*(Source_Evolution!$F$3:$F$731&gt;0))</f>
        <v/>
      </c>
      <c r="W24" s="18">
        <f>SUMPRODUCT((Source_Evolution!$A$3:$A$731=$A24)*(Source_Evolution!$G$3:$G$731&gt;0))</f>
        <v/>
      </c>
      <c r="X24" s="18">
        <f>SUMPRODUCT((Source_Evolution!$A$3:$A$731=$A24)*(Source_Evolution!$H$3:$H$731&gt;0))</f>
        <v/>
      </c>
      <c r="Y24" s="18">
        <f>SUMPRODUCT((Source_Evolution!$A$3:$A$731=$A24)*(Source_Evolution!$I$3:$I$731&gt;0))</f>
        <v/>
      </c>
      <c r="Z24" s="18">
        <f>SUMPRODUCT((Source_Evolution!$A$3:$A$731=$A24)*(Source_Evolution!$J$3:$J$731&gt;0))</f>
        <v/>
      </c>
      <c r="AA24" s="18">
        <f>SUMPRODUCT((Source_Evolution!$A$3:$A$731=$A24)*(Source_Evolution!$K$3:$K$731&gt;0))</f>
        <v/>
      </c>
      <c r="AB24" s="18">
        <f>SUMPRODUCT((Source_Evolution!$A$3:$A$731=$A24)*(Source_Evolution!$L$3:$L$731&gt;0))</f>
        <v/>
      </c>
      <c r="AC24" s="18">
        <f>SUMPRODUCT((Source_Evolution!$A$3:$A$731=$A24)*(Source_Evolution!$M$3:$M$731&gt;0))</f>
        <v/>
      </c>
      <c r="AD24" s="18">
        <f>SUMPRODUCT((Source_Evolution!$A$3:$A$731=$A24)*(Source_Evolution!$N$3:$N$731&gt;0))</f>
        <v/>
      </c>
      <c r="AE24" s="18">
        <f>SUMPRODUCT((Source_Evolution!$A$3:$A$731=$A24)*(Source_Evolution!$O$3:$O$731&gt;0))</f>
        <v/>
      </c>
      <c r="AF24" s="18">
        <f>SUMPRODUCT((Source_Evolution!$A$3:$A$731=$A24)*(Source_Evolution!$P$3:$P$731&gt;0))</f>
        <v/>
      </c>
      <c r="AG24" s="18">
        <f>SUMPRODUCT((Source_Evolution!$A$3:$A$731=$A24)*(Source_Evolution!$Q$3:$Q$731&gt;0))</f>
        <v/>
      </c>
    </row>
    <row r="25">
      <c r="A25" t="inlineStr">
        <is>
          <t>Company 119</t>
        </is>
      </c>
      <c r="B25" t="inlineStr">
        <is>
          <t>Operations</t>
        </is>
      </c>
      <c r="C25" t="inlineStr">
        <is>
          <t>UK</t>
        </is>
      </c>
      <c r="D25" t="n">
        <v>2022</v>
      </c>
      <c r="E25" s="17">
        <f>SUMIFS(Source_Evolution!$E$3:$E$731,Source_Evolution!$A$3:$A$731,$A25)</f>
        <v/>
      </c>
      <c r="F25" s="17">
        <f>SUMIFS(Source_Evolution!$F$3:$F$731,Source_Evolution!$A$3:$A$731,$A25)</f>
        <v/>
      </c>
      <c r="G25" s="17">
        <f>SUMIFS(Source_Evolution!$G$3:$G$731,Source_Evolution!$A$3:$A$731,$A25)</f>
        <v/>
      </c>
      <c r="H25" s="17">
        <f>SUMIFS(Source_Evolution!$H$3:$H$731,Source_Evolution!$A$3:$A$731,$A25)</f>
        <v/>
      </c>
      <c r="I25" s="17">
        <f>SUMIFS(Source_Evolution!$I$3:$I$731,Source_Evolution!$A$3:$A$731,$A25)</f>
        <v/>
      </c>
      <c r="J25" s="17">
        <f>SUMIFS(Source_Evolution!$J$3:$J$731,Source_Evolution!$A$3:$A$731,$A25)</f>
        <v/>
      </c>
      <c r="K25" s="17">
        <f>SUMIFS(Source_Evolution!$K$3:$K$731,Source_Evolution!$A$3:$A$731,$A25)</f>
        <v/>
      </c>
      <c r="L25" s="17">
        <f>SUMIFS(Source_Evolution!$L$3:$L$731,Source_Evolution!$A$3:$A$731,$A25)</f>
        <v/>
      </c>
      <c r="M25" s="17">
        <f>SUMIFS(Source_Evolution!$M$3:$M$731,Source_Evolution!$A$3:$A$731,$A25)</f>
        <v/>
      </c>
      <c r="N25" s="17">
        <f>SUMIFS(Source_Evolution!$N$3:$N$731,Source_Evolution!$A$3:$A$731,$A25)</f>
        <v/>
      </c>
      <c r="O25" s="17">
        <f>SUMIFS(Source_Evolution!$O$3:$O$731,Source_Evolution!$A$3:$A$731,$A25)</f>
        <v/>
      </c>
      <c r="P25" s="17">
        <f>SUMIFS(Source_Evolution!$P$3:$P$731,Source_Evolution!$A$3:$A$731,$A25)</f>
        <v/>
      </c>
      <c r="Q25" s="17">
        <f>SUMIFS(Source_Evolution!$Q$3:$Q$731,Source_Evolution!$A$3:$A$731,$A25)</f>
        <v/>
      </c>
      <c r="R25" s="17">
        <f>SUM(E25:Q25)</f>
        <v/>
      </c>
      <c r="S25" s="17">
        <f>Q25</f>
        <v/>
      </c>
      <c r="T25">
        <f>IF(B25="Software",1,0)</f>
        <v/>
      </c>
      <c r="U25" s="18">
        <f>SUMPRODUCT((Source_Evolution!$A$3:$A$731=$A25)*(Source_Evolution!$E$3:$E$731&gt;0))</f>
        <v/>
      </c>
      <c r="V25" s="18">
        <f>SUMPRODUCT((Source_Evolution!$A$3:$A$731=$A25)*(Source_Evolution!$F$3:$F$731&gt;0))</f>
        <v/>
      </c>
      <c r="W25" s="18">
        <f>SUMPRODUCT((Source_Evolution!$A$3:$A$731=$A25)*(Source_Evolution!$G$3:$G$731&gt;0))</f>
        <v/>
      </c>
      <c r="X25" s="18">
        <f>SUMPRODUCT((Source_Evolution!$A$3:$A$731=$A25)*(Source_Evolution!$H$3:$H$731&gt;0))</f>
        <v/>
      </c>
      <c r="Y25" s="18">
        <f>SUMPRODUCT((Source_Evolution!$A$3:$A$731=$A25)*(Source_Evolution!$I$3:$I$731&gt;0))</f>
        <v/>
      </c>
      <c r="Z25" s="18">
        <f>SUMPRODUCT((Source_Evolution!$A$3:$A$731=$A25)*(Source_Evolution!$J$3:$J$731&gt;0))</f>
        <v/>
      </c>
      <c r="AA25" s="18">
        <f>SUMPRODUCT((Source_Evolution!$A$3:$A$731=$A25)*(Source_Evolution!$K$3:$K$731&gt;0))</f>
        <v/>
      </c>
      <c r="AB25" s="18">
        <f>SUMPRODUCT((Source_Evolution!$A$3:$A$731=$A25)*(Source_Evolution!$L$3:$L$731&gt;0))</f>
        <v/>
      </c>
      <c r="AC25" s="18">
        <f>SUMPRODUCT((Source_Evolution!$A$3:$A$731=$A25)*(Source_Evolution!$M$3:$M$731&gt;0))</f>
        <v/>
      </c>
      <c r="AD25" s="18">
        <f>SUMPRODUCT((Source_Evolution!$A$3:$A$731=$A25)*(Source_Evolution!$N$3:$N$731&gt;0))</f>
        <v/>
      </c>
      <c r="AE25" s="18">
        <f>SUMPRODUCT((Source_Evolution!$A$3:$A$731=$A25)*(Source_Evolution!$O$3:$O$731&gt;0))</f>
        <v/>
      </c>
      <c r="AF25" s="18">
        <f>SUMPRODUCT((Source_Evolution!$A$3:$A$731=$A25)*(Source_Evolution!$P$3:$P$731&gt;0))</f>
        <v/>
      </c>
      <c r="AG25" s="18">
        <f>SUMPRODUCT((Source_Evolution!$A$3:$A$731=$A25)*(Source_Evolution!$Q$3:$Q$731&gt;0))</f>
        <v/>
      </c>
    </row>
    <row r="26">
      <c r="A26" t="inlineStr">
        <is>
          <t>Company 12</t>
        </is>
      </c>
      <c r="B26" t="inlineStr">
        <is>
          <t>Operations</t>
        </is>
      </c>
      <c r="C26" t="inlineStr">
        <is>
          <t>Netherlands</t>
        </is>
      </c>
      <c r="D26" t="n">
        <v>2015</v>
      </c>
      <c r="E26" s="17">
        <f>SUMIFS(Source_Evolution!$E$3:$E$731,Source_Evolution!$A$3:$A$731,$A26)</f>
        <v/>
      </c>
      <c r="F26" s="17">
        <f>SUMIFS(Source_Evolution!$F$3:$F$731,Source_Evolution!$A$3:$A$731,$A26)</f>
        <v/>
      </c>
      <c r="G26" s="17">
        <f>SUMIFS(Source_Evolution!$G$3:$G$731,Source_Evolution!$A$3:$A$731,$A26)</f>
        <v/>
      </c>
      <c r="H26" s="17">
        <f>SUMIFS(Source_Evolution!$H$3:$H$731,Source_Evolution!$A$3:$A$731,$A26)</f>
        <v/>
      </c>
      <c r="I26" s="17">
        <f>SUMIFS(Source_Evolution!$I$3:$I$731,Source_Evolution!$A$3:$A$731,$A26)</f>
        <v/>
      </c>
      <c r="J26" s="17">
        <f>SUMIFS(Source_Evolution!$J$3:$J$731,Source_Evolution!$A$3:$A$731,$A26)</f>
        <v/>
      </c>
      <c r="K26" s="17">
        <f>SUMIFS(Source_Evolution!$K$3:$K$731,Source_Evolution!$A$3:$A$731,$A26)</f>
        <v/>
      </c>
      <c r="L26" s="17">
        <f>SUMIFS(Source_Evolution!$L$3:$L$731,Source_Evolution!$A$3:$A$731,$A26)</f>
        <v/>
      </c>
      <c r="M26" s="17">
        <f>SUMIFS(Source_Evolution!$M$3:$M$731,Source_Evolution!$A$3:$A$731,$A26)</f>
        <v/>
      </c>
      <c r="N26" s="17">
        <f>SUMIFS(Source_Evolution!$N$3:$N$731,Source_Evolution!$A$3:$A$731,$A26)</f>
        <v/>
      </c>
      <c r="O26" s="17">
        <f>SUMIFS(Source_Evolution!$O$3:$O$731,Source_Evolution!$A$3:$A$731,$A26)</f>
        <v/>
      </c>
      <c r="P26" s="17">
        <f>SUMIFS(Source_Evolution!$P$3:$P$731,Source_Evolution!$A$3:$A$731,$A26)</f>
        <v/>
      </c>
      <c r="Q26" s="17">
        <f>SUMIFS(Source_Evolution!$Q$3:$Q$731,Source_Evolution!$A$3:$A$731,$A26)</f>
        <v/>
      </c>
      <c r="R26" s="17">
        <f>SUM(E26:Q26)</f>
        <v/>
      </c>
      <c r="S26" s="17">
        <f>Q26</f>
        <v/>
      </c>
      <c r="T26">
        <f>IF(B26="Software",1,0)</f>
        <v/>
      </c>
      <c r="U26" s="18">
        <f>SUMPRODUCT((Source_Evolution!$A$3:$A$731=$A26)*(Source_Evolution!$E$3:$E$731&gt;0))</f>
        <v/>
      </c>
      <c r="V26" s="18">
        <f>SUMPRODUCT((Source_Evolution!$A$3:$A$731=$A26)*(Source_Evolution!$F$3:$F$731&gt;0))</f>
        <v/>
      </c>
      <c r="W26" s="18">
        <f>SUMPRODUCT((Source_Evolution!$A$3:$A$731=$A26)*(Source_Evolution!$G$3:$G$731&gt;0))</f>
        <v/>
      </c>
      <c r="X26" s="18">
        <f>SUMPRODUCT((Source_Evolution!$A$3:$A$731=$A26)*(Source_Evolution!$H$3:$H$731&gt;0))</f>
        <v/>
      </c>
      <c r="Y26" s="18">
        <f>SUMPRODUCT((Source_Evolution!$A$3:$A$731=$A26)*(Source_Evolution!$I$3:$I$731&gt;0))</f>
        <v/>
      </c>
      <c r="Z26" s="18">
        <f>SUMPRODUCT((Source_Evolution!$A$3:$A$731=$A26)*(Source_Evolution!$J$3:$J$731&gt;0))</f>
        <v/>
      </c>
      <c r="AA26" s="18">
        <f>SUMPRODUCT((Source_Evolution!$A$3:$A$731=$A26)*(Source_Evolution!$K$3:$K$731&gt;0))</f>
        <v/>
      </c>
      <c r="AB26" s="18">
        <f>SUMPRODUCT((Source_Evolution!$A$3:$A$731=$A26)*(Source_Evolution!$L$3:$L$731&gt;0))</f>
        <v/>
      </c>
      <c r="AC26" s="18">
        <f>SUMPRODUCT((Source_Evolution!$A$3:$A$731=$A26)*(Source_Evolution!$M$3:$M$731&gt;0))</f>
        <v/>
      </c>
      <c r="AD26" s="18">
        <f>SUMPRODUCT((Source_Evolution!$A$3:$A$731=$A26)*(Source_Evolution!$N$3:$N$731&gt;0))</f>
        <v/>
      </c>
      <c r="AE26" s="18">
        <f>SUMPRODUCT((Source_Evolution!$A$3:$A$731=$A26)*(Source_Evolution!$O$3:$O$731&gt;0))</f>
        <v/>
      </c>
      <c r="AF26" s="18">
        <f>SUMPRODUCT((Source_Evolution!$A$3:$A$731=$A26)*(Source_Evolution!$P$3:$P$731&gt;0))</f>
        <v/>
      </c>
      <c r="AG26" s="18">
        <f>SUMPRODUCT((Source_Evolution!$A$3:$A$731=$A26)*(Source_Evolution!$Q$3:$Q$731&gt;0))</f>
        <v/>
      </c>
    </row>
    <row r="27">
      <c r="A27" t="inlineStr">
        <is>
          <t>Company 120</t>
        </is>
      </c>
      <c r="B27" t="inlineStr">
        <is>
          <t>Operations</t>
        </is>
      </c>
      <c r="C27" t="inlineStr">
        <is>
          <t>Ireland</t>
        </is>
      </c>
      <c r="D27" t="n">
        <v>2023</v>
      </c>
      <c r="E27" s="17">
        <f>SUMIFS(Source_Evolution!$E$3:$E$731,Source_Evolution!$A$3:$A$731,$A27)</f>
        <v/>
      </c>
      <c r="F27" s="17">
        <f>SUMIFS(Source_Evolution!$F$3:$F$731,Source_Evolution!$A$3:$A$731,$A27)</f>
        <v/>
      </c>
      <c r="G27" s="17">
        <f>SUMIFS(Source_Evolution!$G$3:$G$731,Source_Evolution!$A$3:$A$731,$A27)</f>
        <v/>
      </c>
      <c r="H27" s="17">
        <f>SUMIFS(Source_Evolution!$H$3:$H$731,Source_Evolution!$A$3:$A$731,$A27)</f>
        <v/>
      </c>
      <c r="I27" s="17">
        <f>SUMIFS(Source_Evolution!$I$3:$I$731,Source_Evolution!$A$3:$A$731,$A27)</f>
        <v/>
      </c>
      <c r="J27" s="17">
        <f>SUMIFS(Source_Evolution!$J$3:$J$731,Source_Evolution!$A$3:$A$731,$A27)</f>
        <v/>
      </c>
      <c r="K27" s="17">
        <f>SUMIFS(Source_Evolution!$K$3:$K$731,Source_Evolution!$A$3:$A$731,$A27)</f>
        <v/>
      </c>
      <c r="L27" s="17">
        <f>SUMIFS(Source_Evolution!$L$3:$L$731,Source_Evolution!$A$3:$A$731,$A27)</f>
        <v/>
      </c>
      <c r="M27" s="17">
        <f>SUMIFS(Source_Evolution!$M$3:$M$731,Source_Evolution!$A$3:$A$731,$A27)</f>
        <v/>
      </c>
      <c r="N27" s="17">
        <f>SUMIFS(Source_Evolution!$N$3:$N$731,Source_Evolution!$A$3:$A$731,$A27)</f>
        <v/>
      </c>
      <c r="O27" s="17">
        <f>SUMIFS(Source_Evolution!$O$3:$O$731,Source_Evolution!$A$3:$A$731,$A27)</f>
        <v/>
      </c>
      <c r="P27" s="17">
        <f>SUMIFS(Source_Evolution!$P$3:$P$731,Source_Evolution!$A$3:$A$731,$A27)</f>
        <v/>
      </c>
      <c r="Q27" s="17">
        <f>SUMIFS(Source_Evolution!$Q$3:$Q$731,Source_Evolution!$A$3:$A$731,$A27)</f>
        <v/>
      </c>
      <c r="R27" s="17">
        <f>SUM(E27:Q27)</f>
        <v/>
      </c>
      <c r="S27" s="17">
        <f>Q27</f>
        <v/>
      </c>
      <c r="T27">
        <f>IF(B27="Software",1,0)</f>
        <v/>
      </c>
      <c r="U27" s="18">
        <f>SUMPRODUCT((Source_Evolution!$A$3:$A$731=$A27)*(Source_Evolution!$E$3:$E$731&gt;0))</f>
        <v/>
      </c>
      <c r="V27" s="18">
        <f>SUMPRODUCT((Source_Evolution!$A$3:$A$731=$A27)*(Source_Evolution!$F$3:$F$731&gt;0))</f>
        <v/>
      </c>
      <c r="W27" s="18">
        <f>SUMPRODUCT((Source_Evolution!$A$3:$A$731=$A27)*(Source_Evolution!$G$3:$G$731&gt;0))</f>
        <v/>
      </c>
      <c r="X27" s="18">
        <f>SUMPRODUCT((Source_Evolution!$A$3:$A$731=$A27)*(Source_Evolution!$H$3:$H$731&gt;0))</f>
        <v/>
      </c>
      <c r="Y27" s="18">
        <f>SUMPRODUCT((Source_Evolution!$A$3:$A$731=$A27)*(Source_Evolution!$I$3:$I$731&gt;0))</f>
        <v/>
      </c>
      <c r="Z27" s="18">
        <f>SUMPRODUCT((Source_Evolution!$A$3:$A$731=$A27)*(Source_Evolution!$J$3:$J$731&gt;0))</f>
        <v/>
      </c>
      <c r="AA27" s="18">
        <f>SUMPRODUCT((Source_Evolution!$A$3:$A$731=$A27)*(Source_Evolution!$K$3:$K$731&gt;0))</f>
        <v/>
      </c>
      <c r="AB27" s="18">
        <f>SUMPRODUCT((Source_Evolution!$A$3:$A$731=$A27)*(Source_Evolution!$L$3:$L$731&gt;0))</f>
        <v/>
      </c>
      <c r="AC27" s="18">
        <f>SUMPRODUCT((Source_Evolution!$A$3:$A$731=$A27)*(Source_Evolution!$M$3:$M$731&gt;0))</f>
        <v/>
      </c>
      <c r="AD27" s="18">
        <f>SUMPRODUCT((Source_Evolution!$A$3:$A$731=$A27)*(Source_Evolution!$N$3:$N$731&gt;0))</f>
        <v/>
      </c>
      <c r="AE27" s="18">
        <f>SUMPRODUCT((Source_Evolution!$A$3:$A$731=$A27)*(Source_Evolution!$O$3:$O$731&gt;0))</f>
        <v/>
      </c>
      <c r="AF27" s="18">
        <f>SUMPRODUCT((Source_Evolution!$A$3:$A$731=$A27)*(Source_Evolution!$P$3:$P$731&gt;0))</f>
        <v/>
      </c>
      <c r="AG27" s="18">
        <f>SUMPRODUCT((Source_Evolution!$A$3:$A$731=$A27)*(Source_Evolution!$Q$3:$Q$731&gt;0))</f>
        <v/>
      </c>
    </row>
    <row r="28">
      <c r="A28" t="inlineStr">
        <is>
          <t>Company 121</t>
        </is>
      </c>
      <c r="B28" t="inlineStr">
        <is>
          <t>Operations</t>
        </is>
      </c>
      <c r="C28" t="inlineStr">
        <is>
          <t>Netherlands</t>
        </is>
      </c>
      <c r="D28" t="n">
        <v>2023</v>
      </c>
      <c r="E28" s="17">
        <f>SUMIFS(Source_Evolution!$E$3:$E$731,Source_Evolution!$A$3:$A$731,$A28)</f>
        <v/>
      </c>
      <c r="F28" s="17">
        <f>SUMIFS(Source_Evolution!$F$3:$F$731,Source_Evolution!$A$3:$A$731,$A28)</f>
        <v/>
      </c>
      <c r="G28" s="17">
        <f>SUMIFS(Source_Evolution!$G$3:$G$731,Source_Evolution!$A$3:$A$731,$A28)</f>
        <v/>
      </c>
      <c r="H28" s="17">
        <f>SUMIFS(Source_Evolution!$H$3:$H$731,Source_Evolution!$A$3:$A$731,$A28)</f>
        <v/>
      </c>
      <c r="I28" s="17">
        <f>SUMIFS(Source_Evolution!$I$3:$I$731,Source_Evolution!$A$3:$A$731,$A28)</f>
        <v/>
      </c>
      <c r="J28" s="17">
        <f>SUMIFS(Source_Evolution!$J$3:$J$731,Source_Evolution!$A$3:$A$731,$A28)</f>
        <v/>
      </c>
      <c r="K28" s="17">
        <f>SUMIFS(Source_Evolution!$K$3:$K$731,Source_Evolution!$A$3:$A$731,$A28)</f>
        <v/>
      </c>
      <c r="L28" s="17">
        <f>SUMIFS(Source_Evolution!$L$3:$L$731,Source_Evolution!$A$3:$A$731,$A28)</f>
        <v/>
      </c>
      <c r="M28" s="17">
        <f>SUMIFS(Source_Evolution!$M$3:$M$731,Source_Evolution!$A$3:$A$731,$A28)</f>
        <v/>
      </c>
      <c r="N28" s="17">
        <f>SUMIFS(Source_Evolution!$N$3:$N$731,Source_Evolution!$A$3:$A$731,$A28)</f>
        <v/>
      </c>
      <c r="O28" s="17">
        <f>SUMIFS(Source_Evolution!$O$3:$O$731,Source_Evolution!$A$3:$A$731,$A28)</f>
        <v/>
      </c>
      <c r="P28" s="17">
        <f>SUMIFS(Source_Evolution!$P$3:$P$731,Source_Evolution!$A$3:$A$731,$A28)</f>
        <v/>
      </c>
      <c r="Q28" s="17">
        <f>SUMIFS(Source_Evolution!$Q$3:$Q$731,Source_Evolution!$A$3:$A$731,$A28)</f>
        <v/>
      </c>
      <c r="R28" s="17">
        <f>SUM(E28:Q28)</f>
        <v/>
      </c>
      <c r="S28" s="17">
        <f>Q28</f>
        <v/>
      </c>
      <c r="T28">
        <f>IF(B28="Software",1,0)</f>
        <v/>
      </c>
      <c r="U28" s="18">
        <f>SUMPRODUCT((Source_Evolution!$A$3:$A$731=$A28)*(Source_Evolution!$E$3:$E$731&gt;0))</f>
        <v/>
      </c>
      <c r="V28" s="18">
        <f>SUMPRODUCT((Source_Evolution!$A$3:$A$731=$A28)*(Source_Evolution!$F$3:$F$731&gt;0))</f>
        <v/>
      </c>
      <c r="W28" s="18">
        <f>SUMPRODUCT((Source_Evolution!$A$3:$A$731=$A28)*(Source_Evolution!$G$3:$G$731&gt;0))</f>
        <v/>
      </c>
      <c r="X28" s="18">
        <f>SUMPRODUCT((Source_Evolution!$A$3:$A$731=$A28)*(Source_Evolution!$H$3:$H$731&gt;0))</f>
        <v/>
      </c>
      <c r="Y28" s="18">
        <f>SUMPRODUCT((Source_Evolution!$A$3:$A$731=$A28)*(Source_Evolution!$I$3:$I$731&gt;0))</f>
        <v/>
      </c>
      <c r="Z28" s="18">
        <f>SUMPRODUCT((Source_Evolution!$A$3:$A$731=$A28)*(Source_Evolution!$J$3:$J$731&gt;0))</f>
        <v/>
      </c>
      <c r="AA28" s="18">
        <f>SUMPRODUCT((Source_Evolution!$A$3:$A$731=$A28)*(Source_Evolution!$K$3:$K$731&gt;0))</f>
        <v/>
      </c>
      <c r="AB28" s="18">
        <f>SUMPRODUCT((Source_Evolution!$A$3:$A$731=$A28)*(Source_Evolution!$L$3:$L$731&gt;0))</f>
        <v/>
      </c>
      <c r="AC28" s="18">
        <f>SUMPRODUCT((Source_Evolution!$A$3:$A$731=$A28)*(Source_Evolution!$M$3:$M$731&gt;0))</f>
        <v/>
      </c>
      <c r="AD28" s="18">
        <f>SUMPRODUCT((Source_Evolution!$A$3:$A$731=$A28)*(Source_Evolution!$N$3:$N$731&gt;0))</f>
        <v/>
      </c>
      <c r="AE28" s="18">
        <f>SUMPRODUCT((Source_Evolution!$A$3:$A$731=$A28)*(Source_Evolution!$O$3:$O$731&gt;0))</f>
        <v/>
      </c>
      <c r="AF28" s="18">
        <f>SUMPRODUCT((Source_Evolution!$A$3:$A$731=$A28)*(Source_Evolution!$P$3:$P$731&gt;0))</f>
        <v/>
      </c>
      <c r="AG28" s="18">
        <f>SUMPRODUCT((Source_Evolution!$A$3:$A$731=$A28)*(Source_Evolution!$Q$3:$Q$731&gt;0))</f>
        <v/>
      </c>
    </row>
    <row r="29">
      <c r="A29" t="inlineStr">
        <is>
          <t>Company 122</t>
        </is>
      </c>
      <c r="B29" t="inlineStr">
        <is>
          <t>Operations</t>
        </is>
      </c>
      <c r="C29" t="inlineStr">
        <is>
          <t>Luxembourg</t>
        </is>
      </c>
      <c r="D29" t="n">
        <v>2023</v>
      </c>
      <c r="E29" s="17">
        <f>SUMIFS(Source_Evolution!$E$3:$E$731,Source_Evolution!$A$3:$A$731,$A29)</f>
        <v/>
      </c>
      <c r="F29" s="17">
        <f>SUMIFS(Source_Evolution!$F$3:$F$731,Source_Evolution!$A$3:$A$731,$A29)</f>
        <v/>
      </c>
      <c r="G29" s="17">
        <f>SUMIFS(Source_Evolution!$G$3:$G$731,Source_Evolution!$A$3:$A$731,$A29)</f>
        <v/>
      </c>
      <c r="H29" s="17">
        <f>SUMIFS(Source_Evolution!$H$3:$H$731,Source_Evolution!$A$3:$A$731,$A29)</f>
        <v/>
      </c>
      <c r="I29" s="17">
        <f>SUMIFS(Source_Evolution!$I$3:$I$731,Source_Evolution!$A$3:$A$731,$A29)</f>
        <v/>
      </c>
      <c r="J29" s="17">
        <f>SUMIFS(Source_Evolution!$J$3:$J$731,Source_Evolution!$A$3:$A$731,$A29)</f>
        <v/>
      </c>
      <c r="K29" s="17">
        <f>SUMIFS(Source_Evolution!$K$3:$K$731,Source_Evolution!$A$3:$A$731,$A29)</f>
        <v/>
      </c>
      <c r="L29" s="17">
        <f>SUMIFS(Source_Evolution!$L$3:$L$731,Source_Evolution!$A$3:$A$731,$A29)</f>
        <v/>
      </c>
      <c r="M29" s="17">
        <f>SUMIFS(Source_Evolution!$M$3:$M$731,Source_Evolution!$A$3:$A$731,$A29)</f>
        <v/>
      </c>
      <c r="N29" s="17">
        <f>SUMIFS(Source_Evolution!$N$3:$N$731,Source_Evolution!$A$3:$A$731,$A29)</f>
        <v/>
      </c>
      <c r="O29" s="17">
        <f>SUMIFS(Source_Evolution!$O$3:$O$731,Source_Evolution!$A$3:$A$731,$A29)</f>
        <v/>
      </c>
      <c r="P29" s="17">
        <f>SUMIFS(Source_Evolution!$P$3:$P$731,Source_Evolution!$A$3:$A$731,$A29)</f>
        <v/>
      </c>
      <c r="Q29" s="17">
        <f>SUMIFS(Source_Evolution!$Q$3:$Q$731,Source_Evolution!$A$3:$A$731,$A29)</f>
        <v/>
      </c>
      <c r="R29" s="17">
        <f>SUM(E29:Q29)</f>
        <v/>
      </c>
      <c r="S29" s="17">
        <f>Q29</f>
        <v/>
      </c>
      <c r="T29">
        <f>IF(B29="Software",1,0)</f>
        <v/>
      </c>
      <c r="U29" s="18">
        <f>SUMPRODUCT((Source_Evolution!$A$3:$A$731=$A29)*(Source_Evolution!$E$3:$E$731&gt;0))</f>
        <v/>
      </c>
      <c r="V29" s="18">
        <f>SUMPRODUCT((Source_Evolution!$A$3:$A$731=$A29)*(Source_Evolution!$F$3:$F$731&gt;0))</f>
        <v/>
      </c>
      <c r="W29" s="18">
        <f>SUMPRODUCT((Source_Evolution!$A$3:$A$731=$A29)*(Source_Evolution!$G$3:$G$731&gt;0))</f>
        <v/>
      </c>
      <c r="X29" s="18">
        <f>SUMPRODUCT((Source_Evolution!$A$3:$A$731=$A29)*(Source_Evolution!$H$3:$H$731&gt;0))</f>
        <v/>
      </c>
      <c r="Y29" s="18">
        <f>SUMPRODUCT((Source_Evolution!$A$3:$A$731=$A29)*(Source_Evolution!$I$3:$I$731&gt;0))</f>
        <v/>
      </c>
      <c r="Z29" s="18">
        <f>SUMPRODUCT((Source_Evolution!$A$3:$A$731=$A29)*(Source_Evolution!$J$3:$J$731&gt;0))</f>
        <v/>
      </c>
      <c r="AA29" s="18">
        <f>SUMPRODUCT((Source_Evolution!$A$3:$A$731=$A29)*(Source_Evolution!$K$3:$K$731&gt;0))</f>
        <v/>
      </c>
      <c r="AB29" s="18">
        <f>SUMPRODUCT((Source_Evolution!$A$3:$A$731=$A29)*(Source_Evolution!$L$3:$L$731&gt;0))</f>
        <v/>
      </c>
      <c r="AC29" s="18">
        <f>SUMPRODUCT((Source_Evolution!$A$3:$A$731=$A29)*(Source_Evolution!$M$3:$M$731&gt;0))</f>
        <v/>
      </c>
      <c r="AD29" s="18">
        <f>SUMPRODUCT((Source_Evolution!$A$3:$A$731=$A29)*(Source_Evolution!$N$3:$N$731&gt;0))</f>
        <v/>
      </c>
      <c r="AE29" s="18">
        <f>SUMPRODUCT((Source_Evolution!$A$3:$A$731=$A29)*(Source_Evolution!$O$3:$O$731&gt;0))</f>
        <v/>
      </c>
      <c r="AF29" s="18">
        <f>SUMPRODUCT((Source_Evolution!$A$3:$A$731=$A29)*(Source_Evolution!$P$3:$P$731&gt;0))</f>
        <v/>
      </c>
      <c r="AG29" s="18">
        <f>SUMPRODUCT((Source_Evolution!$A$3:$A$731=$A29)*(Source_Evolution!$Q$3:$Q$731&gt;0))</f>
        <v/>
      </c>
    </row>
    <row r="30">
      <c r="A30" t="inlineStr">
        <is>
          <t>Company 123</t>
        </is>
      </c>
      <c r="B30" t="inlineStr">
        <is>
          <t>Software</t>
        </is>
      </c>
      <c r="C30" t="inlineStr">
        <is>
          <t>Switzerland</t>
        </is>
      </c>
      <c r="D30" t="n">
        <v>2023</v>
      </c>
      <c r="E30" s="17">
        <f>SUMIFS(Source_Evolution!$E$3:$E$731,Source_Evolution!$A$3:$A$731,$A30)</f>
        <v/>
      </c>
      <c r="F30" s="17">
        <f>SUMIFS(Source_Evolution!$F$3:$F$731,Source_Evolution!$A$3:$A$731,$A30)</f>
        <v/>
      </c>
      <c r="G30" s="17">
        <f>SUMIFS(Source_Evolution!$G$3:$G$731,Source_Evolution!$A$3:$A$731,$A30)</f>
        <v/>
      </c>
      <c r="H30" s="17">
        <f>SUMIFS(Source_Evolution!$H$3:$H$731,Source_Evolution!$A$3:$A$731,$A30)</f>
        <v/>
      </c>
      <c r="I30" s="17">
        <f>SUMIFS(Source_Evolution!$I$3:$I$731,Source_Evolution!$A$3:$A$731,$A30)</f>
        <v/>
      </c>
      <c r="J30" s="17">
        <f>SUMIFS(Source_Evolution!$J$3:$J$731,Source_Evolution!$A$3:$A$731,$A30)</f>
        <v/>
      </c>
      <c r="K30" s="17">
        <f>SUMIFS(Source_Evolution!$K$3:$K$731,Source_Evolution!$A$3:$A$731,$A30)</f>
        <v/>
      </c>
      <c r="L30" s="17">
        <f>SUMIFS(Source_Evolution!$L$3:$L$731,Source_Evolution!$A$3:$A$731,$A30)</f>
        <v/>
      </c>
      <c r="M30" s="17">
        <f>SUMIFS(Source_Evolution!$M$3:$M$731,Source_Evolution!$A$3:$A$731,$A30)</f>
        <v/>
      </c>
      <c r="N30" s="17">
        <f>SUMIFS(Source_Evolution!$N$3:$N$731,Source_Evolution!$A$3:$A$731,$A30)</f>
        <v/>
      </c>
      <c r="O30" s="17">
        <f>SUMIFS(Source_Evolution!$O$3:$O$731,Source_Evolution!$A$3:$A$731,$A30)</f>
        <v/>
      </c>
      <c r="P30" s="17">
        <f>SUMIFS(Source_Evolution!$P$3:$P$731,Source_Evolution!$A$3:$A$731,$A30)</f>
        <v/>
      </c>
      <c r="Q30" s="17">
        <f>SUMIFS(Source_Evolution!$Q$3:$Q$731,Source_Evolution!$A$3:$A$731,$A30)</f>
        <v/>
      </c>
      <c r="R30" s="17">
        <f>SUM(E30:Q30)</f>
        <v/>
      </c>
      <c r="S30" s="17">
        <f>Q30</f>
        <v/>
      </c>
      <c r="T30">
        <f>IF(B30="Software",1,0)</f>
        <v/>
      </c>
      <c r="U30" s="18">
        <f>SUMPRODUCT((Source_Evolution!$A$3:$A$731=$A30)*(Source_Evolution!$E$3:$E$731&gt;0))</f>
        <v/>
      </c>
      <c r="V30" s="18">
        <f>SUMPRODUCT((Source_Evolution!$A$3:$A$731=$A30)*(Source_Evolution!$F$3:$F$731&gt;0))</f>
        <v/>
      </c>
      <c r="W30" s="18">
        <f>SUMPRODUCT((Source_Evolution!$A$3:$A$731=$A30)*(Source_Evolution!$G$3:$G$731&gt;0))</f>
        <v/>
      </c>
      <c r="X30" s="18">
        <f>SUMPRODUCT((Source_Evolution!$A$3:$A$731=$A30)*(Source_Evolution!$H$3:$H$731&gt;0))</f>
        <v/>
      </c>
      <c r="Y30" s="18">
        <f>SUMPRODUCT((Source_Evolution!$A$3:$A$731=$A30)*(Source_Evolution!$I$3:$I$731&gt;0))</f>
        <v/>
      </c>
      <c r="Z30" s="18">
        <f>SUMPRODUCT((Source_Evolution!$A$3:$A$731=$A30)*(Source_Evolution!$J$3:$J$731&gt;0))</f>
        <v/>
      </c>
      <c r="AA30" s="18">
        <f>SUMPRODUCT((Source_Evolution!$A$3:$A$731=$A30)*(Source_Evolution!$K$3:$K$731&gt;0))</f>
        <v/>
      </c>
      <c r="AB30" s="18">
        <f>SUMPRODUCT((Source_Evolution!$A$3:$A$731=$A30)*(Source_Evolution!$L$3:$L$731&gt;0))</f>
        <v/>
      </c>
      <c r="AC30" s="18">
        <f>SUMPRODUCT((Source_Evolution!$A$3:$A$731=$A30)*(Source_Evolution!$M$3:$M$731&gt;0))</f>
        <v/>
      </c>
      <c r="AD30" s="18">
        <f>SUMPRODUCT((Source_Evolution!$A$3:$A$731=$A30)*(Source_Evolution!$N$3:$N$731&gt;0))</f>
        <v/>
      </c>
      <c r="AE30" s="18">
        <f>SUMPRODUCT((Source_Evolution!$A$3:$A$731=$A30)*(Source_Evolution!$O$3:$O$731&gt;0))</f>
        <v/>
      </c>
      <c r="AF30" s="18">
        <f>SUMPRODUCT((Source_Evolution!$A$3:$A$731=$A30)*(Source_Evolution!$P$3:$P$731&gt;0))</f>
        <v/>
      </c>
      <c r="AG30" s="18">
        <f>SUMPRODUCT((Source_Evolution!$A$3:$A$731=$A30)*(Source_Evolution!$Q$3:$Q$731&gt;0))</f>
        <v/>
      </c>
    </row>
    <row r="31">
      <c r="A31" t="inlineStr">
        <is>
          <t>Company 124</t>
        </is>
      </c>
      <c r="B31" t="inlineStr">
        <is>
          <t>Operations</t>
        </is>
      </c>
      <c r="C31" t="inlineStr">
        <is>
          <t>Switzerland</t>
        </is>
      </c>
      <c r="D31" t="n">
        <v>2023</v>
      </c>
      <c r="E31" s="17">
        <f>SUMIFS(Source_Evolution!$E$3:$E$731,Source_Evolution!$A$3:$A$731,$A31)</f>
        <v/>
      </c>
      <c r="F31" s="17">
        <f>SUMIFS(Source_Evolution!$F$3:$F$731,Source_Evolution!$A$3:$A$731,$A31)</f>
        <v/>
      </c>
      <c r="G31" s="17">
        <f>SUMIFS(Source_Evolution!$G$3:$G$731,Source_Evolution!$A$3:$A$731,$A31)</f>
        <v/>
      </c>
      <c r="H31" s="17">
        <f>SUMIFS(Source_Evolution!$H$3:$H$731,Source_Evolution!$A$3:$A$731,$A31)</f>
        <v/>
      </c>
      <c r="I31" s="17">
        <f>SUMIFS(Source_Evolution!$I$3:$I$731,Source_Evolution!$A$3:$A$731,$A31)</f>
        <v/>
      </c>
      <c r="J31" s="17">
        <f>SUMIFS(Source_Evolution!$J$3:$J$731,Source_Evolution!$A$3:$A$731,$A31)</f>
        <v/>
      </c>
      <c r="K31" s="17">
        <f>SUMIFS(Source_Evolution!$K$3:$K$731,Source_Evolution!$A$3:$A$731,$A31)</f>
        <v/>
      </c>
      <c r="L31" s="17">
        <f>SUMIFS(Source_Evolution!$L$3:$L$731,Source_Evolution!$A$3:$A$731,$A31)</f>
        <v/>
      </c>
      <c r="M31" s="17">
        <f>SUMIFS(Source_Evolution!$M$3:$M$731,Source_Evolution!$A$3:$A$731,$A31)</f>
        <v/>
      </c>
      <c r="N31" s="17">
        <f>SUMIFS(Source_Evolution!$N$3:$N$731,Source_Evolution!$A$3:$A$731,$A31)</f>
        <v/>
      </c>
      <c r="O31" s="17">
        <f>SUMIFS(Source_Evolution!$O$3:$O$731,Source_Evolution!$A$3:$A$731,$A31)</f>
        <v/>
      </c>
      <c r="P31" s="17">
        <f>SUMIFS(Source_Evolution!$P$3:$P$731,Source_Evolution!$A$3:$A$731,$A31)</f>
        <v/>
      </c>
      <c r="Q31" s="17">
        <f>SUMIFS(Source_Evolution!$Q$3:$Q$731,Source_Evolution!$A$3:$A$731,$A31)</f>
        <v/>
      </c>
      <c r="R31" s="17">
        <f>SUM(E31:Q31)</f>
        <v/>
      </c>
      <c r="S31" s="17">
        <f>Q31</f>
        <v/>
      </c>
      <c r="T31">
        <f>IF(B31="Software",1,0)</f>
        <v/>
      </c>
      <c r="U31" s="18">
        <f>SUMPRODUCT((Source_Evolution!$A$3:$A$731=$A31)*(Source_Evolution!$E$3:$E$731&gt;0))</f>
        <v/>
      </c>
      <c r="V31" s="18">
        <f>SUMPRODUCT((Source_Evolution!$A$3:$A$731=$A31)*(Source_Evolution!$F$3:$F$731&gt;0))</f>
        <v/>
      </c>
      <c r="W31" s="18">
        <f>SUMPRODUCT((Source_Evolution!$A$3:$A$731=$A31)*(Source_Evolution!$G$3:$G$731&gt;0))</f>
        <v/>
      </c>
      <c r="X31" s="18">
        <f>SUMPRODUCT((Source_Evolution!$A$3:$A$731=$A31)*(Source_Evolution!$H$3:$H$731&gt;0))</f>
        <v/>
      </c>
      <c r="Y31" s="18">
        <f>SUMPRODUCT((Source_Evolution!$A$3:$A$731=$A31)*(Source_Evolution!$I$3:$I$731&gt;0))</f>
        <v/>
      </c>
      <c r="Z31" s="18">
        <f>SUMPRODUCT((Source_Evolution!$A$3:$A$731=$A31)*(Source_Evolution!$J$3:$J$731&gt;0))</f>
        <v/>
      </c>
      <c r="AA31" s="18">
        <f>SUMPRODUCT((Source_Evolution!$A$3:$A$731=$A31)*(Source_Evolution!$K$3:$K$731&gt;0))</f>
        <v/>
      </c>
      <c r="AB31" s="18">
        <f>SUMPRODUCT((Source_Evolution!$A$3:$A$731=$A31)*(Source_Evolution!$L$3:$L$731&gt;0))</f>
        <v/>
      </c>
      <c r="AC31" s="18">
        <f>SUMPRODUCT((Source_Evolution!$A$3:$A$731=$A31)*(Source_Evolution!$M$3:$M$731&gt;0))</f>
        <v/>
      </c>
      <c r="AD31" s="18">
        <f>SUMPRODUCT((Source_Evolution!$A$3:$A$731=$A31)*(Source_Evolution!$N$3:$N$731&gt;0))</f>
        <v/>
      </c>
      <c r="AE31" s="18">
        <f>SUMPRODUCT((Source_Evolution!$A$3:$A$731=$A31)*(Source_Evolution!$O$3:$O$731&gt;0))</f>
        <v/>
      </c>
      <c r="AF31" s="18">
        <f>SUMPRODUCT((Source_Evolution!$A$3:$A$731=$A31)*(Source_Evolution!$P$3:$P$731&gt;0))</f>
        <v/>
      </c>
      <c r="AG31" s="18">
        <f>SUMPRODUCT((Source_Evolution!$A$3:$A$731=$A31)*(Source_Evolution!$Q$3:$Q$731&gt;0))</f>
        <v/>
      </c>
    </row>
    <row r="32">
      <c r="A32" t="inlineStr">
        <is>
          <t>Company 125</t>
        </is>
      </c>
      <c r="B32" t="inlineStr">
        <is>
          <t>Operations</t>
        </is>
      </c>
      <c r="C32" t="inlineStr">
        <is>
          <t>Ireland</t>
        </is>
      </c>
      <c r="D32" t="n">
        <v>2023</v>
      </c>
      <c r="E32" s="17">
        <f>SUMIFS(Source_Evolution!$E$3:$E$731,Source_Evolution!$A$3:$A$731,$A32)</f>
        <v/>
      </c>
      <c r="F32" s="17">
        <f>SUMIFS(Source_Evolution!$F$3:$F$731,Source_Evolution!$A$3:$A$731,$A32)</f>
        <v/>
      </c>
      <c r="G32" s="17">
        <f>SUMIFS(Source_Evolution!$G$3:$G$731,Source_Evolution!$A$3:$A$731,$A32)</f>
        <v/>
      </c>
      <c r="H32" s="17">
        <f>SUMIFS(Source_Evolution!$H$3:$H$731,Source_Evolution!$A$3:$A$731,$A32)</f>
        <v/>
      </c>
      <c r="I32" s="17">
        <f>SUMIFS(Source_Evolution!$I$3:$I$731,Source_Evolution!$A$3:$A$731,$A32)</f>
        <v/>
      </c>
      <c r="J32" s="17">
        <f>SUMIFS(Source_Evolution!$J$3:$J$731,Source_Evolution!$A$3:$A$731,$A32)</f>
        <v/>
      </c>
      <c r="K32" s="17">
        <f>SUMIFS(Source_Evolution!$K$3:$K$731,Source_Evolution!$A$3:$A$731,$A32)</f>
        <v/>
      </c>
      <c r="L32" s="17">
        <f>SUMIFS(Source_Evolution!$L$3:$L$731,Source_Evolution!$A$3:$A$731,$A32)</f>
        <v/>
      </c>
      <c r="M32" s="17">
        <f>SUMIFS(Source_Evolution!$M$3:$M$731,Source_Evolution!$A$3:$A$731,$A32)</f>
        <v/>
      </c>
      <c r="N32" s="17">
        <f>SUMIFS(Source_Evolution!$N$3:$N$731,Source_Evolution!$A$3:$A$731,$A32)</f>
        <v/>
      </c>
      <c r="O32" s="17">
        <f>SUMIFS(Source_Evolution!$O$3:$O$731,Source_Evolution!$A$3:$A$731,$A32)</f>
        <v/>
      </c>
      <c r="P32" s="17">
        <f>SUMIFS(Source_Evolution!$P$3:$P$731,Source_Evolution!$A$3:$A$731,$A32)</f>
        <v/>
      </c>
      <c r="Q32" s="17">
        <f>SUMIFS(Source_Evolution!$Q$3:$Q$731,Source_Evolution!$A$3:$A$731,$A32)</f>
        <v/>
      </c>
      <c r="R32" s="17">
        <f>SUM(E32:Q32)</f>
        <v/>
      </c>
      <c r="S32" s="17">
        <f>Q32</f>
        <v/>
      </c>
      <c r="T32">
        <f>IF(B32="Software",1,0)</f>
        <v/>
      </c>
      <c r="U32" s="18">
        <f>SUMPRODUCT((Source_Evolution!$A$3:$A$731=$A32)*(Source_Evolution!$E$3:$E$731&gt;0))</f>
        <v/>
      </c>
      <c r="V32" s="18">
        <f>SUMPRODUCT((Source_Evolution!$A$3:$A$731=$A32)*(Source_Evolution!$F$3:$F$731&gt;0))</f>
        <v/>
      </c>
      <c r="W32" s="18">
        <f>SUMPRODUCT((Source_Evolution!$A$3:$A$731=$A32)*(Source_Evolution!$G$3:$G$731&gt;0))</f>
        <v/>
      </c>
      <c r="X32" s="18">
        <f>SUMPRODUCT((Source_Evolution!$A$3:$A$731=$A32)*(Source_Evolution!$H$3:$H$731&gt;0))</f>
        <v/>
      </c>
      <c r="Y32" s="18">
        <f>SUMPRODUCT((Source_Evolution!$A$3:$A$731=$A32)*(Source_Evolution!$I$3:$I$731&gt;0))</f>
        <v/>
      </c>
      <c r="Z32" s="18">
        <f>SUMPRODUCT((Source_Evolution!$A$3:$A$731=$A32)*(Source_Evolution!$J$3:$J$731&gt;0))</f>
        <v/>
      </c>
      <c r="AA32" s="18">
        <f>SUMPRODUCT((Source_Evolution!$A$3:$A$731=$A32)*(Source_Evolution!$K$3:$K$731&gt;0))</f>
        <v/>
      </c>
      <c r="AB32" s="18">
        <f>SUMPRODUCT((Source_Evolution!$A$3:$A$731=$A32)*(Source_Evolution!$L$3:$L$731&gt;0))</f>
        <v/>
      </c>
      <c r="AC32" s="18">
        <f>SUMPRODUCT((Source_Evolution!$A$3:$A$731=$A32)*(Source_Evolution!$M$3:$M$731&gt;0))</f>
        <v/>
      </c>
      <c r="AD32" s="18">
        <f>SUMPRODUCT((Source_Evolution!$A$3:$A$731=$A32)*(Source_Evolution!$N$3:$N$731&gt;0))</f>
        <v/>
      </c>
      <c r="AE32" s="18">
        <f>SUMPRODUCT((Source_Evolution!$A$3:$A$731=$A32)*(Source_Evolution!$O$3:$O$731&gt;0))</f>
        <v/>
      </c>
      <c r="AF32" s="18">
        <f>SUMPRODUCT((Source_Evolution!$A$3:$A$731=$A32)*(Source_Evolution!$P$3:$P$731&gt;0))</f>
        <v/>
      </c>
      <c r="AG32" s="18">
        <f>SUMPRODUCT((Source_Evolution!$A$3:$A$731=$A32)*(Source_Evolution!$Q$3:$Q$731&gt;0))</f>
        <v/>
      </c>
    </row>
    <row r="33">
      <c r="A33" t="inlineStr">
        <is>
          <t>Company 126</t>
        </is>
      </c>
      <c r="B33" t="inlineStr">
        <is>
          <t>Software</t>
        </is>
      </c>
      <c r="C33" t="inlineStr">
        <is>
          <t>UK</t>
        </is>
      </c>
      <c r="D33" t="n">
        <v>2023</v>
      </c>
      <c r="E33" s="17">
        <f>SUMIFS(Source_Evolution!$E$3:$E$731,Source_Evolution!$A$3:$A$731,$A33)</f>
        <v/>
      </c>
      <c r="F33" s="17">
        <f>SUMIFS(Source_Evolution!$F$3:$F$731,Source_Evolution!$A$3:$A$731,$A33)</f>
        <v/>
      </c>
      <c r="G33" s="17">
        <f>SUMIFS(Source_Evolution!$G$3:$G$731,Source_Evolution!$A$3:$A$731,$A33)</f>
        <v/>
      </c>
      <c r="H33" s="17">
        <f>SUMIFS(Source_Evolution!$H$3:$H$731,Source_Evolution!$A$3:$A$731,$A33)</f>
        <v/>
      </c>
      <c r="I33" s="17">
        <f>SUMIFS(Source_Evolution!$I$3:$I$731,Source_Evolution!$A$3:$A$731,$A33)</f>
        <v/>
      </c>
      <c r="J33" s="17">
        <f>SUMIFS(Source_Evolution!$J$3:$J$731,Source_Evolution!$A$3:$A$731,$A33)</f>
        <v/>
      </c>
      <c r="K33" s="17">
        <f>SUMIFS(Source_Evolution!$K$3:$K$731,Source_Evolution!$A$3:$A$731,$A33)</f>
        <v/>
      </c>
      <c r="L33" s="17">
        <f>SUMIFS(Source_Evolution!$L$3:$L$731,Source_Evolution!$A$3:$A$731,$A33)</f>
        <v/>
      </c>
      <c r="M33" s="17">
        <f>SUMIFS(Source_Evolution!$M$3:$M$731,Source_Evolution!$A$3:$A$731,$A33)</f>
        <v/>
      </c>
      <c r="N33" s="17">
        <f>SUMIFS(Source_Evolution!$N$3:$N$731,Source_Evolution!$A$3:$A$731,$A33)</f>
        <v/>
      </c>
      <c r="O33" s="17">
        <f>SUMIFS(Source_Evolution!$O$3:$O$731,Source_Evolution!$A$3:$A$731,$A33)</f>
        <v/>
      </c>
      <c r="P33" s="17">
        <f>SUMIFS(Source_Evolution!$P$3:$P$731,Source_Evolution!$A$3:$A$731,$A33)</f>
        <v/>
      </c>
      <c r="Q33" s="17">
        <f>SUMIFS(Source_Evolution!$Q$3:$Q$731,Source_Evolution!$A$3:$A$731,$A33)</f>
        <v/>
      </c>
      <c r="R33" s="17">
        <f>SUM(E33:Q33)</f>
        <v/>
      </c>
      <c r="S33" s="17">
        <f>Q33</f>
        <v/>
      </c>
      <c r="T33">
        <f>IF(B33="Software",1,0)</f>
        <v/>
      </c>
      <c r="U33" s="18">
        <f>SUMPRODUCT((Source_Evolution!$A$3:$A$731=$A33)*(Source_Evolution!$E$3:$E$731&gt;0))</f>
        <v/>
      </c>
      <c r="V33" s="18">
        <f>SUMPRODUCT((Source_Evolution!$A$3:$A$731=$A33)*(Source_Evolution!$F$3:$F$731&gt;0))</f>
        <v/>
      </c>
      <c r="W33" s="18">
        <f>SUMPRODUCT((Source_Evolution!$A$3:$A$731=$A33)*(Source_Evolution!$G$3:$G$731&gt;0))</f>
        <v/>
      </c>
      <c r="X33" s="18">
        <f>SUMPRODUCT((Source_Evolution!$A$3:$A$731=$A33)*(Source_Evolution!$H$3:$H$731&gt;0))</f>
        <v/>
      </c>
      <c r="Y33" s="18">
        <f>SUMPRODUCT((Source_Evolution!$A$3:$A$731=$A33)*(Source_Evolution!$I$3:$I$731&gt;0))</f>
        <v/>
      </c>
      <c r="Z33" s="18">
        <f>SUMPRODUCT((Source_Evolution!$A$3:$A$731=$A33)*(Source_Evolution!$J$3:$J$731&gt;0))</f>
        <v/>
      </c>
      <c r="AA33" s="18">
        <f>SUMPRODUCT((Source_Evolution!$A$3:$A$731=$A33)*(Source_Evolution!$K$3:$K$731&gt;0))</f>
        <v/>
      </c>
      <c r="AB33" s="18">
        <f>SUMPRODUCT((Source_Evolution!$A$3:$A$731=$A33)*(Source_Evolution!$L$3:$L$731&gt;0))</f>
        <v/>
      </c>
      <c r="AC33" s="18">
        <f>SUMPRODUCT((Source_Evolution!$A$3:$A$731=$A33)*(Source_Evolution!$M$3:$M$731&gt;0))</f>
        <v/>
      </c>
      <c r="AD33" s="18">
        <f>SUMPRODUCT((Source_Evolution!$A$3:$A$731=$A33)*(Source_Evolution!$N$3:$N$731&gt;0))</f>
        <v/>
      </c>
      <c r="AE33" s="18">
        <f>SUMPRODUCT((Source_Evolution!$A$3:$A$731=$A33)*(Source_Evolution!$O$3:$O$731&gt;0))</f>
        <v/>
      </c>
      <c r="AF33" s="18">
        <f>SUMPRODUCT((Source_Evolution!$A$3:$A$731=$A33)*(Source_Evolution!$P$3:$P$731&gt;0))</f>
        <v/>
      </c>
      <c r="AG33" s="18">
        <f>SUMPRODUCT((Source_Evolution!$A$3:$A$731=$A33)*(Source_Evolution!$Q$3:$Q$731&gt;0))</f>
        <v/>
      </c>
    </row>
    <row r="34">
      <c r="A34" t="inlineStr">
        <is>
          <t>Company 127</t>
        </is>
      </c>
      <c r="B34" t="inlineStr">
        <is>
          <t>Software</t>
        </is>
      </c>
      <c r="C34" t="inlineStr">
        <is>
          <t>UK</t>
        </is>
      </c>
      <c r="D34" t="n">
        <v>2014</v>
      </c>
      <c r="E34" s="17">
        <f>SUMIFS(Source_Evolution!$E$3:$E$731,Source_Evolution!$A$3:$A$731,$A34)</f>
        <v/>
      </c>
      <c r="F34" s="17">
        <f>SUMIFS(Source_Evolution!$F$3:$F$731,Source_Evolution!$A$3:$A$731,$A34)</f>
        <v/>
      </c>
      <c r="G34" s="17">
        <f>SUMIFS(Source_Evolution!$G$3:$G$731,Source_Evolution!$A$3:$A$731,$A34)</f>
        <v/>
      </c>
      <c r="H34" s="17">
        <f>SUMIFS(Source_Evolution!$H$3:$H$731,Source_Evolution!$A$3:$A$731,$A34)</f>
        <v/>
      </c>
      <c r="I34" s="17">
        <f>SUMIFS(Source_Evolution!$I$3:$I$731,Source_Evolution!$A$3:$A$731,$A34)</f>
        <v/>
      </c>
      <c r="J34" s="17">
        <f>SUMIFS(Source_Evolution!$J$3:$J$731,Source_Evolution!$A$3:$A$731,$A34)</f>
        <v/>
      </c>
      <c r="K34" s="17">
        <f>SUMIFS(Source_Evolution!$K$3:$K$731,Source_Evolution!$A$3:$A$731,$A34)</f>
        <v/>
      </c>
      <c r="L34" s="17">
        <f>SUMIFS(Source_Evolution!$L$3:$L$731,Source_Evolution!$A$3:$A$731,$A34)</f>
        <v/>
      </c>
      <c r="M34" s="17">
        <f>SUMIFS(Source_Evolution!$M$3:$M$731,Source_Evolution!$A$3:$A$731,$A34)</f>
        <v/>
      </c>
      <c r="N34" s="17">
        <f>SUMIFS(Source_Evolution!$N$3:$N$731,Source_Evolution!$A$3:$A$731,$A34)</f>
        <v/>
      </c>
      <c r="O34" s="17">
        <f>SUMIFS(Source_Evolution!$O$3:$O$731,Source_Evolution!$A$3:$A$731,$A34)</f>
        <v/>
      </c>
      <c r="P34" s="17">
        <f>SUMIFS(Source_Evolution!$P$3:$P$731,Source_Evolution!$A$3:$A$731,$A34)</f>
        <v/>
      </c>
      <c r="Q34" s="17">
        <f>SUMIFS(Source_Evolution!$Q$3:$Q$731,Source_Evolution!$A$3:$A$731,$A34)</f>
        <v/>
      </c>
      <c r="R34" s="17">
        <f>SUM(E34:Q34)</f>
        <v/>
      </c>
      <c r="S34" s="17">
        <f>Q34</f>
        <v/>
      </c>
      <c r="T34">
        <f>IF(B34="Software",1,0)</f>
        <v/>
      </c>
      <c r="U34" s="18">
        <f>SUMPRODUCT((Source_Evolution!$A$3:$A$731=$A34)*(Source_Evolution!$E$3:$E$731&gt;0))</f>
        <v/>
      </c>
      <c r="V34" s="18">
        <f>SUMPRODUCT((Source_Evolution!$A$3:$A$731=$A34)*(Source_Evolution!$F$3:$F$731&gt;0))</f>
        <v/>
      </c>
      <c r="W34" s="18">
        <f>SUMPRODUCT((Source_Evolution!$A$3:$A$731=$A34)*(Source_Evolution!$G$3:$G$731&gt;0))</f>
        <v/>
      </c>
      <c r="X34" s="18">
        <f>SUMPRODUCT((Source_Evolution!$A$3:$A$731=$A34)*(Source_Evolution!$H$3:$H$731&gt;0))</f>
        <v/>
      </c>
      <c r="Y34" s="18">
        <f>SUMPRODUCT((Source_Evolution!$A$3:$A$731=$A34)*(Source_Evolution!$I$3:$I$731&gt;0))</f>
        <v/>
      </c>
      <c r="Z34" s="18">
        <f>SUMPRODUCT((Source_Evolution!$A$3:$A$731=$A34)*(Source_Evolution!$J$3:$J$731&gt;0))</f>
        <v/>
      </c>
      <c r="AA34" s="18">
        <f>SUMPRODUCT((Source_Evolution!$A$3:$A$731=$A34)*(Source_Evolution!$K$3:$K$731&gt;0))</f>
        <v/>
      </c>
      <c r="AB34" s="18">
        <f>SUMPRODUCT((Source_Evolution!$A$3:$A$731=$A34)*(Source_Evolution!$L$3:$L$731&gt;0))</f>
        <v/>
      </c>
      <c r="AC34" s="18">
        <f>SUMPRODUCT((Source_Evolution!$A$3:$A$731=$A34)*(Source_Evolution!$M$3:$M$731&gt;0))</f>
        <v/>
      </c>
      <c r="AD34" s="18">
        <f>SUMPRODUCT((Source_Evolution!$A$3:$A$731=$A34)*(Source_Evolution!$N$3:$N$731&gt;0))</f>
        <v/>
      </c>
      <c r="AE34" s="18">
        <f>SUMPRODUCT((Source_Evolution!$A$3:$A$731=$A34)*(Source_Evolution!$O$3:$O$731&gt;0))</f>
        <v/>
      </c>
      <c r="AF34" s="18">
        <f>SUMPRODUCT((Source_Evolution!$A$3:$A$731=$A34)*(Source_Evolution!$P$3:$P$731&gt;0))</f>
        <v/>
      </c>
      <c r="AG34" s="18">
        <f>SUMPRODUCT((Source_Evolution!$A$3:$A$731=$A34)*(Source_Evolution!$Q$3:$Q$731&gt;0))</f>
        <v/>
      </c>
    </row>
    <row r="35">
      <c r="A35" t="inlineStr">
        <is>
          <t>Company 128</t>
        </is>
      </c>
      <c r="B35" t="inlineStr">
        <is>
          <t>Operations</t>
        </is>
      </c>
      <c r="C35" t="inlineStr">
        <is>
          <t>France</t>
        </is>
      </c>
      <c r="D35" t="n">
        <v>2023</v>
      </c>
      <c r="E35" s="17">
        <f>SUMIFS(Source_Evolution!$E$3:$E$731,Source_Evolution!$A$3:$A$731,$A35)</f>
        <v/>
      </c>
      <c r="F35" s="17">
        <f>SUMIFS(Source_Evolution!$F$3:$F$731,Source_Evolution!$A$3:$A$731,$A35)</f>
        <v/>
      </c>
      <c r="G35" s="17">
        <f>SUMIFS(Source_Evolution!$G$3:$G$731,Source_Evolution!$A$3:$A$731,$A35)</f>
        <v/>
      </c>
      <c r="H35" s="17">
        <f>SUMIFS(Source_Evolution!$H$3:$H$731,Source_Evolution!$A$3:$A$731,$A35)</f>
        <v/>
      </c>
      <c r="I35" s="17">
        <f>SUMIFS(Source_Evolution!$I$3:$I$731,Source_Evolution!$A$3:$A$731,$A35)</f>
        <v/>
      </c>
      <c r="J35" s="17">
        <f>SUMIFS(Source_Evolution!$J$3:$J$731,Source_Evolution!$A$3:$A$731,$A35)</f>
        <v/>
      </c>
      <c r="K35" s="17">
        <f>SUMIFS(Source_Evolution!$K$3:$K$731,Source_Evolution!$A$3:$A$731,$A35)</f>
        <v/>
      </c>
      <c r="L35" s="17">
        <f>SUMIFS(Source_Evolution!$L$3:$L$731,Source_Evolution!$A$3:$A$731,$A35)</f>
        <v/>
      </c>
      <c r="M35" s="17">
        <f>SUMIFS(Source_Evolution!$M$3:$M$731,Source_Evolution!$A$3:$A$731,$A35)</f>
        <v/>
      </c>
      <c r="N35" s="17">
        <f>SUMIFS(Source_Evolution!$N$3:$N$731,Source_Evolution!$A$3:$A$731,$A35)</f>
        <v/>
      </c>
      <c r="O35" s="17">
        <f>SUMIFS(Source_Evolution!$O$3:$O$731,Source_Evolution!$A$3:$A$731,$A35)</f>
        <v/>
      </c>
      <c r="P35" s="17">
        <f>SUMIFS(Source_Evolution!$P$3:$P$731,Source_Evolution!$A$3:$A$731,$A35)</f>
        <v/>
      </c>
      <c r="Q35" s="17">
        <f>SUMIFS(Source_Evolution!$Q$3:$Q$731,Source_Evolution!$A$3:$A$731,$A35)</f>
        <v/>
      </c>
      <c r="R35" s="17">
        <f>SUM(E35:Q35)</f>
        <v/>
      </c>
      <c r="S35" s="17">
        <f>Q35</f>
        <v/>
      </c>
      <c r="T35">
        <f>IF(B35="Software",1,0)</f>
        <v/>
      </c>
      <c r="U35" s="18">
        <f>SUMPRODUCT((Source_Evolution!$A$3:$A$731=$A35)*(Source_Evolution!$E$3:$E$731&gt;0))</f>
        <v/>
      </c>
      <c r="V35" s="18">
        <f>SUMPRODUCT((Source_Evolution!$A$3:$A$731=$A35)*(Source_Evolution!$F$3:$F$731&gt;0))</f>
        <v/>
      </c>
      <c r="W35" s="18">
        <f>SUMPRODUCT((Source_Evolution!$A$3:$A$731=$A35)*(Source_Evolution!$G$3:$G$731&gt;0))</f>
        <v/>
      </c>
      <c r="X35" s="18">
        <f>SUMPRODUCT((Source_Evolution!$A$3:$A$731=$A35)*(Source_Evolution!$H$3:$H$731&gt;0))</f>
        <v/>
      </c>
      <c r="Y35" s="18">
        <f>SUMPRODUCT((Source_Evolution!$A$3:$A$731=$A35)*(Source_Evolution!$I$3:$I$731&gt;0))</f>
        <v/>
      </c>
      <c r="Z35" s="18">
        <f>SUMPRODUCT((Source_Evolution!$A$3:$A$731=$A35)*(Source_Evolution!$J$3:$J$731&gt;0))</f>
        <v/>
      </c>
      <c r="AA35" s="18">
        <f>SUMPRODUCT((Source_Evolution!$A$3:$A$731=$A35)*(Source_Evolution!$K$3:$K$731&gt;0))</f>
        <v/>
      </c>
      <c r="AB35" s="18">
        <f>SUMPRODUCT((Source_Evolution!$A$3:$A$731=$A35)*(Source_Evolution!$L$3:$L$731&gt;0))</f>
        <v/>
      </c>
      <c r="AC35" s="18">
        <f>SUMPRODUCT((Source_Evolution!$A$3:$A$731=$A35)*(Source_Evolution!$M$3:$M$731&gt;0))</f>
        <v/>
      </c>
      <c r="AD35" s="18">
        <f>SUMPRODUCT((Source_Evolution!$A$3:$A$731=$A35)*(Source_Evolution!$N$3:$N$731&gt;0))</f>
        <v/>
      </c>
      <c r="AE35" s="18">
        <f>SUMPRODUCT((Source_Evolution!$A$3:$A$731=$A35)*(Source_Evolution!$O$3:$O$731&gt;0))</f>
        <v/>
      </c>
      <c r="AF35" s="18">
        <f>SUMPRODUCT((Source_Evolution!$A$3:$A$731=$A35)*(Source_Evolution!$P$3:$P$731&gt;0))</f>
        <v/>
      </c>
      <c r="AG35" s="18">
        <f>SUMPRODUCT((Source_Evolution!$A$3:$A$731=$A35)*(Source_Evolution!$Q$3:$Q$731&gt;0))</f>
        <v/>
      </c>
    </row>
    <row r="36">
      <c r="A36" t="inlineStr">
        <is>
          <t>Company 129</t>
        </is>
      </c>
      <c r="B36" t="inlineStr">
        <is>
          <t>Operations</t>
        </is>
      </c>
      <c r="C36" t="inlineStr">
        <is>
          <t>UK</t>
        </is>
      </c>
      <c r="D36" t="n">
        <v>2023</v>
      </c>
      <c r="E36" s="17">
        <f>SUMIFS(Source_Evolution!$E$3:$E$731,Source_Evolution!$A$3:$A$731,$A36)</f>
        <v/>
      </c>
      <c r="F36" s="17">
        <f>SUMIFS(Source_Evolution!$F$3:$F$731,Source_Evolution!$A$3:$A$731,$A36)</f>
        <v/>
      </c>
      <c r="G36" s="17">
        <f>SUMIFS(Source_Evolution!$G$3:$G$731,Source_Evolution!$A$3:$A$731,$A36)</f>
        <v/>
      </c>
      <c r="H36" s="17">
        <f>SUMIFS(Source_Evolution!$H$3:$H$731,Source_Evolution!$A$3:$A$731,$A36)</f>
        <v/>
      </c>
      <c r="I36" s="17">
        <f>SUMIFS(Source_Evolution!$I$3:$I$731,Source_Evolution!$A$3:$A$731,$A36)</f>
        <v/>
      </c>
      <c r="J36" s="17">
        <f>SUMIFS(Source_Evolution!$J$3:$J$731,Source_Evolution!$A$3:$A$731,$A36)</f>
        <v/>
      </c>
      <c r="K36" s="17">
        <f>SUMIFS(Source_Evolution!$K$3:$K$731,Source_Evolution!$A$3:$A$731,$A36)</f>
        <v/>
      </c>
      <c r="L36" s="17">
        <f>SUMIFS(Source_Evolution!$L$3:$L$731,Source_Evolution!$A$3:$A$731,$A36)</f>
        <v/>
      </c>
      <c r="M36" s="17">
        <f>SUMIFS(Source_Evolution!$M$3:$M$731,Source_Evolution!$A$3:$A$731,$A36)</f>
        <v/>
      </c>
      <c r="N36" s="17">
        <f>SUMIFS(Source_Evolution!$N$3:$N$731,Source_Evolution!$A$3:$A$731,$A36)</f>
        <v/>
      </c>
      <c r="O36" s="17">
        <f>SUMIFS(Source_Evolution!$O$3:$O$731,Source_Evolution!$A$3:$A$731,$A36)</f>
        <v/>
      </c>
      <c r="P36" s="17">
        <f>SUMIFS(Source_Evolution!$P$3:$P$731,Source_Evolution!$A$3:$A$731,$A36)</f>
        <v/>
      </c>
      <c r="Q36" s="17">
        <f>SUMIFS(Source_Evolution!$Q$3:$Q$731,Source_Evolution!$A$3:$A$731,$A36)</f>
        <v/>
      </c>
      <c r="R36" s="17">
        <f>SUM(E36:Q36)</f>
        <v/>
      </c>
      <c r="S36" s="17">
        <f>Q36</f>
        <v/>
      </c>
      <c r="T36">
        <f>IF(B36="Software",1,0)</f>
        <v/>
      </c>
      <c r="U36" s="18">
        <f>SUMPRODUCT((Source_Evolution!$A$3:$A$731=$A36)*(Source_Evolution!$E$3:$E$731&gt;0))</f>
        <v/>
      </c>
      <c r="V36" s="18">
        <f>SUMPRODUCT((Source_Evolution!$A$3:$A$731=$A36)*(Source_Evolution!$F$3:$F$731&gt;0))</f>
        <v/>
      </c>
      <c r="W36" s="18">
        <f>SUMPRODUCT((Source_Evolution!$A$3:$A$731=$A36)*(Source_Evolution!$G$3:$G$731&gt;0))</f>
        <v/>
      </c>
      <c r="X36" s="18">
        <f>SUMPRODUCT((Source_Evolution!$A$3:$A$731=$A36)*(Source_Evolution!$H$3:$H$731&gt;0))</f>
        <v/>
      </c>
      <c r="Y36" s="18">
        <f>SUMPRODUCT((Source_Evolution!$A$3:$A$731=$A36)*(Source_Evolution!$I$3:$I$731&gt;0))</f>
        <v/>
      </c>
      <c r="Z36" s="18">
        <f>SUMPRODUCT((Source_Evolution!$A$3:$A$731=$A36)*(Source_Evolution!$J$3:$J$731&gt;0))</f>
        <v/>
      </c>
      <c r="AA36" s="18">
        <f>SUMPRODUCT((Source_Evolution!$A$3:$A$731=$A36)*(Source_Evolution!$K$3:$K$731&gt;0))</f>
        <v/>
      </c>
      <c r="AB36" s="18">
        <f>SUMPRODUCT((Source_Evolution!$A$3:$A$731=$A36)*(Source_Evolution!$L$3:$L$731&gt;0))</f>
        <v/>
      </c>
      <c r="AC36" s="18">
        <f>SUMPRODUCT((Source_Evolution!$A$3:$A$731=$A36)*(Source_Evolution!$M$3:$M$731&gt;0))</f>
        <v/>
      </c>
      <c r="AD36" s="18">
        <f>SUMPRODUCT((Source_Evolution!$A$3:$A$731=$A36)*(Source_Evolution!$N$3:$N$731&gt;0))</f>
        <v/>
      </c>
      <c r="AE36" s="18">
        <f>SUMPRODUCT((Source_Evolution!$A$3:$A$731=$A36)*(Source_Evolution!$O$3:$O$731&gt;0))</f>
        <v/>
      </c>
      <c r="AF36" s="18">
        <f>SUMPRODUCT((Source_Evolution!$A$3:$A$731=$A36)*(Source_Evolution!$P$3:$P$731&gt;0))</f>
        <v/>
      </c>
      <c r="AG36" s="18">
        <f>SUMPRODUCT((Source_Evolution!$A$3:$A$731=$A36)*(Source_Evolution!$Q$3:$Q$731&gt;0))</f>
        <v/>
      </c>
    </row>
    <row r="37">
      <c r="A37" t="inlineStr">
        <is>
          <t>Company 13</t>
        </is>
      </c>
      <c r="B37" t="inlineStr">
        <is>
          <t>Operations</t>
        </is>
      </c>
      <c r="C37" t="inlineStr">
        <is>
          <t>UK</t>
        </is>
      </c>
      <c r="D37" t="n">
        <v>2014</v>
      </c>
      <c r="E37" s="17">
        <f>SUMIFS(Source_Evolution!$E$3:$E$731,Source_Evolution!$A$3:$A$731,$A37)</f>
        <v/>
      </c>
      <c r="F37" s="17">
        <f>SUMIFS(Source_Evolution!$F$3:$F$731,Source_Evolution!$A$3:$A$731,$A37)</f>
        <v/>
      </c>
      <c r="G37" s="17">
        <f>SUMIFS(Source_Evolution!$G$3:$G$731,Source_Evolution!$A$3:$A$731,$A37)</f>
        <v/>
      </c>
      <c r="H37" s="17">
        <f>SUMIFS(Source_Evolution!$H$3:$H$731,Source_Evolution!$A$3:$A$731,$A37)</f>
        <v/>
      </c>
      <c r="I37" s="17">
        <f>SUMIFS(Source_Evolution!$I$3:$I$731,Source_Evolution!$A$3:$A$731,$A37)</f>
        <v/>
      </c>
      <c r="J37" s="17">
        <f>SUMIFS(Source_Evolution!$J$3:$J$731,Source_Evolution!$A$3:$A$731,$A37)</f>
        <v/>
      </c>
      <c r="K37" s="17">
        <f>SUMIFS(Source_Evolution!$K$3:$K$731,Source_Evolution!$A$3:$A$731,$A37)</f>
        <v/>
      </c>
      <c r="L37" s="17">
        <f>SUMIFS(Source_Evolution!$L$3:$L$731,Source_Evolution!$A$3:$A$731,$A37)</f>
        <v/>
      </c>
      <c r="M37" s="17">
        <f>SUMIFS(Source_Evolution!$M$3:$M$731,Source_Evolution!$A$3:$A$731,$A37)</f>
        <v/>
      </c>
      <c r="N37" s="17">
        <f>SUMIFS(Source_Evolution!$N$3:$N$731,Source_Evolution!$A$3:$A$731,$A37)</f>
        <v/>
      </c>
      <c r="O37" s="17">
        <f>SUMIFS(Source_Evolution!$O$3:$O$731,Source_Evolution!$A$3:$A$731,$A37)</f>
        <v/>
      </c>
      <c r="P37" s="17">
        <f>SUMIFS(Source_Evolution!$P$3:$P$731,Source_Evolution!$A$3:$A$731,$A37)</f>
        <v/>
      </c>
      <c r="Q37" s="17">
        <f>SUMIFS(Source_Evolution!$Q$3:$Q$731,Source_Evolution!$A$3:$A$731,$A37)</f>
        <v/>
      </c>
      <c r="R37" s="17">
        <f>SUM(E37:Q37)</f>
        <v/>
      </c>
      <c r="S37" s="17">
        <f>Q37</f>
        <v/>
      </c>
      <c r="T37">
        <f>IF(B37="Software",1,0)</f>
        <v/>
      </c>
      <c r="U37" s="18">
        <f>SUMPRODUCT((Source_Evolution!$A$3:$A$731=$A37)*(Source_Evolution!$E$3:$E$731&gt;0))</f>
        <v/>
      </c>
      <c r="V37" s="18">
        <f>SUMPRODUCT((Source_Evolution!$A$3:$A$731=$A37)*(Source_Evolution!$F$3:$F$731&gt;0))</f>
        <v/>
      </c>
      <c r="W37" s="18">
        <f>SUMPRODUCT((Source_Evolution!$A$3:$A$731=$A37)*(Source_Evolution!$G$3:$G$731&gt;0))</f>
        <v/>
      </c>
      <c r="X37" s="18">
        <f>SUMPRODUCT((Source_Evolution!$A$3:$A$731=$A37)*(Source_Evolution!$H$3:$H$731&gt;0))</f>
        <v/>
      </c>
      <c r="Y37" s="18">
        <f>SUMPRODUCT((Source_Evolution!$A$3:$A$731=$A37)*(Source_Evolution!$I$3:$I$731&gt;0))</f>
        <v/>
      </c>
      <c r="Z37" s="18">
        <f>SUMPRODUCT((Source_Evolution!$A$3:$A$731=$A37)*(Source_Evolution!$J$3:$J$731&gt;0))</f>
        <v/>
      </c>
      <c r="AA37" s="18">
        <f>SUMPRODUCT((Source_Evolution!$A$3:$A$731=$A37)*(Source_Evolution!$K$3:$K$731&gt;0))</f>
        <v/>
      </c>
      <c r="AB37" s="18">
        <f>SUMPRODUCT((Source_Evolution!$A$3:$A$731=$A37)*(Source_Evolution!$L$3:$L$731&gt;0))</f>
        <v/>
      </c>
      <c r="AC37" s="18">
        <f>SUMPRODUCT((Source_Evolution!$A$3:$A$731=$A37)*(Source_Evolution!$M$3:$M$731&gt;0))</f>
        <v/>
      </c>
      <c r="AD37" s="18">
        <f>SUMPRODUCT((Source_Evolution!$A$3:$A$731=$A37)*(Source_Evolution!$N$3:$N$731&gt;0))</f>
        <v/>
      </c>
      <c r="AE37" s="18">
        <f>SUMPRODUCT((Source_Evolution!$A$3:$A$731=$A37)*(Source_Evolution!$O$3:$O$731&gt;0))</f>
        <v/>
      </c>
      <c r="AF37" s="18">
        <f>SUMPRODUCT((Source_Evolution!$A$3:$A$731=$A37)*(Source_Evolution!$P$3:$P$731&gt;0))</f>
        <v/>
      </c>
      <c r="AG37" s="18">
        <f>SUMPRODUCT((Source_Evolution!$A$3:$A$731=$A37)*(Source_Evolution!$Q$3:$Q$731&gt;0))</f>
        <v/>
      </c>
    </row>
    <row r="38">
      <c r="A38" t="inlineStr">
        <is>
          <t>Company 130</t>
        </is>
      </c>
      <c r="B38" t="inlineStr">
        <is>
          <t>Software</t>
        </is>
      </c>
      <c r="C38" t="inlineStr">
        <is>
          <t>Spain</t>
        </is>
      </c>
      <c r="D38" t="n">
        <v>2023</v>
      </c>
      <c r="E38" s="17">
        <f>SUMIFS(Source_Evolution!$E$3:$E$731,Source_Evolution!$A$3:$A$731,$A38)</f>
        <v/>
      </c>
      <c r="F38" s="17">
        <f>SUMIFS(Source_Evolution!$F$3:$F$731,Source_Evolution!$A$3:$A$731,$A38)</f>
        <v/>
      </c>
      <c r="G38" s="17">
        <f>SUMIFS(Source_Evolution!$G$3:$G$731,Source_Evolution!$A$3:$A$731,$A38)</f>
        <v/>
      </c>
      <c r="H38" s="17">
        <f>SUMIFS(Source_Evolution!$H$3:$H$731,Source_Evolution!$A$3:$A$731,$A38)</f>
        <v/>
      </c>
      <c r="I38" s="17">
        <f>SUMIFS(Source_Evolution!$I$3:$I$731,Source_Evolution!$A$3:$A$731,$A38)</f>
        <v/>
      </c>
      <c r="J38" s="17">
        <f>SUMIFS(Source_Evolution!$J$3:$J$731,Source_Evolution!$A$3:$A$731,$A38)</f>
        <v/>
      </c>
      <c r="K38" s="17">
        <f>SUMIFS(Source_Evolution!$K$3:$K$731,Source_Evolution!$A$3:$A$731,$A38)</f>
        <v/>
      </c>
      <c r="L38" s="17">
        <f>SUMIFS(Source_Evolution!$L$3:$L$731,Source_Evolution!$A$3:$A$731,$A38)</f>
        <v/>
      </c>
      <c r="M38" s="17">
        <f>SUMIFS(Source_Evolution!$M$3:$M$731,Source_Evolution!$A$3:$A$731,$A38)</f>
        <v/>
      </c>
      <c r="N38" s="17">
        <f>SUMIFS(Source_Evolution!$N$3:$N$731,Source_Evolution!$A$3:$A$731,$A38)</f>
        <v/>
      </c>
      <c r="O38" s="17">
        <f>SUMIFS(Source_Evolution!$O$3:$O$731,Source_Evolution!$A$3:$A$731,$A38)</f>
        <v/>
      </c>
      <c r="P38" s="17">
        <f>SUMIFS(Source_Evolution!$P$3:$P$731,Source_Evolution!$A$3:$A$731,$A38)</f>
        <v/>
      </c>
      <c r="Q38" s="17">
        <f>SUMIFS(Source_Evolution!$Q$3:$Q$731,Source_Evolution!$A$3:$A$731,$A38)</f>
        <v/>
      </c>
      <c r="R38" s="17">
        <f>SUM(E38:Q38)</f>
        <v/>
      </c>
      <c r="S38" s="17">
        <f>Q38</f>
        <v/>
      </c>
      <c r="T38">
        <f>IF(B38="Software",1,0)</f>
        <v/>
      </c>
      <c r="U38" s="18">
        <f>SUMPRODUCT((Source_Evolution!$A$3:$A$731=$A38)*(Source_Evolution!$E$3:$E$731&gt;0))</f>
        <v/>
      </c>
      <c r="V38" s="18">
        <f>SUMPRODUCT((Source_Evolution!$A$3:$A$731=$A38)*(Source_Evolution!$F$3:$F$731&gt;0))</f>
        <v/>
      </c>
      <c r="W38" s="18">
        <f>SUMPRODUCT((Source_Evolution!$A$3:$A$731=$A38)*(Source_Evolution!$G$3:$G$731&gt;0))</f>
        <v/>
      </c>
      <c r="X38" s="18">
        <f>SUMPRODUCT((Source_Evolution!$A$3:$A$731=$A38)*(Source_Evolution!$H$3:$H$731&gt;0))</f>
        <v/>
      </c>
      <c r="Y38" s="18">
        <f>SUMPRODUCT((Source_Evolution!$A$3:$A$731=$A38)*(Source_Evolution!$I$3:$I$731&gt;0))</f>
        <v/>
      </c>
      <c r="Z38" s="18">
        <f>SUMPRODUCT((Source_Evolution!$A$3:$A$731=$A38)*(Source_Evolution!$J$3:$J$731&gt;0))</f>
        <v/>
      </c>
      <c r="AA38" s="18">
        <f>SUMPRODUCT((Source_Evolution!$A$3:$A$731=$A38)*(Source_Evolution!$K$3:$K$731&gt;0))</f>
        <v/>
      </c>
      <c r="AB38" s="18">
        <f>SUMPRODUCT((Source_Evolution!$A$3:$A$731=$A38)*(Source_Evolution!$L$3:$L$731&gt;0))</f>
        <v/>
      </c>
      <c r="AC38" s="18">
        <f>SUMPRODUCT((Source_Evolution!$A$3:$A$731=$A38)*(Source_Evolution!$M$3:$M$731&gt;0))</f>
        <v/>
      </c>
      <c r="AD38" s="18">
        <f>SUMPRODUCT((Source_Evolution!$A$3:$A$731=$A38)*(Source_Evolution!$N$3:$N$731&gt;0))</f>
        <v/>
      </c>
      <c r="AE38" s="18">
        <f>SUMPRODUCT((Source_Evolution!$A$3:$A$731=$A38)*(Source_Evolution!$O$3:$O$731&gt;0))</f>
        <v/>
      </c>
      <c r="AF38" s="18">
        <f>SUMPRODUCT((Source_Evolution!$A$3:$A$731=$A38)*(Source_Evolution!$P$3:$P$731&gt;0))</f>
        <v/>
      </c>
      <c r="AG38" s="18">
        <f>SUMPRODUCT((Source_Evolution!$A$3:$A$731=$A38)*(Source_Evolution!$Q$3:$Q$731&gt;0))</f>
        <v/>
      </c>
    </row>
    <row r="39">
      <c r="A39" t="inlineStr">
        <is>
          <t>Company 131</t>
        </is>
      </c>
      <c r="B39" t="inlineStr">
        <is>
          <t>Software</t>
        </is>
      </c>
      <c r="C39" t="inlineStr">
        <is>
          <t>Switzerland</t>
        </is>
      </c>
      <c r="D39" t="n">
        <v>2023</v>
      </c>
      <c r="E39" s="17">
        <f>SUMIFS(Source_Evolution!$E$3:$E$731,Source_Evolution!$A$3:$A$731,$A39)</f>
        <v/>
      </c>
      <c r="F39" s="17">
        <f>SUMIFS(Source_Evolution!$F$3:$F$731,Source_Evolution!$A$3:$A$731,$A39)</f>
        <v/>
      </c>
      <c r="G39" s="17">
        <f>SUMIFS(Source_Evolution!$G$3:$G$731,Source_Evolution!$A$3:$A$731,$A39)</f>
        <v/>
      </c>
      <c r="H39" s="17">
        <f>SUMIFS(Source_Evolution!$H$3:$H$731,Source_Evolution!$A$3:$A$731,$A39)</f>
        <v/>
      </c>
      <c r="I39" s="17">
        <f>SUMIFS(Source_Evolution!$I$3:$I$731,Source_Evolution!$A$3:$A$731,$A39)</f>
        <v/>
      </c>
      <c r="J39" s="17">
        <f>SUMIFS(Source_Evolution!$J$3:$J$731,Source_Evolution!$A$3:$A$731,$A39)</f>
        <v/>
      </c>
      <c r="K39" s="17">
        <f>SUMIFS(Source_Evolution!$K$3:$K$731,Source_Evolution!$A$3:$A$731,$A39)</f>
        <v/>
      </c>
      <c r="L39" s="17">
        <f>SUMIFS(Source_Evolution!$L$3:$L$731,Source_Evolution!$A$3:$A$731,$A39)</f>
        <v/>
      </c>
      <c r="M39" s="17">
        <f>SUMIFS(Source_Evolution!$M$3:$M$731,Source_Evolution!$A$3:$A$731,$A39)</f>
        <v/>
      </c>
      <c r="N39" s="17">
        <f>SUMIFS(Source_Evolution!$N$3:$N$731,Source_Evolution!$A$3:$A$731,$A39)</f>
        <v/>
      </c>
      <c r="O39" s="17">
        <f>SUMIFS(Source_Evolution!$O$3:$O$731,Source_Evolution!$A$3:$A$731,$A39)</f>
        <v/>
      </c>
      <c r="P39" s="17">
        <f>SUMIFS(Source_Evolution!$P$3:$P$731,Source_Evolution!$A$3:$A$731,$A39)</f>
        <v/>
      </c>
      <c r="Q39" s="17">
        <f>SUMIFS(Source_Evolution!$Q$3:$Q$731,Source_Evolution!$A$3:$A$731,$A39)</f>
        <v/>
      </c>
      <c r="R39" s="17">
        <f>SUM(E39:Q39)</f>
        <v/>
      </c>
      <c r="S39" s="17">
        <f>Q39</f>
        <v/>
      </c>
      <c r="T39">
        <f>IF(B39="Software",1,0)</f>
        <v/>
      </c>
      <c r="U39" s="18">
        <f>SUMPRODUCT((Source_Evolution!$A$3:$A$731=$A39)*(Source_Evolution!$E$3:$E$731&gt;0))</f>
        <v/>
      </c>
      <c r="V39" s="18">
        <f>SUMPRODUCT((Source_Evolution!$A$3:$A$731=$A39)*(Source_Evolution!$F$3:$F$731&gt;0))</f>
        <v/>
      </c>
      <c r="W39" s="18">
        <f>SUMPRODUCT((Source_Evolution!$A$3:$A$731=$A39)*(Source_Evolution!$G$3:$G$731&gt;0))</f>
        <v/>
      </c>
      <c r="X39" s="18">
        <f>SUMPRODUCT((Source_Evolution!$A$3:$A$731=$A39)*(Source_Evolution!$H$3:$H$731&gt;0))</f>
        <v/>
      </c>
      <c r="Y39" s="18">
        <f>SUMPRODUCT((Source_Evolution!$A$3:$A$731=$A39)*(Source_Evolution!$I$3:$I$731&gt;0))</f>
        <v/>
      </c>
      <c r="Z39" s="18">
        <f>SUMPRODUCT((Source_Evolution!$A$3:$A$731=$A39)*(Source_Evolution!$J$3:$J$731&gt;0))</f>
        <v/>
      </c>
      <c r="AA39" s="18">
        <f>SUMPRODUCT((Source_Evolution!$A$3:$A$731=$A39)*(Source_Evolution!$K$3:$K$731&gt;0))</f>
        <v/>
      </c>
      <c r="AB39" s="18">
        <f>SUMPRODUCT((Source_Evolution!$A$3:$A$731=$A39)*(Source_Evolution!$L$3:$L$731&gt;0))</f>
        <v/>
      </c>
      <c r="AC39" s="18">
        <f>SUMPRODUCT((Source_Evolution!$A$3:$A$731=$A39)*(Source_Evolution!$M$3:$M$731&gt;0))</f>
        <v/>
      </c>
      <c r="AD39" s="18">
        <f>SUMPRODUCT((Source_Evolution!$A$3:$A$731=$A39)*(Source_Evolution!$N$3:$N$731&gt;0))</f>
        <v/>
      </c>
      <c r="AE39" s="18">
        <f>SUMPRODUCT((Source_Evolution!$A$3:$A$731=$A39)*(Source_Evolution!$O$3:$O$731&gt;0))</f>
        <v/>
      </c>
      <c r="AF39" s="18">
        <f>SUMPRODUCT((Source_Evolution!$A$3:$A$731=$A39)*(Source_Evolution!$P$3:$P$731&gt;0))</f>
        <v/>
      </c>
      <c r="AG39" s="18">
        <f>SUMPRODUCT((Source_Evolution!$A$3:$A$731=$A39)*(Source_Evolution!$Q$3:$Q$731&gt;0))</f>
        <v/>
      </c>
    </row>
    <row r="40">
      <c r="A40" t="inlineStr">
        <is>
          <t>Company 132</t>
        </is>
      </c>
      <c r="B40" t="inlineStr">
        <is>
          <t>Operations</t>
        </is>
      </c>
      <c r="C40" t="inlineStr">
        <is>
          <t>Netherlands</t>
        </is>
      </c>
      <c r="D40" t="n">
        <v>2024</v>
      </c>
      <c r="E40" s="17">
        <f>SUMIFS(Source_Evolution!$E$3:$E$731,Source_Evolution!$A$3:$A$731,$A40)</f>
        <v/>
      </c>
      <c r="F40" s="17">
        <f>SUMIFS(Source_Evolution!$F$3:$F$731,Source_Evolution!$A$3:$A$731,$A40)</f>
        <v/>
      </c>
      <c r="G40" s="17">
        <f>SUMIFS(Source_Evolution!$G$3:$G$731,Source_Evolution!$A$3:$A$731,$A40)</f>
        <v/>
      </c>
      <c r="H40" s="17">
        <f>SUMIFS(Source_Evolution!$H$3:$H$731,Source_Evolution!$A$3:$A$731,$A40)</f>
        <v/>
      </c>
      <c r="I40" s="17">
        <f>SUMIFS(Source_Evolution!$I$3:$I$731,Source_Evolution!$A$3:$A$731,$A40)</f>
        <v/>
      </c>
      <c r="J40" s="17">
        <f>SUMIFS(Source_Evolution!$J$3:$J$731,Source_Evolution!$A$3:$A$731,$A40)</f>
        <v/>
      </c>
      <c r="K40" s="17">
        <f>SUMIFS(Source_Evolution!$K$3:$K$731,Source_Evolution!$A$3:$A$731,$A40)</f>
        <v/>
      </c>
      <c r="L40" s="17">
        <f>SUMIFS(Source_Evolution!$L$3:$L$731,Source_Evolution!$A$3:$A$731,$A40)</f>
        <v/>
      </c>
      <c r="M40" s="17">
        <f>SUMIFS(Source_Evolution!$M$3:$M$731,Source_Evolution!$A$3:$A$731,$A40)</f>
        <v/>
      </c>
      <c r="N40" s="17">
        <f>SUMIFS(Source_Evolution!$N$3:$N$731,Source_Evolution!$A$3:$A$731,$A40)</f>
        <v/>
      </c>
      <c r="O40" s="17">
        <f>SUMIFS(Source_Evolution!$O$3:$O$731,Source_Evolution!$A$3:$A$731,$A40)</f>
        <v/>
      </c>
      <c r="P40" s="17">
        <f>SUMIFS(Source_Evolution!$P$3:$P$731,Source_Evolution!$A$3:$A$731,$A40)</f>
        <v/>
      </c>
      <c r="Q40" s="17">
        <f>SUMIFS(Source_Evolution!$Q$3:$Q$731,Source_Evolution!$A$3:$A$731,$A40)</f>
        <v/>
      </c>
      <c r="R40" s="17">
        <f>SUM(E40:Q40)</f>
        <v/>
      </c>
      <c r="S40" s="17">
        <f>Q40</f>
        <v/>
      </c>
      <c r="T40">
        <f>IF(B40="Software",1,0)</f>
        <v/>
      </c>
      <c r="U40" s="18">
        <f>SUMPRODUCT((Source_Evolution!$A$3:$A$731=$A40)*(Source_Evolution!$E$3:$E$731&gt;0))</f>
        <v/>
      </c>
      <c r="V40" s="18">
        <f>SUMPRODUCT((Source_Evolution!$A$3:$A$731=$A40)*(Source_Evolution!$F$3:$F$731&gt;0))</f>
        <v/>
      </c>
      <c r="W40" s="18">
        <f>SUMPRODUCT((Source_Evolution!$A$3:$A$731=$A40)*(Source_Evolution!$G$3:$G$731&gt;0))</f>
        <v/>
      </c>
      <c r="X40" s="18">
        <f>SUMPRODUCT((Source_Evolution!$A$3:$A$731=$A40)*(Source_Evolution!$H$3:$H$731&gt;0))</f>
        <v/>
      </c>
      <c r="Y40" s="18">
        <f>SUMPRODUCT((Source_Evolution!$A$3:$A$731=$A40)*(Source_Evolution!$I$3:$I$731&gt;0))</f>
        <v/>
      </c>
      <c r="Z40" s="18">
        <f>SUMPRODUCT((Source_Evolution!$A$3:$A$731=$A40)*(Source_Evolution!$J$3:$J$731&gt;0))</f>
        <v/>
      </c>
      <c r="AA40" s="18">
        <f>SUMPRODUCT((Source_Evolution!$A$3:$A$731=$A40)*(Source_Evolution!$K$3:$K$731&gt;0))</f>
        <v/>
      </c>
      <c r="AB40" s="18">
        <f>SUMPRODUCT((Source_Evolution!$A$3:$A$731=$A40)*(Source_Evolution!$L$3:$L$731&gt;0))</f>
        <v/>
      </c>
      <c r="AC40" s="18">
        <f>SUMPRODUCT((Source_Evolution!$A$3:$A$731=$A40)*(Source_Evolution!$M$3:$M$731&gt;0))</f>
        <v/>
      </c>
      <c r="AD40" s="18">
        <f>SUMPRODUCT((Source_Evolution!$A$3:$A$731=$A40)*(Source_Evolution!$N$3:$N$731&gt;0))</f>
        <v/>
      </c>
      <c r="AE40" s="18">
        <f>SUMPRODUCT((Source_Evolution!$A$3:$A$731=$A40)*(Source_Evolution!$O$3:$O$731&gt;0))</f>
        <v/>
      </c>
      <c r="AF40" s="18">
        <f>SUMPRODUCT((Source_Evolution!$A$3:$A$731=$A40)*(Source_Evolution!$P$3:$P$731&gt;0))</f>
        <v/>
      </c>
      <c r="AG40" s="18">
        <f>SUMPRODUCT((Source_Evolution!$A$3:$A$731=$A40)*(Source_Evolution!$Q$3:$Q$731&gt;0))</f>
        <v/>
      </c>
    </row>
    <row r="41">
      <c r="A41" t="inlineStr">
        <is>
          <t>Company 133</t>
        </is>
      </c>
      <c r="B41" t="inlineStr">
        <is>
          <t>Software</t>
        </is>
      </c>
      <c r="C41" t="inlineStr">
        <is>
          <t>Netherlands</t>
        </is>
      </c>
      <c r="D41" t="n">
        <v>2023</v>
      </c>
      <c r="E41" s="17">
        <f>SUMIFS(Source_Evolution!$E$3:$E$731,Source_Evolution!$A$3:$A$731,$A41)</f>
        <v/>
      </c>
      <c r="F41" s="17">
        <f>SUMIFS(Source_Evolution!$F$3:$F$731,Source_Evolution!$A$3:$A$731,$A41)</f>
        <v/>
      </c>
      <c r="G41" s="17">
        <f>SUMIFS(Source_Evolution!$G$3:$G$731,Source_Evolution!$A$3:$A$731,$A41)</f>
        <v/>
      </c>
      <c r="H41" s="17">
        <f>SUMIFS(Source_Evolution!$H$3:$H$731,Source_Evolution!$A$3:$A$731,$A41)</f>
        <v/>
      </c>
      <c r="I41" s="17">
        <f>SUMIFS(Source_Evolution!$I$3:$I$731,Source_Evolution!$A$3:$A$731,$A41)</f>
        <v/>
      </c>
      <c r="J41" s="17">
        <f>SUMIFS(Source_Evolution!$J$3:$J$731,Source_Evolution!$A$3:$A$731,$A41)</f>
        <v/>
      </c>
      <c r="K41" s="17">
        <f>SUMIFS(Source_Evolution!$K$3:$K$731,Source_Evolution!$A$3:$A$731,$A41)</f>
        <v/>
      </c>
      <c r="L41" s="17">
        <f>SUMIFS(Source_Evolution!$L$3:$L$731,Source_Evolution!$A$3:$A$731,$A41)</f>
        <v/>
      </c>
      <c r="M41" s="17">
        <f>SUMIFS(Source_Evolution!$M$3:$M$731,Source_Evolution!$A$3:$A$731,$A41)</f>
        <v/>
      </c>
      <c r="N41" s="17">
        <f>SUMIFS(Source_Evolution!$N$3:$N$731,Source_Evolution!$A$3:$A$731,$A41)</f>
        <v/>
      </c>
      <c r="O41" s="17">
        <f>SUMIFS(Source_Evolution!$O$3:$O$731,Source_Evolution!$A$3:$A$731,$A41)</f>
        <v/>
      </c>
      <c r="P41" s="17">
        <f>SUMIFS(Source_Evolution!$P$3:$P$731,Source_Evolution!$A$3:$A$731,$A41)</f>
        <v/>
      </c>
      <c r="Q41" s="17">
        <f>SUMIFS(Source_Evolution!$Q$3:$Q$731,Source_Evolution!$A$3:$A$731,$A41)</f>
        <v/>
      </c>
      <c r="R41" s="17">
        <f>SUM(E41:Q41)</f>
        <v/>
      </c>
      <c r="S41" s="17">
        <f>Q41</f>
        <v/>
      </c>
      <c r="T41">
        <f>IF(B41="Software",1,0)</f>
        <v/>
      </c>
      <c r="U41" s="18">
        <f>SUMPRODUCT((Source_Evolution!$A$3:$A$731=$A41)*(Source_Evolution!$E$3:$E$731&gt;0))</f>
        <v/>
      </c>
      <c r="V41" s="18">
        <f>SUMPRODUCT((Source_Evolution!$A$3:$A$731=$A41)*(Source_Evolution!$F$3:$F$731&gt;0))</f>
        <v/>
      </c>
      <c r="W41" s="18">
        <f>SUMPRODUCT((Source_Evolution!$A$3:$A$731=$A41)*(Source_Evolution!$G$3:$G$731&gt;0))</f>
        <v/>
      </c>
      <c r="X41" s="18">
        <f>SUMPRODUCT((Source_Evolution!$A$3:$A$731=$A41)*(Source_Evolution!$H$3:$H$731&gt;0))</f>
        <v/>
      </c>
      <c r="Y41" s="18">
        <f>SUMPRODUCT((Source_Evolution!$A$3:$A$731=$A41)*(Source_Evolution!$I$3:$I$731&gt;0))</f>
        <v/>
      </c>
      <c r="Z41" s="18">
        <f>SUMPRODUCT((Source_Evolution!$A$3:$A$731=$A41)*(Source_Evolution!$J$3:$J$731&gt;0))</f>
        <v/>
      </c>
      <c r="AA41" s="18">
        <f>SUMPRODUCT((Source_Evolution!$A$3:$A$731=$A41)*(Source_Evolution!$K$3:$K$731&gt;0))</f>
        <v/>
      </c>
      <c r="AB41" s="18">
        <f>SUMPRODUCT((Source_Evolution!$A$3:$A$731=$A41)*(Source_Evolution!$L$3:$L$731&gt;0))</f>
        <v/>
      </c>
      <c r="AC41" s="18">
        <f>SUMPRODUCT((Source_Evolution!$A$3:$A$731=$A41)*(Source_Evolution!$M$3:$M$731&gt;0))</f>
        <v/>
      </c>
      <c r="AD41" s="18">
        <f>SUMPRODUCT((Source_Evolution!$A$3:$A$731=$A41)*(Source_Evolution!$N$3:$N$731&gt;0))</f>
        <v/>
      </c>
      <c r="AE41" s="18">
        <f>SUMPRODUCT((Source_Evolution!$A$3:$A$731=$A41)*(Source_Evolution!$O$3:$O$731&gt;0))</f>
        <v/>
      </c>
      <c r="AF41" s="18">
        <f>SUMPRODUCT((Source_Evolution!$A$3:$A$731=$A41)*(Source_Evolution!$P$3:$P$731&gt;0))</f>
        <v/>
      </c>
      <c r="AG41" s="18">
        <f>SUMPRODUCT((Source_Evolution!$A$3:$A$731=$A41)*(Source_Evolution!$Q$3:$Q$731&gt;0))</f>
        <v/>
      </c>
    </row>
    <row r="42">
      <c r="A42" t="inlineStr">
        <is>
          <t>Company 134</t>
        </is>
      </c>
      <c r="B42" t="inlineStr">
        <is>
          <t>Software</t>
        </is>
      </c>
      <c r="C42" t="inlineStr">
        <is>
          <t>Denmark</t>
        </is>
      </c>
      <c r="D42" t="n">
        <v>2024</v>
      </c>
      <c r="E42" s="17">
        <f>SUMIFS(Source_Evolution!$E$3:$E$731,Source_Evolution!$A$3:$A$731,$A42)</f>
        <v/>
      </c>
      <c r="F42" s="17">
        <f>SUMIFS(Source_Evolution!$F$3:$F$731,Source_Evolution!$A$3:$A$731,$A42)</f>
        <v/>
      </c>
      <c r="G42" s="17">
        <f>SUMIFS(Source_Evolution!$G$3:$G$731,Source_Evolution!$A$3:$A$731,$A42)</f>
        <v/>
      </c>
      <c r="H42" s="17">
        <f>SUMIFS(Source_Evolution!$H$3:$H$731,Source_Evolution!$A$3:$A$731,$A42)</f>
        <v/>
      </c>
      <c r="I42" s="17">
        <f>SUMIFS(Source_Evolution!$I$3:$I$731,Source_Evolution!$A$3:$A$731,$A42)</f>
        <v/>
      </c>
      <c r="J42" s="17">
        <f>SUMIFS(Source_Evolution!$J$3:$J$731,Source_Evolution!$A$3:$A$731,$A42)</f>
        <v/>
      </c>
      <c r="K42" s="17">
        <f>SUMIFS(Source_Evolution!$K$3:$K$731,Source_Evolution!$A$3:$A$731,$A42)</f>
        <v/>
      </c>
      <c r="L42" s="17">
        <f>SUMIFS(Source_Evolution!$L$3:$L$731,Source_Evolution!$A$3:$A$731,$A42)</f>
        <v/>
      </c>
      <c r="M42" s="17">
        <f>SUMIFS(Source_Evolution!$M$3:$M$731,Source_Evolution!$A$3:$A$731,$A42)</f>
        <v/>
      </c>
      <c r="N42" s="17">
        <f>SUMIFS(Source_Evolution!$N$3:$N$731,Source_Evolution!$A$3:$A$731,$A42)</f>
        <v/>
      </c>
      <c r="O42" s="17">
        <f>SUMIFS(Source_Evolution!$O$3:$O$731,Source_Evolution!$A$3:$A$731,$A42)</f>
        <v/>
      </c>
      <c r="P42" s="17">
        <f>SUMIFS(Source_Evolution!$P$3:$P$731,Source_Evolution!$A$3:$A$731,$A42)</f>
        <v/>
      </c>
      <c r="Q42" s="17">
        <f>SUMIFS(Source_Evolution!$Q$3:$Q$731,Source_Evolution!$A$3:$A$731,$A42)</f>
        <v/>
      </c>
      <c r="R42" s="17">
        <f>SUM(E42:Q42)</f>
        <v/>
      </c>
      <c r="S42" s="17">
        <f>Q42</f>
        <v/>
      </c>
      <c r="T42">
        <f>IF(B42="Software",1,0)</f>
        <v/>
      </c>
      <c r="U42" s="18">
        <f>SUMPRODUCT((Source_Evolution!$A$3:$A$731=$A42)*(Source_Evolution!$E$3:$E$731&gt;0))</f>
        <v/>
      </c>
      <c r="V42" s="18">
        <f>SUMPRODUCT((Source_Evolution!$A$3:$A$731=$A42)*(Source_Evolution!$F$3:$F$731&gt;0))</f>
        <v/>
      </c>
      <c r="W42" s="18">
        <f>SUMPRODUCT((Source_Evolution!$A$3:$A$731=$A42)*(Source_Evolution!$G$3:$G$731&gt;0))</f>
        <v/>
      </c>
      <c r="X42" s="18">
        <f>SUMPRODUCT((Source_Evolution!$A$3:$A$731=$A42)*(Source_Evolution!$H$3:$H$731&gt;0))</f>
        <v/>
      </c>
      <c r="Y42" s="18">
        <f>SUMPRODUCT((Source_Evolution!$A$3:$A$731=$A42)*(Source_Evolution!$I$3:$I$731&gt;0))</f>
        <v/>
      </c>
      <c r="Z42" s="18">
        <f>SUMPRODUCT((Source_Evolution!$A$3:$A$731=$A42)*(Source_Evolution!$J$3:$J$731&gt;0))</f>
        <v/>
      </c>
      <c r="AA42" s="18">
        <f>SUMPRODUCT((Source_Evolution!$A$3:$A$731=$A42)*(Source_Evolution!$K$3:$K$731&gt;0))</f>
        <v/>
      </c>
      <c r="AB42" s="18">
        <f>SUMPRODUCT((Source_Evolution!$A$3:$A$731=$A42)*(Source_Evolution!$L$3:$L$731&gt;0))</f>
        <v/>
      </c>
      <c r="AC42" s="18">
        <f>SUMPRODUCT((Source_Evolution!$A$3:$A$731=$A42)*(Source_Evolution!$M$3:$M$731&gt;0))</f>
        <v/>
      </c>
      <c r="AD42" s="18">
        <f>SUMPRODUCT((Source_Evolution!$A$3:$A$731=$A42)*(Source_Evolution!$N$3:$N$731&gt;0))</f>
        <v/>
      </c>
      <c r="AE42" s="18">
        <f>SUMPRODUCT((Source_Evolution!$A$3:$A$731=$A42)*(Source_Evolution!$O$3:$O$731&gt;0))</f>
        <v/>
      </c>
      <c r="AF42" s="18">
        <f>SUMPRODUCT((Source_Evolution!$A$3:$A$731=$A42)*(Source_Evolution!$P$3:$P$731&gt;0))</f>
        <v/>
      </c>
      <c r="AG42" s="18">
        <f>SUMPRODUCT((Source_Evolution!$A$3:$A$731=$A42)*(Source_Evolution!$Q$3:$Q$731&gt;0))</f>
        <v/>
      </c>
    </row>
    <row r="43">
      <c r="A43" t="inlineStr">
        <is>
          <t>Company 135</t>
        </is>
      </c>
      <c r="B43" t="inlineStr">
        <is>
          <t>Operations</t>
        </is>
      </c>
      <c r="C43" t="inlineStr">
        <is>
          <t>UK</t>
        </is>
      </c>
      <c r="D43" t="n">
        <v>2024</v>
      </c>
      <c r="E43" s="17">
        <f>SUMIFS(Source_Evolution!$E$3:$E$731,Source_Evolution!$A$3:$A$731,$A43)</f>
        <v/>
      </c>
      <c r="F43" s="17">
        <f>SUMIFS(Source_Evolution!$F$3:$F$731,Source_Evolution!$A$3:$A$731,$A43)</f>
        <v/>
      </c>
      <c r="G43" s="17">
        <f>SUMIFS(Source_Evolution!$G$3:$G$731,Source_Evolution!$A$3:$A$731,$A43)</f>
        <v/>
      </c>
      <c r="H43" s="17">
        <f>SUMIFS(Source_Evolution!$H$3:$H$731,Source_Evolution!$A$3:$A$731,$A43)</f>
        <v/>
      </c>
      <c r="I43" s="17">
        <f>SUMIFS(Source_Evolution!$I$3:$I$731,Source_Evolution!$A$3:$A$731,$A43)</f>
        <v/>
      </c>
      <c r="J43" s="17">
        <f>SUMIFS(Source_Evolution!$J$3:$J$731,Source_Evolution!$A$3:$A$731,$A43)</f>
        <v/>
      </c>
      <c r="K43" s="17">
        <f>SUMIFS(Source_Evolution!$K$3:$K$731,Source_Evolution!$A$3:$A$731,$A43)</f>
        <v/>
      </c>
      <c r="L43" s="17">
        <f>SUMIFS(Source_Evolution!$L$3:$L$731,Source_Evolution!$A$3:$A$731,$A43)</f>
        <v/>
      </c>
      <c r="M43" s="17">
        <f>SUMIFS(Source_Evolution!$M$3:$M$731,Source_Evolution!$A$3:$A$731,$A43)</f>
        <v/>
      </c>
      <c r="N43" s="17">
        <f>SUMIFS(Source_Evolution!$N$3:$N$731,Source_Evolution!$A$3:$A$731,$A43)</f>
        <v/>
      </c>
      <c r="O43" s="17">
        <f>SUMIFS(Source_Evolution!$O$3:$O$731,Source_Evolution!$A$3:$A$731,$A43)</f>
        <v/>
      </c>
      <c r="P43" s="17">
        <f>SUMIFS(Source_Evolution!$P$3:$P$731,Source_Evolution!$A$3:$A$731,$A43)</f>
        <v/>
      </c>
      <c r="Q43" s="17">
        <f>SUMIFS(Source_Evolution!$Q$3:$Q$731,Source_Evolution!$A$3:$A$731,$A43)</f>
        <v/>
      </c>
      <c r="R43" s="17">
        <f>SUM(E43:Q43)</f>
        <v/>
      </c>
      <c r="S43" s="17">
        <f>Q43</f>
        <v/>
      </c>
      <c r="T43">
        <f>IF(B43="Software",1,0)</f>
        <v/>
      </c>
      <c r="U43" s="18">
        <f>SUMPRODUCT((Source_Evolution!$A$3:$A$731=$A43)*(Source_Evolution!$E$3:$E$731&gt;0))</f>
        <v/>
      </c>
      <c r="V43" s="18">
        <f>SUMPRODUCT((Source_Evolution!$A$3:$A$731=$A43)*(Source_Evolution!$F$3:$F$731&gt;0))</f>
        <v/>
      </c>
      <c r="W43" s="18">
        <f>SUMPRODUCT((Source_Evolution!$A$3:$A$731=$A43)*(Source_Evolution!$G$3:$G$731&gt;0))</f>
        <v/>
      </c>
      <c r="X43" s="18">
        <f>SUMPRODUCT((Source_Evolution!$A$3:$A$731=$A43)*(Source_Evolution!$H$3:$H$731&gt;0))</f>
        <v/>
      </c>
      <c r="Y43" s="18">
        <f>SUMPRODUCT((Source_Evolution!$A$3:$A$731=$A43)*(Source_Evolution!$I$3:$I$731&gt;0))</f>
        <v/>
      </c>
      <c r="Z43" s="18">
        <f>SUMPRODUCT((Source_Evolution!$A$3:$A$731=$A43)*(Source_Evolution!$J$3:$J$731&gt;0))</f>
        <v/>
      </c>
      <c r="AA43" s="18">
        <f>SUMPRODUCT((Source_Evolution!$A$3:$A$731=$A43)*(Source_Evolution!$K$3:$K$731&gt;0))</f>
        <v/>
      </c>
      <c r="AB43" s="18">
        <f>SUMPRODUCT((Source_Evolution!$A$3:$A$731=$A43)*(Source_Evolution!$L$3:$L$731&gt;0))</f>
        <v/>
      </c>
      <c r="AC43" s="18">
        <f>SUMPRODUCT((Source_Evolution!$A$3:$A$731=$A43)*(Source_Evolution!$M$3:$M$731&gt;0))</f>
        <v/>
      </c>
      <c r="AD43" s="18">
        <f>SUMPRODUCT((Source_Evolution!$A$3:$A$731=$A43)*(Source_Evolution!$N$3:$N$731&gt;0))</f>
        <v/>
      </c>
      <c r="AE43" s="18">
        <f>SUMPRODUCT((Source_Evolution!$A$3:$A$731=$A43)*(Source_Evolution!$O$3:$O$731&gt;0))</f>
        <v/>
      </c>
      <c r="AF43" s="18">
        <f>SUMPRODUCT((Source_Evolution!$A$3:$A$731=$A43)*(Source_Evolution!$P$3:$P$731&gt;0))</f>
        <v/>
      </c>
      <c r="AG43" s="18">
        <f>SUMPRODUCT((Source_Evolution!$A$3:$A$731=$A43)*(Source_Evolution!$Q$3:$Q$731&gt;0))</f>
        <v/>
      </c>
    </row>
    <row r="44">
      <c r="A44" t="inlineStr">
        <is>
          <t>Company 136</t>
        </is>
      </c>
      <c r="B44" t="inlineStr">
        <is>
          <t>Software</t>
        </is>
      </c>
      <c r="C44" t="inlineStr">
        <is>
          <t>Netherlands</t>
        </is>
      </c>
      <c r="D44" t="n">
        <v>2024</v>
      </c>
      <c r="E44" s="17">
        <f>SUMIFS(Source_Evolution!$E$3:$E$731,Source_Evolution!$A$3:$A$731,$A44)</f>
        <v/>
      </c>
      <c r="F44" s="17">
        <f>SUMIFS(Source_Evolution!$F$3:$F$731,Source_Evolution!$A$3:$A$731,$A44)</f>
        <v/>
      </c>
      <c r="G44" s="17">
        <f>SUMIFS(Source_Evolution!$G$3:$G$731,Source_Evolution!$A$3:$A$731,$A44)</f>
        <v/>
      </c>
      <c r="H44" s="17">
        <f>SUMIFS(Source_Evolution!$H$3:$H$731,Source_Evolution!$A$3:$A$731,$A44)</f>
        <v/>
      </c>
      <c r="I44" s="17">
        <f>SUMIFS(Source_Evolution!$I$3:$I$731,Source_Evolution!$A$3:$A$731,$A44)</f>
        <v/>
      </c>
      <c r="J44" s="17">
        <f>SUMIFS(Source_Evolution!$J$3:$J$731,Source_Evolution!$A$3:$A$731,$A44)</f>
        <v/>
      </c>
      <c r="K44" s="17">
        <f>SUMIFS(Source_Evolution!$K$3:$K$731,Source_Evolution!$A$3:$A$731,$A44)</f>
        <v/>
      </c>
      <c r="L44" s="17">
        <f>SUMIFS(Source_Evolution!$L$3:$L$731,Source_Evolution!$A$3:$A$731,$A44)</f>
        <v/>
      </c>
      <c r="M44" s="17">
        <f>SUMIFS(Source_Evolution!$M$3:$M$731,Source_Evolution!$A$3:$A$731,$A44)</f>
        <v/>
      </c>
      <c r="N44" s="17">
        <f>SUMIFS(Source_Evolution!$N$3:$N$731,Source_Evolution!$A$3:$A$731,$A44)</f>
        <v/>
      </c>
      <c r="O44" s="17">
        <f>SUMIFS(Source_Evolution!$O$3:$O$731,Source_Evolution!$A$3:$A$731,$A44)</f>
        <v/>
      </c>
      <c r="P44" s="17">
        <f>SUMIFS(Source_Evolution!$P$3:$P$731,Source_Evolution!$A$3:$A$731,$A44)</f>
        <v/>
      </c>
      <c r="Q44" s="17">
        <f>SUMIFS(Source_Evolution!$Q$3:$Q$731,Source_Evolution!$A$3:$A$731,$A44)</f>
        <v/>
      </c>
      <c r="R44" s="17">
        <f>SUM(E44:Q44)</f>
        <v/>
      </c>
      <c r="S44" s="17">
        <f>Q44</f>
        <v/>
      </c>
      <c r="T44">
        <f>IF(B44="Software",1,0)</f>
        <v/>
      </c>
      <c r="U44" s="18">
        <f>SUMPRODUCT((Source_Evolution!$A$3:$A$731=$A44)*(Source_Evolution!$E$3:$E$731&gt;0))</f>
        <v/>
      </c>
      <c r="V44" s="18">
        <f>SUMPRODUCT((Source_Evolution!$A$3:$A$731=$A44)*(Source_Evolution!$F$3:$F$731&gt;0))</f>
        <v/>
      </c>
      <c r="W44" s="18">
        <f>SUMPRODUCT((Source_Evolution!$A$3:$A$731=$A44)*(Source_Evolution!$G$3:$G$731&gt;0))</f>
        <v/>
      </c>
      <c r="X44" s="18">
        <f>SUMPRODUCT((Source_Evolution!$A$3:$A$731=$A44)*(Source_Evolution!$H$3:$H$731&gt;0))</f>
        <v/>
      </c>
      <c r="Y44" s="18">
        <f>SUMPRODUCT((Source_Evolution!$A$3:$A$731=$A44)*(Source_Evolution!$I$3:$I$731&gt;0))</f>
        <v/>
      </c>
      <c r="Z44" s="18">
        <f>SUMPRODUCT((Source_Evolution!$A$3:$A$731=$A44)*(Source_Evolution!$J$3:$J$731&gt;0))</f>
        <v/>
      </c>
      <c r="AA44" s="18">
        <f>SUMPRODUCT((Source_Evolution!$A$3:$A$731=$A44)*(Source_Evolution!$K$3:$K$731&gt;0))</f>
        <v/>
      </c>
      <c r="AB44" s="18">
        <f>SUMPRODUCT((Source_Evolution!$A$3:$A$731=$A44)*(Source_Evolution!$L$3:$L$731&gt;0))</f>
        <v/>
      </c>
      <c r="AC44" s="18">
        <f>SUMPRODUCT((Source_Evolution!$A$3:$A$731=$A44)*(Source_Evolution!$M$3:$M$731&gt;0))</f>
        <v/>
      </c>
      <c r="AD44" s="18">
        <f>SUMPRODUCT((Source_Evolution!$A$3:$A$731=$A44)*(Source_Evolution!$N$3:$N$731&gt;0))</f>
        <v/>
      </c>
      <c r="AE44" s="18">
        <f>SUMPRODUCT((Source_Evolution!$A$3:$A$731=$A44)*(Source_Evolution!$O$3:$O$731&gt;0))</f>
        <v/>
      </c>
      <c r="AF44" s="18">
        <f>SUMPRODUCT((Source_Evolution!$A$3:$A$731=$A44)*(Source_Evolution!$P$3:$P$731&gt;0))</f>
        <v/>
      </c>
      <c r="AG44" s="18">
        <f>SUMPRODUCT((Source_Evolution!$A$3:$A$731=$A44)*(Source_Evolution!$Q$3:$Q$731&gt;0))</f>
        <v/>
      </c>
    </row>
    <row r="45">
      <c r="A45" t="inlineStr">
        <is>
          <t>Company 137</t>
        </is>
      </c>
      <c r="B45" t="inlineStr">
        <is>
          <t>Operations</t>
        </is>
      </c>
      <c r="C45" t="inlineStr">
        <is>
          <t>Norway</t>
        </is>
      </c>
      <c r="D45" t="n">
        <v>2024</v>
      </c>
      <c r="E45" s="17">
        <f>SUMIFS(Source_Evolution!$E$3:$E$731,Source_Evolution!$A$3:$A$731,$A45)</f>
        <v/>
      </c>
      <c r="F45" s="17">
        <f>SUMIFS(Source_Evolution!$F$3:$F$731,Source_Evolution!$A$3:$A$731,$A45)</f>
        <v/>
      </c>
      <c r="G45" s="17">
        <f>SUMIFS(Source_Evolution!$G$3:$G$731,Source_Evolution!$A$3:$A$731,$A45)</f>
        <v/>
      </c>
      <c r="H45" s="17">
        <f>SUMIFS(Source_Evolution!$H$3:$H$731,Source_Evolution!$A$3:$A$731,$A45)</f>
        <v/>
      </c>
      <c r="I45" s="17">
        <f>SUMIFS(Source_Evolution!$I$3:$I$731,Source_Evolution!$A$3:$A$731,$A45)</f>
        <v/>
      </c>
      <c r="J45" s="17">
        <f>SUMIFS(Source_Evolution!$J$3:$J$731,Source_Evolution!$A$3:$A$731,$A45)</f>
        <v/>
      </c>
      <c r="K45" s="17">
        <f>SUMIFS(Source_Evolution!$K$3:$K$731,Source_Evolution!$A$3:$A$731,$A45)</f>
        <v/>
      </c>
      <c r="L45" s="17">
        <f>SUMIFS(Source_Evolution!$L$3:$L$731,Source_Evolution!$A$3:$A$731,$A45)</f>
        <v/>
      </c>
      <c r="M45" s="17">
        <f>SUMIFS(Source_Evolution!$M$3:$M$731,Source_Evolution!$A$3:$A$731,$A45)</f>
        <v/>
      </c>
      <c r="N45" s="17">
        <f>SUMIFS(Source_Evolution!$N$3:$N$731,Source_Evolution!$A$3:$A$731,$A45)</f>
        <v/>
      </c>
      <c r="O45" s="17">
        <f>SUMIFS(Source_Evolution!$O$3:$O$731,Source_Evolution!$A$3:$A$731,$A45)</f>
        <v/>
      </c>
      <c r="P45" s="17">
        <f>SUMIFS(Source_Evolution!$P$3:$P$731,Source_Evolution!$A$3:$A$731,$A45)</f>
        <v/>
      </c>
      <c r="Q45" s="17">
        <f>SUMIFS(Source_Evolution!$Q$3:$Q$731,Source_Evolution!$A$3:$A$731,$A45)</f>
        <v/>
      </c>
      <c r="R45" s="17">
        <f>SUM(E45:Q45)</f>
        <v/>
      </c>
      <c r="S45" s="17">
        <f>Q45</f>
        <v/>
      </c>
      <c r="T45">
        <f>IF(B45="Software",1,0)</f>
        <v/>
      </c>
      <c r="U45" s="18">
        <f>SUMPRODUCT((Source_Evolution!$A$3:$A$731=$A45)*(Source_Evolution!$E$3:$E$731&gt;0))</f>
        <v/>
      </c>
      <c r="V45" s="18">
        <f>SUMPRODUCT((Source_Evolution!$A$3:$A$731=$A45)*(Source_Evolution!$F$3:$F$731&gt;0))</f>
        <v/>
      </c>
      <c r="W45" s="18">
        <f>SUMPRODUCT((Source_Evolution!$A$3:$A$731=$A45)*(Source_Evolution!$G$3:$G$731&gt;0))</f>
        <v/>
      </c>
      <c r="X45" s="18">
        <f>SUMPRODUCT((Source_Evolution!$A$3:$A$731=$A45)*(Source_Evolution!$H$3:$H$731&gt;0))</f>
        <v/>
      </c>
      <c r="Y45" s="18">
        <f>SUMPRODUCT((Source_Evolution!$A$3:$A$731=$A45)*(Source_Evolution!$I$3:$I$731&gt;0))</f>
        <v/>
      </c>
      <c r="Z45" s="18">
        <f>SUMPRODUCT((Source_Evolution!$A$3:$A$731=$A45)*(Source_Evolution!$J$3:$J$731&gt;0))</f>
        <v/>
      </c>
      <c r="AA45" s="18">
        <f>SUMPRODUCT((Source_Evolution!$A$3:$A$731=$A45)*(Source_Evolution!$K$3:$K$731&gt;0))</f>
        <v/>
      </c>
      <c r="AB45" s="18">
        <f>SUMPRODUCT((Source_Evolution!$A$3:$A$731=$A45)*(Source_Evolution!$L$3:$L$731&gt;0))</f>
        <v/>
      </c>
      <c r="AC45" s="18">
        <f>SUMPRODUCT((Source_Evolution!$A$3:$A$731=$A45)*(Source_Evolution!$M$3:$M$731&gt;0))</f>
        <v/>
      </c>
      <c r="AD45" s="18">
        <f>SUMPRODUCT((Source_Evolution!$A$3:$A$731=$A45)*(Source_Evolution!$N$3:$N$731&gt;0))</f>
        <v/>
      </c>
      <c r="AE45" s="18">
        <f>SUMPRODUCT((Source_Evolution!$A$3:$A$731=$A45)*(Source_Evolution!$O$3:$O$731&gt;0))</f>
        <v/>
      </c>
      <c r="AF45" s="18">
        <f>SUMPRODUCT((Source_Evolution!$A$3:$A$731=$A45)*(Source_Evolution!$P$3:$P$731&gt;0))</f>
        <v/>
      </c>
      <c r="AG45" s="18">
        <f>SUMPRODUCT((Source_Evolution!$A$3:$A$731=$A45)*(Source_Evolution!$Q$3:$Q$731&gt;0))</f>
        <v/>
      </c>
    </row>
    <row r="46">
      <c r="A46" t="inlineStr">
        <is>
          <t>Company 138</t>
        </is>
      </c>
      <c r="B46" t="inlineStr">
        <is>
          <t>Software</t>
        </is>
      </c>
      <c r="C46" t="inlineStr">
        <is>
          <t>Germany</t>
        </is>
      </c>
      <c r="D46" t="n">
        <v>2024</v>
      </c>
      <c r="E46" s="17">
        <f>SUMIFS(Source_Evolution!$E$3:$E$731,Source_Evolution!$A$3:$A$731,$A46)</f>
        <v/>
      </c>
      <c r="F46" s="17">
        <f>SUMIFS(Source_Evolution!$F$3:$F$731,Source_Evolution!$A$3:$A$731,$A46)</f>
        <v/>
      </c>
      <c r="G46" s="17">
        <f>SUMIFS(Source_Evolution!$G$3:$G$731,Source_Evolution!$A$3:$A$731,$A46)</f>
        <v/>
      </c>
      <c r="H46" s="17">
        <f>SUMIFS(Source_Evolution!$H$3:$H$731,Source_Evolution!$A$3:$A$731,$A46)</f>
        <v/>
      </c>
      <c r="I46" s="17">
        <f>SUMIFS(Source_Evolution!$I$3:$I$731,Source_Evolution!$A$3:$A$731,$A46)</f>
        <v/>
      </c>
      <c r="J46" s="17">
        <f>SUMIFS(Source_Evolution!$J$3:$J$731,Source_Evolution!$A$3:$A$731,$A46)</f>
        <v/>
      </c>
      <c r="K46" s="17">
        <f>SUMIFS(Source_Evolution!$K$3:$K$731,Source_Evolution!$A$3:$A$731,$A46)</f>
        <v/>
      </c>
      <c r="L46" s="17">
        <f>SUMIFS(Source_Evolution!$L$3:$L$731,Source_Evolution!$A$3:$A$731,$A46)</f>
        <v/>
      </c>
      <c r="M46" s="17">
        <f>SUMIFS(Source_Evolution!$M$3:$M$731,Source_Evolution!$A$3:$A$731,$A46)</f>
        <v/>
      </c>
      <c r="N46" s="17">
        <f>SUMIFS(Source_Evolution!$N$3:$N$731,Source_Evolution!$A$3:$A$731,$A46)</f>
        <v/>
      </c>
      <c r="O46" s="17">
        <f>SUMIFS(Source_Evolution!$O$3:$O$731,Source_Evolution!$A$3:$A$731,$A46)</f>
        <v/>
      </c>
      <c r="P46" s="17">
        <f>SUMIFS(Source_Evolution!$P$3:$P$731,Source_Evolution!$A$3:$A$731,$A46)</f>
        <v/>
      </c>
      <c r="Q46" s="17">
        <f>SUMIFS(Source_Evolution!$Q$3:$Q$731,Source_Evolution!$A$3:$A$731,$A46)</f>
        <v/>
      </c>
      <c r="R46" s="17">
        <f>SUM(E46:Q46)</f>
        <v/>
      </c>
      <c r="S46" s="17">
        <f>Q46</f>
        <v/>
      </c>
      <c r="T46">
        <f>IF(B46="Software",1,0)</f>
        <v/>
      </c>
      <c r="U46" s="18">
        <f>SUMPRODUCT((Source_Evolution!$A$3:$A$731=$A46)*(Source_Evolution!$E$3:$E$731&gt;0))</f>
        <v/>
      </c>
      <c r="V46" s="18">
        <f>SUMPRODUCT((Source_Evolution!$A$3:$A$731=$A46)*(Source_Evolution!$F$3:$F$731&gt;0))</f>
        <v/>
      </c>
      <c r="W46" s="18">
        <f>SUMPRODUCT((Source_Evolution!$A$3:$A$731=$A46)*(Source_Evolution!$G$3:$G$731&gt;0))</f>
        <v/>
      </c>
      <c r="X46" s="18">
        <f>SUMPRODUCT((Source_Evolution!$A$3:$A$731=$A46)*(Source_Evolution!$H$3:$H$731&gt;0))</f>
        <v/>
      </c>
      <c r="Y46" s="18">
        <f>SUMPRODUCT((Source_Evolution!$A$3:$A$731=$A46)*(Source_Evolution!$I$3:$I$731&gt;0))</f>
        <v/>
      </c>
      <c r="Z46" s="18">
        <f>SUMPRODUCT((Source_Evolution!$A$3:$A$731=$A46)*(Source_Evolution!$J$3:$J$731&gt;0))</f>
        <v/>
      </c>
      <c r="AA46" s="18">
        <f>SUMPRODUCT((Source_Evolution!$A$3:$A$731=$A46)*(Source_Evolution!$K$3:$K$731&gt;0))</f>
        <v/>
      </c>
      <c r="AB46" s="18">
        <f>SUMPRODUCT((Source_Evolution!$A$3:$A$731=$A46)*(Source_Evolution!$L$3:$L$731&gt;0))</f>
        <v/>
      </c>
      <c r="AC46" s="18">
        <f>SUMPRODUCT((Source_Evolution!$A$3:$A$731=$A46)*(Source_Evolution!$M$3:$M$731&gt;0))</f>
        <v/>
      </c>
      <c r="AD46" s="18">
        <f>SUMPRODUCT((Source_Evolution!$A$3:$A$731=$A46)*(Source_Evolution!$N$3:$N$731&gt;0))</f>
        <v/>
      </c>
      <c r="AE46" s="18">
        <f>SUMPRODUCT((Source_Evolution!$A$3:$A$731=$A46)*(Source_Evolution!$O$3:$O$731&gt;0))</f>
        <v/>
      </c>
      <c r="AF46" s="18">
        <f>SUMPRODUCT((Source_Evolution!$A$3:$A$731=$A46)*(Source_Evolution!$P$3:$P$731&gt;0))</f>
        <v/>
      </c>
      <c r="AG46" s="18">
        <f>SUMPRODUCT((Source_Evolution!$A$3:$A$731=$A46)*(Source_Evolution!$Q$3:$Q$731&gt;0))</f>
        <v/>
      </c>
    </row>
    <row r="47">
      <c r="A47" t="inlineStr">
        <is>
          <t>Company 139</t>
        </is>
      </c>
      <c r="B47" t="inlineStr">
        <is>
          <t>Software</t>
        </is>
      </c>
      <c r="C47" t="inlineStr">
        <is>
          <t>Netherlands</t>
        </is>
      </c>
      <c r="D47" t="n">
        <v>2024</v>
      </c>
      <c r="E47" s="17">
        <f>SUMIFS(Source_Evolution!$E$3:$E$731,Source_Evolution!$A$3:$A$731,$A47)</f>
        <v/>
      </c>
      <c r="F47" s="17">
        <f>SUMIFS(Source_Evolution!$F$3:$F$731,Source_Evolution!$A$3:$A$731,$A47)</f>
        <v/>
      </c>
      <c r="G47" s="17">
        <f>SUMIFS(Source_Evolution!$G$3:$G$731,Source_Evolution!$A$3:$A$731,$A47)</f>
        <v/>
      </c>
      <c r="H47" s="17">
        <f>SUMIFS(Source_Evolution!$H$3:$H$731,Source_Evolution!$A$3:$A$731,$A47)</f>
        <v/>
      </c>
      <c r="I47" s="17">
        <f>SUMIFS(Source_Evolution!$I$3:$I$731,Source_Evolution!$A$3:$A$731,$A47)</f>
        <v/>
      </c>
      <c r="J47" s="17">
        <f>SUMIFS(Source_Evolution!$J$3:$J$731,Source_Evolution!$A$3:$A$731,$A47)</f>
        <v/>
      </c>
      <c r="K47" s="17">
        <f>SUMIFS(Source_Evolution!$K$3:$K$731,Source_Evolution!$A$3:$A$731,$A47)</f>
        <v/>
      </c>
      <c r="L47" s="17">
        <f>SUMIFS(Source_Evolution!$L$3:$L$731,Source_Evolution!$A$3:$A$731,$A47)</f>
        <v/>
      </c>
      <c r="M47" s="17">
        <f>SUMIFS(Source_Evolution!$M$3:$M$731,Source_Evolution!$A$3:$A$731,$A47)</f>
        <v/>
      </c>
      <c r="N47" s="17">
        <f>SUMIFS(Source_Evolution!$N$3:$N$731,Source_Evolution!$A$3:$A$731,$A47)</f>
        <v/>
      </c>
      <c r="O47" s="17">
        <f>SUMIFS(Source_Evolution!$O$3:$O$731,Source_Evolution!$A$3:$A$731,$A47)</f>
        <v/>
      </c>
      <c r="P47" s="17">
        <f>SUMIFS(Source_Evolution!$P$3:$P$731,Source_Evolution!$A$3:$A$731,$A47)</f>
        <v/>
      </c>
      <c r="Q47" s="17">
        <f>SUMIFS(Source_Evolution!$Q$3:$Q$731,Source_Evolution!$A$3:$A$731,$A47)</f>
        <v/>
      </c>
      <c r="R47" s="17">
        <f>SUM(E47:Q47)</f>
        <v/>
      </c>
      <c r="S47" s="17">
        <f>Q47</f>
        <v/>
      </c>
      <c r="T47">
        <f>IF(B47="Software",1,0)</f>
        <v/>
      </c>
      <c r="U47" s="18">
        <f>SUMPRODUCT((Source_Evolution!$A$3:$A$731=$A47)*(Source_Evolution!$E$3:$E$731&gt;0))</f>
        <v/>
      </c>
      <c r="V47" s="18">
        <f>SUMPRODUCT((Source_Evolution!$A$3:$A$731=$A47)*(Source_Evolution!$F$3:$F$731&gt;0))</f>
        <v/>
      </c>
      <c r="W47" s="18">
        <f>SUMPRODUCT((Source_Evolution!$A$3:$A$731=$A47)*(Source_Evolution!$G$3:$G$731&gt;0))</f>
        <v/>
      </c>
      <c r="X47" s="18">
        <f>SUMPRODUCT((Source_Evolution!$A$3:$A$731=$A47)*(Source_Evolution!$H$3:$H$731&gt;0))</f>
        <v/>
      </c>
      <c r="Y47" s="18">
        <f>SUMPRODUCT((Source_Evolution!$A$3:$A$731=$A47)*(Source_Evolution!$I$3:$I$731&gt;0))</f>
        <v/>
      </c>
      <c r="Z47" s="18">
        <f>SUMPRODUCT((Source_Evolution!$A$3:$A$731=$A47)*(Source_Evolution!$J$3:$J$731&gt;0))</f>
        <v/>
      </c>
      <c r="AA47" s="18">
        <f>SUMPRODUCT((Source_Evolution!$A$3:$A$731=$A47)*(Source_Evolution!$K$3:$K$731&gt;0))</f>
        <v/>
      </c>
      <c r="AB47" s="18">
        <f>SUMPRODUCT((Source_Evolution!$A$3:$A$731=$A47)*(Source_Evolution!$L$3:$L$731&gt;0))</f>
        <v/>
      </c>
      <c r="AC47" s="18">
        <f>SUMPRODUCT((Source_Evolution!$A$3:$A$731=$A47)*(Source_Evolution!$M$3:$M$731&gt;0))</f>
        <v/>
      </c>
      <c r="AD47" s="18">
        <f>SUMPRODUCT((Source_Evolution!$A$3:$A$731=$A47)*(Source_Evolution!$N$3:$N$731&gt;0))</f>
        <v/>
      </c>
      <c r="AE47" s="18">
        <f>SUMPRODUCT((Source_Evolution!$A$3:$A$731=$A47)*(Source_Evolution!$O$3:$O$731&gt;0))</f>
        <v/>
      </c>
      <c r="AF47" s="18">
        <f>SUMPRODUCT((Source_Evolution!$A$3:$A$731=$A47)*(Source_Evolution!$P$3:$P$731&gt;0))</f>
        <v/>
      </c>
      <c r="AG47" s="18">
        <f>SUMPRODUCT((Source_Evolution!$A$3:$A$731=$A47)*(Source_Evolution!$Q$3:$Q$731&gt;0))</f>
        <v/>
      </c>
    </row>
    <row r="48">
      <c r="A48" t="inlineStr">
        <is>
          <t>Company 14</t>
        </is>
      </c>
      <c r="B48" t="inlineStr">
        <is>
          <t>Operations</t>
        </is>
      </c>
      <c r="C48" t="inlineStr">
        <is>
          <t>UK</t>
        </is>
      </c>
      <c r="D48" t="n">
        <v>2014</v>
      </c>
      <c r="E48" s="17">
        <f>SUMIFS(Source_Evolution!$E$3:$E$731,Source_Evolution!$A$3:$A$731,$A48)</f>
        <v/>
      </c>
      <c r="F48" s="17">
        <f>SUMIFS(Source_Evolution!$F$3:$F$731,Source_Evolution!$A$3:$A$731,$A48)</f>
        <v/>
      </c>
      <c r="G48" s="17">
        <f>SUMIFS(Source_Evolution!$G$3:$G$731,Source_Evolution!$A$3:$A$731,$A48)</f>
        <v/>
      </c>
      <c r="H48" s="17">
        <f>SUMIFS(Source_Evolution!$H$3:$H$731,Source_Evolution!$A$3:$A$731,$A48)</f>
        <v/>
      </c>
      <c r="I48" s="17">
        <f>SUMIFS(Source_Evolution!$I$3:$I$731,Source_Evolution!$A$3:$A$731,$A48)</f>
        <v/>
      </c>
      <c r="J48" s="17">
        <f>SUMIFS(Source_Evolution!$J$3:$J$731,Source_Evolution!$A$3:$A$731,$A48)</f>
        <v/>
      </c>
      <c r="K48" s="17">
        <f>SUMIFS(Source_Evolution!$K$3:$K$731,Source_Evolution!$A$3:$A$731,$A48)</f>
        <v/>
      </c>
      <c r="L48" s="17">
        <f>SUMIFS(Source_Evolution!$L$3:$L$731,Source_Evolution!$A$3:$A$731,$A48)</f>
        <v/>
      </c>
      <c r="M48" s="17">
        <f>SUMIFS(Source_Evolution!$M$3:$M$731,Source_Evolution!$A$3:$A$731,$A48)</f>
        <v/>
      </c>
      <c r="N48" s="17">
        <f>SUMIFS(Source_Evolution!$N$3:$N$731,Source_Evolution!$A$3:$A$731,$A48)</f>
        <v/>
      </c>
      <c r="O48" s="17">
        <f>SUMIFS(Source_Evolution!$O$3:$O$731,Source_Evolution!$A$3:$A$731,$A48)</f>
        <v/>
      </c>
      <c r="P48" s="17">
        <f>SUMIFS(Source_Evolution!$P$3:$P$731,Source_Evolution!$A$3:$A$731,$A48)</f>
        <v/>
      </c>
      <c r="Q48" s="17">
        <f>SUMIFS(Source_Evolution!$Q$3:$Q$731,Source_Evolution!$A$3:$A$731,$A48)</f>
        <v/>
      </c>
      <c r="R48" s="17">
        <f>SUM(E48:Q48)</f>
        <v/>
      </c>
      <c r="S48" s="17">
        <f>Q48</f>
        <v/>
      </c>
      <c r="T48">
        <f>IF(B48="Software",1,0)</f>
        <v/>
      </c>
      <c r="U48" s="18">
        <f>SUMPRODUCT((Source_Evolution!$A$3:$A$731=$A48)*(Source_Evolution!$E$3:$E$731&gt;0))</f>
        <v/>
      </c>
      <c r="V48" s="18">
        <f>SUMPRODUCT((Source_Evolution!$A$3:$A$731=$A48)*(Source_Evolution!$F$3:$F$731&gt;0))</f>
        <v/>
      </c>
      <c r="W48" s="18">
        <f>SUMPRODUCT((Source_Evolution!$A$3:$A$731=$A48)*(Source_Evolution!$G$3:$G$731&gt;0))</f>
        <v/>
      </c>
      <c r="X48" s="18">
        <f>SUMPRODUCT((Source_Evolution!$A$3:$A$731=$A48)*(Source_Evolution!$H$3:$H$731&gt;0))</f>
        <v/>
      </c>
      <c r="Y48" s="18">
        <f>SUMPRODUCT((Source_Evolution!$A$3:$A$731=$A48)*(Source_Evolution!$I$3:$I$731&gt;0))</f>
        <v/>
      </c>
      <c r="Z48" s="18">
        <f>SUMPRODUCT((Source_Evolution!$A$3:$A$731=$A48)*(Source_Evolution!$J$3:$J$731&gt;0))</f>
        <v/>
      </c>
      <c r="AA48" s="18">
        <f>SUMPRODUCT((Source_Evolution!$A$3:$A$731=$A48)*(Source_Evolution!$K$3:$K$731&gt;0))</f>
        <v/>
      </c>
      <c r="AB48" s="18">
        <f>SUMPRODUCT((Source_Evolution!$A$3:$A$731=$A48)*(Source_Evolution!$L$3:$L$731&gt;0))</f>
        <v/>
      </c>
      <c r="AC48" s="18">
        <f>SUMPRODUCT((Source_Evolution!$A$3:$A$731=$A48)*(Source_Evolution!$M$3:$M$731&gt;0))</f>
        <v/>
      </c>
      <c r="AD48" s="18">
        <f>SUMPRODUCT((Source_Evolution!$A$3:$A$731=$A48)*(Source_Evolution!$N$3:$N$731&gt;0))</f>
        <v/>
      </c>
      <c r="AE48" s="18">
        <f>SUMPRODUCT((Source_Evolution!$A$3:$A$731=$A48)*(Source_Evolution!$O$3:$O$731&gt;0))</f>
        <v/>
      </c>
      <c r="AF48" s="18">
        <f>SUMPRODUCT((Source_Evolution!$A$3:$A$731=$A48)*(Source_Evolution!$P$3:$P$731&gt;0))</f>
        <v/>
      </c>
      <c r="AG48" s="18">
        <f>SUMPRODUCT((Source_Evolution!$A$3:$A$731=$A48)*(Source_Evolution!$Q$3:$Q$731&gt;0))</f>
        <v/>
      </c>
    </row>
    <row r="49">
      <c r="A49" t="inlineStr">
        <is>
          <t>Company 140</t>
        </is>
      </c>
      <c r="B49" t="inlineStr">
        <is>
          <t>Operations</t>
        </is>
      </c>
      <c r="C49" t="inlineStr">
        <is>
          <t>UK</t>
        </is>
      </c>
      <c r="D49" t="n">
        <v>2025</v>
      </c>
      <c r="E49" s="17">
        <f>SUMIFS(Source_Evolution!$E$3:$E$731,Source_Evolution!$A$3:$A$731,$A49)</f>
        <v/>
      </c>
      <c r="F49" s="17">
        <f>SUMIFS(Source_Evolution!$F$3:$F$731,Source_Evolution!$A$3:$A$731,$A49)</f>
        <v/>
      </c>
      <c r="G49" s="17">
        <f>SUMIFS(Source_Evolution!$G$3:$G$731,Source_Evolution!$A$3:$A$731,$A49)</f>
        <v/>
      </c>
      <c r="H49" s="17">
        <f>SUMIFS(Source_Evolution!$H$3:$H$731,Source_Evolution!$A$3:$A$731,$A49)</f>
        <v/>
      </c>
      <c r="I49" s="17">
        <f>SUMIFS(Source_Evolution!$I$3:$I$731,Source_Evolution!$A$3:$A$731,$A49)</f>
        <v/>
      </c>
      <c r="J49" s="17">
        <f>SUMIFS(Source_Evolution!$J$3:$J$731,Source_Evolution!$A$3:$A$731,$A49)</f>
        <v/>
      </c>
      <c r="K49" s="17">
        <f>SUMIFS(Source_Evolution!$K$3:$K$731,Source_Evolution!$A$3:$A$731,$A49)</f>
        <v/>
      </c>
      <c r="L49" s="17">
        <f>SUMIFS(Source_Evolution!$L$3:$L$731,Source_Evolution!$A$3:$A$731,$A49)</f>
        <v/>
      </c>
      <c r="M49" s="17">
        <f>SUMIFS(Source_Evolution!$M$3:$M$731,Source_Evolution!$A$3:$A$731,$A49)</f>
        <v/>
      </c>
      <c r="N49" s="17">
        <f>SUMIFS(Source_Evolution!$N$3:$N$731,Source_Evolution!$A$3:$A$731,$A49)</f>
        <v/>
      </c>
      <c r="O49" s="17">
        <f>SUMIFS(Source_Evolution!$O$3:$O$731,Source_Evolution!$A$3:$A$731,$A49)</f>
        <v/>
      </c>
      <c r="P49" s="17">
        <f>SUMIFS(Source_Evolution!$P$3:$P$731,Source_Evolution!$A$3:$A$731,$A49)</f>
        <v/>
      </c>
      <c r="Q49" s="17">
        <f>SUMIFS(Source_Evolution!$Q$3:$Q$731,Source_Evolution!$A$3:$A$731,$A49)</f>
        <v/>
      </c>
      <c r="R49" s="17">
        <f>SUM(E49:Q49)</f>
        <v/>
      </c>
      <c r="S49" s="17">
        <f>Q49</f>
        <v/>
      </c>
      <c r="T49">
        <f>IF(B49="Software",1,0)</f>
        <v/>
      </c>
      <c r="U49" s="18">
        <f>SUMPRODUCT((Source_Evolution!$A$3:$A$731=$A49)*(Source_Evolution!$E$3:$E$731&gt;0))</f>
        <v/>
      </c>
      <c r="V49" s="18">
        <f>SUMPRODUCT((Source_Evolution!$A$3:$A$731=$A49)*(Source_Evolution!$F$3:$F$731&gt;0))</f>
        <v/>
      </c>
      <c r="W49" s="18">
        <f>SUMPRODUCT((Source_Evolution!$A$3:$A$731=$A49)*(Source_Evolution!$G$3:$G$731&gt;0))</f>
        <v/>
      </c>
      <c r="X49" s="18">
        <f>SUMPRODUCT((Source_Evolution!$A$3:$A$731=$A49)*(Source_Evolution!$H$3:$H$731&gt;0))</f>
        <v/>
      </c>
      <c r="Y49" s="18">
        <f>SUMPRODUCT((Source_Evolution!$A$3:$A$731=$A49)*(Source_Evolution!$I$3:$I$731&gt;0))</f>
        <v/>
      </c>
      <c r="Z49" s="18">
        <f>SUMPRODUCT((Source_Evolution!$A$3:$A$731=$A49)*(Source_Evolution!$J$3:$J$731&gt;0))</f>
        <v/>
      </c>
      <c r="AA49" s="18">
        <f>SUMPRODUCT((Source_Evolution!$A$3:$A$731=$A49)*(Source_Evolution!$K$3:$K$731&gt;0))</f>
        <v/>
      </c>
      <c r="AB49" s="18">
        <f>SUMPRODUCT((Source_Evolution!$A$3:$A$731=$A49)*(Source_Evolution!$L$3:$L$731&gt;0))</f>
        <v/>
      </c>
      <c r="AC49" s="18">
        <f>SUMPRODUCT((Source_Evolution!$A$3:$A$731=$A49)*(Source_Evolution!$M$3:$M$731&gt;0))</f>
        <v/>
      </c>
      <c r="AD49" s="18">
        <f>SUMPRODUCT((Source_Evolution!$A$3:$A$731=$A49)*(Source_Evolution!$N$3:$N$731&gt;0))</f>
        <v/>
      </c>
      <c r="AE49" s="18">
        <f>SUMPRODUCT((Source_Evolution!$A$3:$A$731=$A49)*(Source_Evolution!$O$3:$O$731&gt;0))</f>
        <v/>
      </c>
      <c r="AF49" s="18">
        <f>SUMPRODUCT((Source_Evolution!$A$3:$A$731=$A49)*(Source_Evolution!$P$3:$P$731&gt;0))</f>
        <v/>
      </c>
      <c r="AG49" s="18">
        <f>SUMPRODUCT((Source_Evolution!$A$3:$A$731=$A49)*(Source_Evolution!$Q$3:$Q$731&gt;0))</f>
        <v/>
      </c>
    </row>
    <row r="50">
      <c r="A50" t="inlineStr">
        <is>
          <t>Company 141</t>
        </is>
      </c>
      <c r="B50" t="inlineStr">
        <is>
          <t>Software</t>
        </is>
      </c>
      <c r="C50" t="inlineStr">
        <is>
          <t>Switzerland</t>
        </is>
      </c>
      <c r="D50" t="n">
        <v>2024</v>
      </c>
      <c r="E50" s="17">
        <f>SUMIFS(Source_Evolution!$E$3:$E$731,Source_Evolution!$A$3:$A$731,$A50)</f>
        <v/>
      </c>
      <c r="F50" s="17">
        <f>SUMIFS(Source_Evolution!$F$3:$F$731,Source_Evolution!$A$3:$A$731,$A50)</f>
        <v/>
      </c>
      <c r="G50" s="17">
        <f>SUMIFS(Source_Evolution!$G$3:$G$731,Source_Evolution!$A$3:$A$731,$A50)</f>
        <v/>
      </c>
      <c r="H50" s="17">
        <f>SUMIFS(Source_Evolution!$H$3:$H$731,Source_Evolution!$A$3:$A$731,$A50)</f>
        <v/>
      </c>
      <c r="I50" s="17">
        <f>SUMIFS(Source_Evolution!$I$3:$I$731,Source_Evolution!$A$3:$A$731,$A50)</f>
        <v/>
      </c>
      <c r="J50" s="17">
        <f>SUMIFS(Source_Evolution!$J$3:$J$731,Source_Evolution!$A$3:$A$731,$A50)</f>
        <v/>
      </c>
      <c r="K50" s="17">
        <f>SUMIFS(Source_Evolution!$K$3:$K$731,Source_Evolution!$A$3:$A$731,$A50)</f>
        <v/>
      </c>
      <c r="L50" s="17">
        <f>SUMIFS(Source_Evolution!$L$3:$L$731,Source_Evolution!$A$3:$A$731,$A50)</f>
        <v/>
      </c>
      <c r="M50" s="17">
        <f>SUMIFS(Source_Evolution!$M$3:$M$731,Source_Evolution!$A$3:$A$731,$A50)</f>
        <v/>
      </c>
      <c r="N50" s="17">
        <f>SUMIFS(Source_Evolution!$N$3:$N$731,Source_Evolution!$A$3:$A$731,$A50)</f>
        <v/>
      </c>
      <c r="O50" s="17">
        <f>SUMIFS(Source_Evolution!$O$3:$O$731,Source_Evolution!$A$3:$A$731,$A50)</f>
        <v/>
      </c>
      <c r="P50" s="17">
        <f>SUMIFS(Source_Evolution!$P$3:$P$731,Source_Evolution!$A$3:$A$731,$A50)</f>
        <v/>
      </c>
      <c r="Q50" s="17">
        <f>SUMIFS(Source_Evolution!$Q$3:$Q$731,Source_Evolution!$A$3:$A$731,$A50)</f>
        <v/>
      </c>
      <c r="R50" s="17">
        <f>SUM(E50:Q50)</f>
        <v/>
      </c>
      <c r="S50" s="17">
        <f>Q50</f>
        <v/>
      </c>
      <c r="T50">
        <f>IF(B50="Software",1,0)</f>
        <v/>
      </c>
      <c r="U50" s="18">
        <f>SUMPRODUCT((Source_Evolution!$A$3:$A$731=$A50)*(Source_Evolution!$E$3:$E$731&gt;0))</f>
        <v/>
      </c>
      <c r="V50" s="18">
        <f>SUMPRODUCT((Source_Evolution!$A$3:$A$731=$A50)*(Source_Evolution!$F$3:$F$731&gt;0))</f>
        <v/>
      </c>
      <c r="W50" s="18">
        <f>SUMPRODUCT((Source_Evolution!$A$3:$A$731=$A50)*(Source_Evolution!$G$3:$G$731&gt;0))</f>
        <v/>
      </c>
      <c r="X50" s="18">
        <f>SUMPRODUCT((Source_Evolution!$A$3:$A$731=$A50)*(Source_Evolution!$H$3:$H$731&gt;0))</f>
        <v/>
      </c>
      <c r="Y50" s="18">
        <f>SUMPRODUCT((Source_Evolution!$A$3:$A$731=$A50)*(Source_Evolution!$I$3:$I$731&gt;0))</f>
        <v/>
      </c>
      <c r="Z50" s="18">
        <f>SUMPRODUCT((Source_Evolution!$A$3:$A$731=$A50)*(Source_Evolution!$J$3:$J$731&gt;0))</f>
        <v/>
      </c>
      <c r="AA50" s="18">
        <f>SUMPRODUCT((Source_Evolution!$A$3:$A$731=$A50)*(Source_Evolution!$K$3:$K$731&gt;0))</f>
        <v/>
      </c>
      <c r="AB50" s="18">
        <f>SUMPRODUCT((Source_Evolution!$A$3:$A$731=$A50)*(Source_Evolution!$L$3:$L$731&gt;0))</f>
        <v/>
      </c>
      <c r="AC50" s="18">
        <f>SUMPRODUCT((Source_Evolution!$A$3:$A$731=$A50)*(Source_Evolution!$M$3:$M$731&gt;0))</f>
        <v/>
      </c>
      <c r="AD50" s="18">
        <f>SUMPRODUCT((Source_Evolution!$A$3:$A$731=$A50)*(Source_Evolution!$N$3:$N$731&gt;0))</f>
        <v/>
      </c>
      <c r="AE50" s="18">
        <f>SUMPRODUCT((Source_Evolution!$A$3:$A$731=$A50)*(Source_Evolution!$O$3:$O$731&gt;0))</f>
        <v/>
      </c>
      <c r="AF50" s="18">
        <f>SUMPRODUCT((Source_Evolution!$A$3:$A$731=$A50)*(Source_Evolution!$P$3:$P$731&gt;0))</f>
        <v/>
      </c>
      <c r="AG50" s="18">
        <f>SUMPRODUCT((Source_Evolution!$A$3:$A$731=$A50)*(Source_Evolution!$Q$3:$Q$731&gt;0))</f>
        <v/>
      </c>
    </row>
    <row r="51">
      <c r="A51" t="inlineStr">
        <is>
          <t>Company 142</t>
        </is>
      </c>
      <c r="B51" t="inlineStr">
        <is>
          <t>Software</t>
        </is>
      </c>
      <c r="C51" t="inlineStr">
        <is>
          <t>Germany</t>
        </is>
      </c>
      <c r="D51" t="n">
        <v>2024</v>
      </c>
      <c r="E51" s="17">
        <f>SUMIFS(Source_Evolution!$E$3:$E$731,Source_Evolution!$A$3:$A$731,$A51)</f>
        <v/>
      </c>
      <c r="F51" s="17">
        <f>SUMIFS(Source_Evolution!$F$3:$F$731,Source_Evolution!$A$3:$A$731,$A51)</f>
        <v/>
      </c>
      <c r="G51" s="17">
        <f>SUMIFS(Source_Evolution!$G$3:$G$731,Source_Evolution!$A$3:$A$731,$A51)</f>
        <v/>
      </c>
      <c r="H51" s="17">
        <f>SUMIFS(Source_Evolution!$H$3:$H$731,Source_Evolution!$A$3:$A$731,$A51)</f>
        <v/>
      </c>
      <c r="I51" s="17">
        <f>SUMIFS(Source_Evolution!$I$3:$I$731,Source_Evolution!$A$3:$A$731,$A51)</f>
        <v/>
      </c>
      <c r="J51" s="17">
        <f>SUMIFS(Source_Evolution!$J$3:$J$731,Source_Evolution!$A$3:$A$731,$A51)</f>
        <v/>
      </c>
      <c r="K51" s="17">
        <f>SUMIFS(Source_Evolution!$K$3:$K$731,Source_Evolution!$A$3:$A$731,$A51)</f>
        <v/>
      </c>
      <c r="L51" s="17">
        <f>SUMIFS(Source_Evolution!$L$3:$L$731,Source_Evolution!$A$3:$A$731,$A51)</f>
        <v/>
      </c>
      <c r="M51" s="17">
        <f>SUMIFS(Source_Evolution!$M$3:$M$731,Source_Evolution!$A$3:$A$731,$A51)</f>
        <v/>
      </c>
      <c r="N51" s="17">
        <f>SUMIFS(Source_Evolution!$N$3:$N$731,Source_Evolution!$A$3:$A$731,$A51)</f>
        <v/>
      </c>
      <c r="O51" s="17">
        <f>SUMIFS(Source_Evolution!$O$3:$O$731,Source_Evolution!$A$3:$A$731,$A51)</f>
        <v/>
      </c>
      <c r="P51" s="17">
        <f>SUMIFS(Source_Evolution!$P$3:$P$731,Source_Evolution!$A$3:$A$731,$A51)</f>
        <v/>
      </c>
      <c r="Q51" s="17">
        <f>SUMIFS(Source_Evolution!$Q$3:$Q$731,Source_Evolution!$A$3:$A$731,$A51)</f>
        <v/>
      </c>
      <c r="R51" s="17">
        <f>SUM(E51:Q51)</f>
        <v/>
      </c>
      <c r="S51" s="17">
        <f>Q51</f>
        <v/>
      </c>
      <c r="T51">
        <f>IF(B51="Software",1,0)</f>
        <v/>
      </c>
      <c r="U51" s="18">
        <f>SUMPRODUCT((Source_Evolution!$A$3:$A$731=$A51)*(Source_Evolution!$E$3:$E$731&gt;0))</f>
        <v/>
      </c>
      <c r="V51" s="18">
        <f>SUMPRODUCT((Source_Evolution!$A$3:$A$731=$A51)*(Source_Evolution!$F$3:$F$731&gt;0))</f>
        <v/>
      </c>
      <c r="W51" s="18">
        <f>SUMPRODUCT((Source_Evolution!$A$3:$A$731=$A51)*(Source_Evolution!$G$3:$G$731&gt;0))</f>
        <v/>
      </c>
      <c r="X51" s="18">
        <f>SUMPRODUCT((Source_Evolution!$A$3:$A$731=$A51)*(Source_Evolution!$H$3:$H$731&gt;0))</f>
        <v/>
      </c>
      <c r="Y51" s="18">
        <f>SUMPRODUCT((Source_Evolution!$A$3:$A$731=$A51)*(Source_Evolution!$I$3:$I$731&gt;0))</f>
        <v/>
      </c>
      <c r="Z51" s="18">
        <f>SUMPRODUCT((Source_Evolution!$A$3:$A$731=$A51)*(Source_Evolution!$J$3:$J$731&gt;0))</f>
        <v/>
      </c>
      <c r="AA51" s="18">
        <f>SUMPRODUCT((Source_Evolution!$A$3:$A$731=$A51)*(Source_Evolution!$K$3:$K$731&gt;0))</f>
        <v/>
      </c>
      <c r="AB51" s="18">
        <f>SUMPRODUCT((Source_Evolution!$A$3:$A$731=$A51)*(Source_Evolution!$L$3:$L$731&gt;0))</f>
        <v/>
      </c>
      <c r="AC51" s="18">
        <f>SUMPRODUCT((Source_Evolution!$A$3:$A$731=$A51)*(Source_Evolution!$M$3:$M$731&gt;0))</f>
        <v/>
      </c>
      <c r="AD51" s="18">
        <f>SUMPRODUCT((Source_Evolution!$A$3:$A$731=$A51)*(Source_Evolution!$N$3:$N$731&gt;0))</f>
        <v/>
      </c>
      <c r="AE51" s="18">
        <f>SUMPRODUCT((Source_Evolution!$A$3:$A$731=$A51)*(Source_Evolution!$O$3:$O$731&gt;0))</f>
        <v/>
      </c>
      <c r="AF51" s="18">
        <f>SUMPRODUCT((Source_Evolution!$A$3:$A$731=$A51)*(Source_Evolution!$P$3:$P$731&gt;0))</f>
        <v/>
      </c>
      <c r="AG51" s="18">
        <f>SUMPRODUCT((Source_Evolution!$A$3:$A$731=$A51)*(Source_Evolution!$Q$3:$Q$731&gt;0))</f>
        <v/>
      </c>
    </row>
    <row r="52">
      <c r="A52" t="inlineStr">
        <is>
          <t>Company 143</t>
        </is>
      </c>
      <c r="B52" t="inlineStr">
        <is>
          <t>Software</t>
        </is>
      </c>
      <c r="C52" t="inlineStr">
        <is>
          <t>Denmark</t>
        </is>
      </c>
      <c r="D52" t="n">
        <v>2025</v>
      </c>
      <c r="E52" s="17">
        <f>SUMIFS(Source_Evolution!$E$3:$E$731,Source_Evolution!$A$3:$A$731,$A52)</f>
        <v/>
      </c>
      <c r="F52" s="17">
        <f>SUMIFS(Source_Evolution!$F$3:$F$731,Source_Evolution!$A$3:$A$731,$A52)</f>
        <v/>
      </c>
      <c r="G52" s="17">
        <f>SUMIFS(Source_Evolution!$G$3:$G$731,Source_Evolution!$A$3:$A$731,$A52)</f>
        <v/>
      </c>
      <c r="H52" s="17">
        <f>SUMIFS(Source_Evolution!$H$3:$H$731,Source_Evolution!$A$3:$A$731,$A52)</f>
        <v/>
      </c>
      <c r="I52" s="17">
        <f>SUMIFS(Source_Evolution!$I$3:$I$731,Source_Evolution!$A$3:$A$731,$A52)</f>
        <v/>
      </c>
      <c r="J52" s="17">
        <f>SUMIFS(Source_Evolution!$J$3:$J$731,Source_Evolution!$A$3:$A$731,$A52)</f>
        <v/>
      </c>
      <c r="K52" s="17">
        <f>SUMIFS(Source_Evolution!$K$3:$K$731,Source_Evolution!$A$3:$A$731,$A52)</f>
        <v/>
      </c>
      <c r="L52" s="17">
        <f>SUMIFS(Source_Evolution!$L$3:$L$731,Source_Evolution!$A$3:$A$731,$A52)</f>
        <v/>
      </c>
      <c r="M52" s="17">
        <f>SUMIFS(Source_Evolution!$M$3:$M$731,Source_Evolution!$A$3:$A$731,$A52)</f>
        <v/>
      </c>
      <c r="N52" s="17">
        <f>SUMIFS(Source_Evolution!$N$3:$N$731,Source_Evolution!$A$3:$A$731,$A52)</f>
        <v/>
      </c>
      <c r="O52" s="17">
        <f>SUMIFS(Source_Evolution!$O$3:$O$731,Source_Evolution!$A$3:$A$731,$A52)</f>
        <v/>
      </c>
      <c r="P52" s="17">
        <f>SUMIFS(Source_Evolution!$P$3:$P$731,Source_Evolution!$A$3:$A$731,$A52)</f>
        <v/>
      </c>
      <c r="Q52" s="17">
        <f>SUMIFS(Source_Evolution!$Q$3:$Q$731,Source_Evolution!$A$3:$A$731,$A52)</f>
        <v/>
      </c>
      <c r="R52" s="17">
        <f>SUM(E52:Q52)</f>
        <v/>
      </c>
      <c r="S52" s="17">
        <f>Q52</f>
        <v/>
      </c>
      <c r="T52">
        <f>IF(B52="Software",1,0)</f>
        <v/>
      </c>
      <c r="U52" s="18">
        <f>SUMPRODUCT((Source_Evolution!$A$3:$A$731=$A52)*(Source_Evolution!$E$3:$E$731&gt;0))</f>
        <v/>
      </c>
      <c r="V52" s="18">
        <f>SUMPRODUCT((Source_Evolution!$A$3:$A$731=$A52)*(Source_Evolution!$F$3:$F$731&gt;0))</f>
        <v/>
      </c>
      <c r="W52" s="18">
        <f>SUMPRODUCT((Source_Evolution!$A$3:$A$731=$A52)*(Source_Evolution!$G$3:$G$731&gt;0))</f>
        <v/>
      </c>
      <c r="X52" s="18">
        <f>SUMPRODUCT((Source_Evolution!$A$3:$A$731=$A52)*(Source_Evolution!$H$3:$H$731&gt;0))</f>
        <v/>
      </c>
      <c r="Y52" s="18">
        <f>SUMPRODUCT((Source_Evolution!$A$3:$A$731=$A52)*(Source_Evolution!$I$3:$I$731&gt;0))</f>
        <v/>
      </c>
      <c r="Z52" s="18">
        <f>SUMPRODUCT((Source_Evolution!$A$3:$A$731=$A52)*(Source_Evolution!$J$3:$J$731&gt;0))</f>
        <v/>
      </c>
      <c r="AA52" s="18">
        <f>SUMPRODUCT((Source_Evolution!$A$3:$A$731=$A52)*(Source_Evolution!$K$3:$K$731&gt;0))</f>
        <v/>
      </c>
      <c r="AB52" s="18">
        <f>SUMPRODUCT((Source_Evolution!$A$3:$A$731=$A52)*(Source_Evolution!$L$3:$L$731&gt;0))</f>
        <v/>
      </c>
      <c r="AC52" s="18">
        <f>SUMPRODUCT((Source_Evolution!$A$3:$A$731=$A52)*(Source_Evolution!$M$3:$M$731&gt;0))</f>
        <v/>
      </c>
      <c r="AD52" s="18">
        <f>SUMPRODUCT((Source_Evolution!$A$3:$A$731=$A52)*(Source_Evolution!$N$3:$N$731&gt;0))</f>
        <v/>
      </c>
      <c r="AE52" s="18">
        <f>SUMPRODUCT((Source_Evolution!$A$3:$A$731=$A52)*(Source_Evolution!$O$3:$O$731&gt;0))</f>
        <v/>
      </c>
      <c r="AF52" s="18">
        <f>SUMPRODUCT((Source_Evolution!$A$3:$A$731=$A52)*(Source_Evolution!$P$3:$P$731&gt;0))</f>
        <v/>
      </c>
      <c r="AG52" s="18">
        <f>SUMPRODUCT((Source_Evolution!$A$3:$A$731=$A52)*(Source_Evolution!$Q$3:$Q$731&gt;0))</f>
        <v/>
      </c>
    </row>
    <row r="53">
      <c r="A53" t="inlineStr">
        <is>
          <t>Company 144</t>
        </is>
      </c>
      <c r="B53" t="inlineStr">
        <is>
          <t>Operations</t>
        </is>
      </c>
      <c r="C53" t="inlineStr">
        <is>
          <t>Netherlands</t>
        </is>
      </c>
      <c r="D53" t="n">
        <v>2024</v>
      </c>
      <c r="E53" s="17">
        <f>SUMIFS(Source_Evolution!$E$3:$E$731,Source_Evolution!$A$3:$A$731,$A53)</f>
        <v/>
      </c>
      <c r="F53" s="17">
        <f>SUMIFS(Source_Evolution!$F$3:$F$731,Source_Evolution!$A$3:$A$731,$A53)</f>
        <v/>
      </c>
      <c r="G53" s="17">
        <f>SUMIFS(Source_Evolution!$G$3:$G$731,Source_Evolution!$A$3:$A$731,$A53)</f>
        <v/>
      </c>
      <c r="H53" s="17">
        <f>SUMIFS(Source_Evolution!$H$3:$H$731,Source_Evolution!$A$3:$A$731,$A53)</f>
        <v/>
      </c>
      <c r="I53" s="17">
        <f>SUMIFS(Source_Evolution!$I$3:$I$731,Source_Evolution!$A$3:$A$731,$A53)</f>
        <v/>
      </c>
      <c r="J53" s="17">
        <f>SUMIFS(Source_Evolution!$J$3:$J$731,Source_Evolution!$A$3:$A$731,$A53)</f>
        <v/>
      </c>
      <c r="K53" s="17">
        <f>SUMIFS(Source_Evolution!$K$3:$K$731,Source_Evolution!$A$3:$A$731,$A53)</f>
        <v/>
      </c>
      <c r="L53" s="17">
        <f>SUMIFS(Source_Evolution!$L$3:$L$731,Source_Evolution!$A$3:$A$731,$A53)</f>
        <v/>
      </c>
      <c r="M53" s="17">
        <f>SUMIFS(Source_Evolution!$M$3:$M$731,Source_Evolution!$A$3:$A$731,$A53)</f>
        <v/>
      </c>
      <c r="N53" s="17">
        <f>SUMIFS(Source_Evolution!$N$3:$N$731,Source_Evolution!$A$3:$A$731,$A53)</f>
        <v/>
      </c>
      <c r="O53" s="17">
        <f>SUMIFS(Source_Evolution!$O$3:$O$731,Source_Evolution!$A$3:$A$731,$A53)</f>
        <v/>
      </c>
      <c r="P53" s="17">
        <f>SUMIFS(Source_Evolution!$P$3:$P$731,Source_Evolution!$A$3:$A$731,$A53)</f>
        <v/>
      </c>
      <c r="Q53" s="17">
        <f>SUMIFS(Source_Evolution!$Q$3:$Q$731,Source_Evolution!$A$3:$A$731,$A53)</f>
        <v/>
      </c>
      <c r="R53" s="17">
        <f>SUM(E53:Q53)</f>
        <v/>
      </c>
      <c r="S53" s="17">
        <f>Q53</f>
        <v/>
      </c>
      <c r="T53">
        <f>IF(B53="Software",1,0)</f>
        <v/>
      </c>
      <c r="U53" s="18">
        <f>SUMPRODUCT((Source_Evolution!$A$3:$A$731=$A53)*(Source_Evolution!$E$3:$E$731&gt;0))</f>
        <v/>
      </c>
      <c r="V53" s="18">
        <f>SUMPRODUCT((Source_Evolution!$A$3:$A$731=$A53)*(Source_Evolution!$F$3:$F$731&gt;0))</f>
        <v/>
      </c>
      <c r="W53" s="18">
        <f>SUMPRODUCT((Source_Evolution!$A$3:$A$731=$A53)*(Source_Evolution!$G$3:$G$731&gt;0))</f>
        <v/>
      </c>
      <c r="X53" s="18">
        <f>SUMPRODUCT((Source_Evolution!$A$3:$A$731=$A53)*(Source_Evolution!$H$3:$H$731&gt;0))</f>
        <v/>
      </c>
      <c r="Y53" s="18">
        <f>SUMPRODUCT((Source_Evolution!$A$3:$A$731=$A53)*(Source_Evolution!$I$3:$I$731&gt;0))</f>
        <v/>
      </c>
      <c r="Z53" s="18">
        <f>SUMPRODUCT((Source_Evolution!$A$3:$A$731=$A53)*(Source_Evolution!$J$3:$J$731&gt;0))</f>
        <v/>
      </c>
      <c r="AA53" s="18">
        <f>SUMPRODUCT((Source_Evolution!$A$3:$A$731=$A53)*(Source_Evolution!$K$3:$K$731&gt;0))</f>
        <v/>
      </c>
      <c r="AB53" s="18">
        <f>SUMPRODUCT((Source_Evolution!$A$3:$A$731=$A53)*(Source_Evolution!$L$3:$L$731&gt;0))</f>
        <v/>
      </c>
      <c r="AC53" s="18">
        <f>SUMPRODUCT((Source_Evolution!$A$3:$A$731=$A53)*(Source_Evolution!$M$3:$M$731&gt;0))</f>
        <v/>
      </c>
      <c r="AD53" s="18">
        <f>SUMPRODUCT((Source_Evolution!$A$3:$A$731=$A53)*(Source_Evolution!$N$3:$N$731&gt;0))</f>
        <v/>
      </c>
      <c r="AE53" s="18">
        <f>SUMPRODUCT((Source_Evolution!$A$3:$A$731=$A53)*(Source_Evolution!$O$3:$O$731&gt;0))</f>
        <v/>
      </c>
      <c r="AF53" s="18">
        <f>SUMPRODUCT((Source_Evolution!$A$3:$A$731=$A53)*(Source_Evolution!$P$3:$P$731&gt;0))</f>
        <v/>
      </c>
      <c r="AG53" s="18">
        <f>SUMPRODUCT((Source_Evolution!$A$3:$A$731=$A53)*(Source_Evolution!$Q$3:$Q$731&gt;0))</f>
        <v/>
      </c>
    </row>
    <row r="54">
      <c r="A54" t="inlineStr">
        <is>
          <t>Company 145</t>
        </is>
      </c>
      <c r="B54" t="inlineStr">
        <is>
          <t>Operations</t>
        </is>
      </c>
      <c r="C54" t="inlineStr">
        <is>
          <t>UK</t>
        </is>
      </c>
      <c r="D54" t="n">
        <v>2024</v>
      </c>
      <c r="E54" s="17">
        <f>SUMIFS(Source_Evolution!$E$3:$E$731,Source_Evolution!$A$3:$A$731,$A54)</f>
        <v/>
      </c>
      <c r="F54" s="17">
        <f>SUMIFS(Source_Evolution!$F$3:$F$731,Source_Evolution!$A$3:$A$731,$A54)</f>
        <v/>
      </c>
      <c r="G54" s="17">
        <f>SUMIFS(Source_Evolution!$G$3:$G$731,Source_Evolution!$A$3:$A$731,$A54)</f>
        <v/>
      </c>
      <c r="H54" s="17">
        <f>SUMIFS(Source_Evolution!$H$3:$H$731,Source_Evolution!$A$3:$A$731,$A54)</f>
        <v/>
      </c>
      <c r="I54" s="17">
        <f>SUMIFS(Source_Evolution!$I$3:$I$731,Source_Evolution!$A$3:$A$731,$A54)</f>
        <v/>
      </c>
      <c r="J54" s="17">
        <f>SUMIFS(Source_Evolution!$J$3:$J$731,Source_Evolution!$A$3:$A$731,$A54)</f>
        <v/>
      </c>
      <c r="K54" s="17">
        <f>SUMIFS(Source_Evolution!$K$3:$K$731,Source_Evolution!$A$3:$A$731,$A54)</f>
        <v/>
      </c>
      <c r="L54" s="17">
        <f>SUMIFS(Source_Evolution!$L$3:$L$731,Source_Evolution!$A$3:$A$731,$A54)</f>
        <v/>
      </c>
      <c r="M54" s="17">
        <f>SUMIFS(Source_Evolution!$M$3:$M$731,Source_Evolution!$A$3:$A$731,$A54)</f>
        <v/>
      </c>
      <c r="N54" s="17">
        <f>SUMIFS(Source_Evolution!$N$3:$N$731,Source_Evolution!$A$3:$A$731,$A54)</f>
        <v/>
      </c>
      <c r="O54" s="17">
        <f>SUMIFS(Source_Evolution!$O$3:$O$731,Source_Evolution!$A$3:$A$731,$A54)</f>
        <v/>
      </c>
      <c r="P54" s="17">
        <f>SUMIFS(Source_Evolution!$P$3:$P$731,Source_Evolution!$A$3:$A$731,$A54)</f>
        <v/>
      </c>
      <c r="Q54" s="17">
        <f>SUMIFS(Source_Evolution!$Q$3:$Q$731,Source_Evolution!$A$3:$A$731,$A54)</f>
        <v/>
      </c>
      <c r="R54" s="17">
        <f>SUM(E54:Q54)</f>
        <v/>
      </c>
      <c r="S54" s="17">
        <f>Q54</f>
        <v/>
      </c>
      <c r="T54">
        <f>IF(B54="Software",1,0)</f>
        <v/>
      </c>
      <c r="U54" s="18">
        <f>SUMPRODUCT((Source_Evolution!$A$3:$A$731=$A54)*(Source_Evolution!$E$3:$E$731&gt;0))</f>
        <v/>
      </c>
      <c r="V54" s="18">
        <f>SUMPRODUCT((Source_Evolution!$A$3:$A$731=$A54)*(Source_Evolution!$F$3:$F$731&gt;0))</f>
        <v/>
      </c>
      <c r="W54" s="18">
        <f>SUMPRODUCT((Source_Evolution!$A$3:$A$731=$A54)*(Source_Evolution!$G$3:$G$731&gt;0))</f>
        <v/>
      </c>
      <c r="X54" s="18">
        <f>SUMPRODUCT((Source_Evolution!$A$3:$A$731=$A54)*(Source_Evolution!$H$3:$H$731&gt;0))</f>
        <v/>
      </c>
      <c r="Y54" s="18">
        <f>SUMPRODUCT((Source_Evolution!$A$3:$A$731=$A54)*(Source_Evolution!$I$3:$I$731&gt;0))</f>
        <v/>
      </c>
      <c r="Z54" s="18">
        <f>SUMPRODUCT((Source_Evolution!$A$3:$A$731=$A54)*(Source_Evolution!$J$3:$J$731&gt;0))</f>
        <v/>
      </c>
      <c r="AA54" s="18">
        <f>SUMPRODUCT((Source_Evolution!$A$3:$A$731=$A54)*(Source_Evolution!$K$3:$K$731&gt;0))</f>
        <v/>
      </c>
      <c r="AB54" s="18">
        <f>SUMPRODUCT((Source_Evolution!$A$3:$A$731=$A54)*(Source_Evolution!$L$3:$L$731&gt;0))</f>
        <v/>
      </c>
      <c r="AC54" s="18">
        <f>SUMPRODUCT((Source_Evolution!$A$3:$A$731=$A54)*(Source_Evolution!$M$3:$M$731&gt;0))</f>
        <v/>
      </c>
      <c r="AD54" s="18">
        <f>SUMPRODUCT((Source_Evolution!$A$3:$A$731=$A54)*(Source_Evolution!$N$3:$N$731&gt;0))</f>
        <v/>
      </c>
      <c r="AE54" s="18">
        <f>SUMPRODUCT((Source_Evolution!$A$3:$A$731=$A54)*(Source_Evolution!$O$3:$O$731&gt;0))</f>
        <v/>
      </c>
      <c r="AF54" s="18">
        <f>SUMPRODUCT((Source_Evolution!$A$3:$A$731=$A54)*(Source_Evolution!$P$3:$P$731&gt;0))</f>
        <v/>
      </c>
      <c r="AG54" s="18">
        <f>SUMPRODUCT((Source_Evolution!$A$3:$A$731=$A54)*(Source_Evolution!$Q$3:$Q$731&gt;0))</f>
        <v/>
      </c>
    </row>
    <row r="55">
      <c r="A55" t="inlineStr">
        <is>
          <t>Company 146</t>
        </is>
      </c>
      <c r="B55" t="inlineStr">
        <is>
          <t>Software</t>
        </is>
      </c>
      <c r="C55" t="inlineStr">
        <is>
          <t>Czech Republic</t>
        </is>
      </c>
      <c r="D55" t="n">
        <v>2020</v>
      </c>
      <c r="E55" s="17">
        <f>SUMIFS(Source_Evolution!$E$3:$E$731,Source_Evolution!$A$3:$A$731,$A55)</f>
        <v/>
      </c>
      <c r="F55" s="17">
        <f>SUMIFS(Source_Evolution!$F$3:$F$731,Source_Evolution!$A$3:$A$731,$A55)</f>
        <v/>
      </c>
      <c r="G55" s="17">
        <f>SUMIFS(Source_Evolution!$G$3:$G$731,Source_Evolution!$A$3:$A$731,$A55)</f>
        <v/>
      </c>
      <c r="H55" s="17">
        <f>SUMIFS(Source_Evolution!$H$3:$H$731,Source_Evolution!$A$3:$A$731,$A55)</f>
        <v/>
      </c>
      <c r="I55" s="17">
        <f>SUMIFS(Source_Evolution!$I$3:$I$731,Source_Evolution!$A$3:$A$731,$A55)</f>
        <v/>
      </c>
      <c r="J55" s="17">
        <f>SUMIFS(Source_Evolution!$J$3:$J$731,Source_Evolution!$A$3:$A$731,$A55)</f>
        <v/>
      </c>
      <c r="K55" s="17">
        <f>SUMIFS(Source_Evolution!$K$3:$K$731,Source_Evolution!$A$3:$A$731,$A55)</f>
        <v/>
      </c>
      <c r="L55" s="17">
        <f>SUMIFS(Source_Evolution!$L$3:$L$731,Source_Evolution!$A$3:$A$731,$A55)</f>
        <v/>
      </c>
      <c r="M55" s="17">
        <f>SUMIFS(Source_Evolution!$M$3:$M$731,Source_Evolution!$A$3:$A$731,$A55)</f>
        <v/>
      </c>
      <c r="N55" s="17">
        <f>SUMIFS(Source_Evolution!$N$3:$N$731,Source_Evolution!$A$3:$A$731,$A55)</f>
        <v/>
      </c>
      <c r="O55" s="17">
        <f>SUMIFS(Source_Evolution!$O$3:$O$731,Source_Evolution!$A$3:$A$731,$A55)</f>
        <v/>
      </c>
      <c r="P55" s="17">
        <f>SUMIFS(Source_Evolution!$P$3:$P$731,Source_Evolution!$A$3:$A$731,$A55)</f>
        <v/>
      </c>
      <c r="Q55" s="17">
        <f>SUMIFS(Source_Evolution!$Q$3:$Q$731,Source_Evolution!$A$3:$A$731,$A55)</f>
        <v/>
      </c>
      <c r="R55" s="17">
        <f>SUM(E55:Q55)</f>
        <v/>
      </c>
      <c r="S55" s="17">
        <f>Q55</f>
        <v/>
      </c>
      <c r="T55">
        <f>IF(B55="Software",1,0)</f>
        <v/>
      </c>
      <c r="U55" s="18">
        <f>SUMPRODUCT((Source_Evolution!$A$3:$A$731=$A55)*(Source_Evolution!$E$3:$E$731&gt;0))</f>
        <v/>
      </c>
      <c r="V55" s="18">
        <f>SUMPRODUCT((Source_Evolution!$A$3:$A$731=$A55)*(Source_Evolution!$F$3:$F$731&gt;0))</f>
        <v/>
      </c>
      <c r="W55" s="18">
        <f>SUMPRODUCT((Source_Evolution!$A$3:$A$731=$A55)*(Source_Evolution!$G$3:$G$731&gt;0))</f>
        <v/>
      </c>
      <c r="X55" s="18">
        <f>SUMPRODUCT((Source_Evolution!$A$3:$A$731=$A55)*(Source_Evolution!$H$3:$H$731&gt;0))</f>
        <v/>
      </c>
      <c r="Y55" s="18">
        <f>SUMPRODUCT((Source_Evolution!$A$3:$A$731=$A55)*(Source_Evolution!$I$3:$I$731&gt;0))</f>
        <v/>
      </c>
      <c r="Z55" s="18">
        <f>SUMPRODUCT((Source_Evolution!$A$3:$A$731=$A55)*(Source_Evolution!$J$3:$J$731&gt;0))</f>
        <v/>
      </c>
      <c r="AA55" s="18">
        <f>SUMPRODUCT((Source_Evolution!$A$3:$A$731=$A55)*(Source_Evolution!$K$3:$K$731&gt;0))</f>
        <v/>
      </c>
      <c r="AB55" s="18">
        <f>SUMPRODUCT((Source_Evolution!$A$3:$A$731=$A55)*(Source_Evolution!$L$3:$L$731&gt;0))</f>
        <v/>
      </c>
      <c r="AC55" s="18">
        <f>SUMPRODUCT((Source_Evolution!$A$3:$A$731=$A55)*(Source_Evolution!$M$3:$M$731&gt;0))</f>
        <v/>
      </c>
      <c r="AD55" s="18">
        <f>SUMPRODUCT((Source_Evolution!$A$3:$A$731=$A55)*(Source_Evolution!$N$3:$N$731&gt;0))</f>
        <v/>
      </c>
      <c r="AE55" s="18">
        <f>SUMPRODUCT((Source_Evolution!$A$3:$A$731=$A55)*(Source_Evolution!$O$3:$O$731&gt;0))</f>
        <v/>
      </c>
      <c r="AF55" s="18">
        <f>SUMPRODUCT((Source_Evolution!$A$3:$A$731=$A55)*(Source_Evolution!$P$3:$P$731&gt;0))</f>
        <v/>
      </c>
      <c r="AG55" s="18">
        <f>SUMPRODUCT((Source_Evolution!$A$3:$A$731=$A55)*(Source_Evolution!$Q$3:$Q$731&gt;0))</f>
        <v/>
      </c>
    </row>
    <row r="56">
      <c r="A56" t="inlineStr">
        <is>
          <t>Company 147</t>
        </is>
      </c>
      <c r="B56" t="inlineStr">
        <is>
          <t>Operations</t>
        </is>
      </c>
      <c r="C56" t="inlineStr">
        <is>
          <t>UK</t>
        </is>
      </c>
      <c r="D56" t="n">
        <v>2024</v>
      </c>
      <c r="E56" s="17">
        <f>SUMIFS(Source_Evolution!$E$3:$E$731,Source_Evolution!$A$3:$A$731,$A56)</f>
        <v/>
      </c>
      <c r="F56" s="17">
        <f>SUMIFS(Source_Evolution!$F$3:$F$731,Source_Evolution!$A$3:$A$731,$A56)</f>
        <v/>
      </c>
      <c r="G56" s="17">
        <f>SUMIFS(Source_Evolution!$G$3:$G$731,Source_Evolution!$A$3:$A$731,$A56)</f>
        <v/>
      </c>
      <c r="H56" s="17">
        <f>SUMIFS(Source_Evolution!$H$3:$H$731,Source_Evolution!$A$3:$A$731,$A56)</f>
        <v/>
      </c>
      <c r="I56" s="17">
        <f>SUMIFS(Source_Evolution!$I$3:$I$731,Source_Evolution!$A$3:$A$731,$A56)</f>
        <v/>
      </c>
      <c r="J56" s="17">
        <f>SUMIFS(Source_Evolution!$J$3:$J$731,Source_Evolution!$A$3:$A$731,$A56)</f>
        <v/>
      </c>
      <c r="K56" s="17">
        <f>SUMIFS(Source_Evolution!$K$3:$K$731,Source_Evolution!$A$3:$A$731,$A56)</f>
        <v/>
      </c>
      <c r="L56" s="17">
        <f>SUMIFS(Source_Evolution!$L$3:$L$731,Source_Evolution!$A$3:$A$731,$A56)</f>
        <v/>
      </c>
      <c r="M56" s="17">
        <f>SUMIFS(Source_Evolution!$M$3:$M$731,Source_Evolution!$A$3:$A$731,$A56)</f>
        <v/>
      </c>
      <c r="N56" s="17">
        <f>SUMIFS(Source_Evolution!$N$3:$N$731,Source_Evolution!$A$3:$A$731,$A56)</f>
        <v/>
      </c>
      <c r="O56" s="17">
        <f>SUMIFS(Source_Evolution!$O$3:$O$731,Source_Evolution!$A$3:$A$731,$A56)</f>
        <v/>
      </c>
      <c r="P56" s="17">
        <f>SUMIFS(Source_Evolution!$P$3:$P$731,Source_Evolution!$A$3:$A$731,$A56)</f>
        <v/>
      </c>
      <c r="Q56" s="17">
        <f>SUMIFS(Source_Evolution!$Q$3:$Q$731,Source_Evolution!$A$3:$A$731,$A56)</f>
        <v/>
      </c>
      <c r="R56" s="17">
        <f>SUM(E56:Q56)</f>
        <v/>
      </c>
      <c r="S56" s="17">
        <f>Q56</f>
        <v/>
      </c>
      <c r="T56">
        <f>IF(B56="Software",1,0)</f>
        <v/>
      </c>
      <c r="U56" s="18">
        <f>SUMPRODUCT((Source_Evolution!$A$3:$A$731=$A56)*(Source_Evolution!$E$3:$E$731&gt;0))</f>
        <v/>
      </c>
      <c r="V56" s="18">
        <f>SUMPRODUCT((Source_Evolution!$A$3:$A$731=$A56)*(Source_Evolution!$F$3:$F$731&gt;0))</f>
        <v/>
      </c>
      <c r="W56" s="18">
        <f>SUMPRODUCT((Source_Evolution!$A$3:$A$731=$A56)*(Source_Evolution!$G$3:$G$731&gt;0))</f>
        <v/>
      </c>
      <c r="X56" s="18">
        <f>SUMPRODUCT((Source_Evolution!$A$3:$A$731=$A56)*(Source_Evolution!$H$3:$H$731&gt;0))</f>
        <v/>
      </c>
      <c r="Y56" s="18">
        <f>SUMPRODUCT((Source_Evolution!$A$3:$A$731=$A56)*(Source_Evolution!$I$3:$I$731&gt;0))</f>
        <v/>
      </c>
      <c r="Z56" s="18">
        <f>SUMPRODUCT((Source_Evolution!$A$3:$A$731=$A56)*(Source_Evolution!$J$3:$J$731&gt;0))</f>
        <v/>
      </c>
      <c r="AA56" s="18">
        <f>SUMPRODUCT((Source_Evolution!$A$3:$A$731=$A56)*(Source_Evolution!$K$3:$K$731&gt;0))</f>
        <v/>
      </c>
      <c r="AB56" s="18">
        <f>SUMPRODUCT((Source_Evolution!$A$3:$A$731=$A56)*(Source_Evolution!$L$3:$L$731&gt;0))</f>
        <v/>
      </c>
      <c r="AC56" s="18">
        <f>SUMPRODUCT((Source_Evolution!$A$3:$A$731=$A56)*(Source_Evolution!$M$3:$M$731&gt;0))</f>
        <v/>
      </c>
      <c r="AD56" s="18">
        <f>SUMPRODUCT((Source_Evolution!$A$3:$A$731=$A56)*(Source_Evolution!$N$3:$N$731&gt;0))</f>
        <v/>
      </c>
      <c r="AE56" s="18">
        <f>SUMPRODUCT((Source_Evolution!$A$3:$A$731=$A56)*(Source_Evolution!$O$3:$O$731&gt;0))</f>
        <v/>
      </c>
      <c r="AF56" s="18">
        <f>SUMPRODUCT((Source_Evolution!$A$3:$A$731=$A56)*(Source_Evolution!$P$3:$P$731&gt;0))</f>
        <v/>
      </c>
      <c r="AG56" s="18">
        <f>SUMPRODUCT((Source_Evolution!$A$3:$A$731=$A56)*(Source_Evolution!$Q$3:$Q$731&gt;0))</f>
        <v/>
      </c>
    </row>
    <row r="57">
      <c r="A57" t="inlineStr">
        <is>
          <t>Company 148</t>
        </is>
      </c>
      <c r="B57" t="inlineStr">
        <is>
          <t>Software</t>
        </is>
      </c>
      <c r="C57" t="inlineStr">
        <is>
          <t>Slovenia</t>
        </is>
      </c>
      <c r="D57" t="n">
        <v>2024</v>
      </c>
      <c r="E57" s="17">
        <f>SUMIFS(Source_Evolution!$E$3:$E$731,Source_Evolution!$A$3:$A$731,$A57)</f>
        <v/>
      </c>
      <c r="F57" s="17">
        <f>SUMIFS(Source_Evolution!$F$3:$F$731,Source_Evolution!$A$3:$A$731,$A57)</f>
        <v/>
      </c>
      <c r="G57" s="17">
        <f>SUMIFS(Source_Evolution!$G$3:$G$731,Source_Evolution!$A$3:$A$731,$A57)</f>
        <v/>
      </c>
      <c r="H57" s="17">
        <f>SUMIFS(Source_Evolution!$H$3:$H$731,Source_Evolution!$A$3:$A$731,$A57)</f>
        <v/>
      </c>
      <c r="I57" s="17">
        <f>SUMIFS(Source_Evolution!$I$3:$I$731,Source_Evolution!$A$3:$A$731,$A57)</f>
        <v/>
      </c>
      <c r="J57" s="17">
        <f>SUMIFS(Source_Evolution!$J$3:$J$731,Source_Evolution!$A$3:$A$731,$A57)</f>
        <v/>
      </c>
      <c r="K57" s="17">
        <f>SUMIFS(Source_Evolution!$K$3:$K$731,Source_Evolution!$A$3:$A$731,$A57)</f>
        <v/>
      </c>
      <c r="L57" s="17">
        <f>SUMIFS(Source_Evolution!$L$3:$L$731,Source_Evolution!$A$3:$A$731,$A57)</f>
        <v/>
      </c>
      <c r="M57" s="17">
        <f>SUMIFS(Source_Evolution!$M$3:$M$731,Source_Evolution!$A$3:$A$731,$A57)</f>
        <v/>
      </c>
      <c r="N57" s="17">
        <f>SUMIFS(Source_Evolution!$N$3:$N$731,Source_Evolution!$A$3:$A$731,$A57)</f>
        <v/>
      </c>
      <c r="O57" s="17">
        <f>SUMIFS(Source_Evolution!$O$3:$O$731,Source_Evolution!$A$3:$A$731,$A57)</f>
        <v/>
      </c>
      <c r="P57" s="17">
        <f>SUMIFS(Source_Evolution!$P$3:$P$731,Source_Evolution!$A$3:$A$731,$A57)</f>
        <v/>
      </c>
      <c r="Q57" s="17">
        <f>SUMIFS(Source_Evolution!$Q$3:$Q$731,Source_Evolution!$A$3:$A$731,$A57)</f>
        <v/>
      </c>
      <c r="R57" s="17">
        <f>SUM(E57:Q57)</f>
        <v/>
      </c>
      <c r="S57" s="17">
        <f>Q57</f>
        <v/>
      </c>
      <c r="T57">
        <f>IF(B57="Software",1,0)</f>
        <v/>
      </c>
      <c r="U57" s="18">
        <f>SUMPRODUCT((Source_Evolution!$A$3:$A$731=$A57)*(Source_Evolution!$E$3:$E$731&gt;0))</f>
        <v/>
      </c>
      <c r="V57" s="18">
        <f>SUMPRODUCT((Source_Evolution!$A$3:$A$731=$A57)*(Source_Evolution!$F$3:$F$731&gt;0))</f>
        <v/>
      </c>
      <c r="W57" s="18">
        <f>SUMPRODUCT((Source_Evolution!$A$3:$A$731=$A57)*(Source_Evolution!$G$3:$G$731&gt;0))</f>
        <v/>
      </c>
      <c r="X57" s="18">
        <f>SUMPRODUCT((Source_Evolution!$A$3:$A$731=$A57)*(Source_Evolution!$H$3:$H$731&gt;0))</f>
        <v/>
      </c>
      <c r="Y57" s="18">
        <f>SUMPRODUCT((Source_Evolution!$A$3:$A$731=$A57)*(Source_Evolution!$I$3:$I$731&gt;0))</f>
        <v/>
      </c>
      <c r="Z57" s="18">
        <f>SUMPRODUCT((Source_Evolution!$A$3:$A$731=$A57)*(Source_Evolution!$J$3:$J$731&gt;0))</f>
        <v/>
      </c>
      <c r="AA57" s="18">
        <f>SUMPRODUCT((Source_Evolution!$A$3:$A$731=$A57)*(Source_Evolution!$K$3:$K$731&gt;0))</f>
        <v/>
      </c>
      <c r="AB57" s="18">
        <f>SUMPRODUCT((Source_Evolution!$A$3:$A$731=$A57)*(Source_Evolution!$L$3:$L$731&gt;0))</f>
        <v/>
      </c>
      <c r="AC57" s="18">
        <f>SUMPRODUCT((Source_Evolution!$A$3:$A$731=$A57)*(Source_Evolution!$M$3:$M$731&gt;0))</f>
        <v/>
      </c>
      <c r="AD57" s="18">
        <f>SUMPRODUCT((Source_Evolution!$A$3:$A$731=$A57)*(Source_Evolution!$N$3:$N$731&gt;0))</f>
        <v/>
      </c>
      <c r="AE57" s="18">
        <f>SUMPRODUCT((Source_Evolution!$A$3:$A$731=$A57)*(Source_Evolution!$O$3:$O$731&gt;0))</f>
        <v/>
      </c>
      <c r="AF57" s="18">
        <f>SUMPRODUCT((Source_Evolution!$A$3:$A$731=$A57)*(Source_Evolution!$P$3:$P$731&gt;0))</f>
        <v/>
      </c>
      <c r="AG57" s="18">
        <f>SUMPRODUCT((Source_Evolution!$A$3:$A$731=$A57)*(Source_Evolution!$Q$3:$Q$731&gt;0))</f>
        <v/>
      </c>
    </row>
    <row r="58">
      <c r="A58" t="inlineStr">
        <is>
          <t>Company 149</t>
        </is>
      </c>
      <c r="B58" t="inlineStr">
        <is>
          <t>Operations</t>
        </is>
      </c>
      <c r="C58" t="inlineStr">
        <is>
          <t>Italy</t>
        </is>
      </c>
      <c r="D58" t="n">
        <v>2017</v>
      </c>
      <c r="E58" s="17">
        <f>SUMIFS(Source_Evolution!$E$3:$E$731,Source_Evolution!$A$3:$A$731,$A58)</f>
        <v/>
      </c>
      <c r="F58" s="17">
        <f>SUMIFS(Source_Evolution!$F$3:$F$731,Source_Evolution!$A$3:$A$731,$A58)</f>
        <v/>
      </c>
      <c r="G58" s="17">
        <f>SUMIFS(Source_Evolution!$G$3:$G$731,Source_Evolution!$A$3:$A$731,$A58)</f>
        <v/>
      </c>
      <c r="H58" s="17">
        <f>SUMIFS(Source_Evolution!$H$3:$H$731,Source_Evolution!$A$3:$A$731,$A58)</f>
        <v/>
      </c>
      <c r="I58" s="17">
        <f>SUMIFS(Source_Evolution!$I$3:$I$731,Source_Evolution!$A$3:$A$731,$A58)</f>
        <v/>
      </c>
      <c r="J58" s="17">
        <f>SUMIFS(Source_Evolution!$J$3:$J$731,Source_Evolution!$A$3:$A$731,$A58)</f>
        <v/>
      </c>
      <c r="K58" s="17">
        <f>SUMIFS(Source_Evolution!$K$3:$K$731,Source_Evolution!$A$3:$A$731,$A58)</f>
        <v/>
      </c>
      <c r="L58" s="17">
        <f>SUMIFS(Source_Evolution!$L$3:$L$731,Source_Evolution!$A$3:$A$731,$A58)</f>
        <v/>
      </c>
      <c r="M58" s="17">
        <f>SUMIFS(Source_Evolution!$M$3:$M$731,Source_Evolution!$A$3:$A$731,$A58)</f>
        <v/>
      </c>
      <c r="N58" s="17">
        <f>SUMIFS(Source_Evolution!$N$3:$N$731,Source_Evolution!$A$3:$A$731,$A58)</f>
        <v/>
      </c>
      <c r="O58" s="17">
        <f>SUMIFS(Source_Evolution!$O$3:$O$731,Source_Evolution!$A$3:$A$731,$A58)</f>
        <v/>
      </c>
      <c r="P58" s="17">
        <f>SUMIFS(Source_Evolution!$P$3:$P$731,Source_Evolution!$A$3:$A$731,$A58)</f>
        <v/>
      </c>
      <c r="Q58" s="17">
        <f>SUMIFS(Source_Evolution!$Q$3:$Q$731,Source_Evolution!$A$3:$A$731,$A58)</f>
        <v/>
      </c>
      <c r="R58" s="17">
        <f>SUM(E58:Q58)</f>
        <v/>
      </c>
      <c r="S58" s="17">
        <f>Q58</f>
        <v/>
      </c>
      <c r="T58">
        <f>IF(B58="Software",1,0)</f>
        <v/>
      </c>
      <c r="U58" s="18">
        <f>SUMPRODUCT((Source_Evolution!$A$3:$A$731=$A58)*(Source_Evolution!$E$3:$E$731&gt;0))</f>
        <v/>
      </c>
      <c r="V58" s="18">
        <f>SUMPRODUCT((Source_Evolution!$A$3:$A$731=$A58)*(Source_Evolution!$F$3:$F$731&gt;0))</f>
        <v/>
      </c>
      <c r="W58" s="18">
        <f>SUMPRODUCT((Source_Evolution!$A$3:$A$731=$A58)*(Source_Evolution!$G$3:$G$731&gt;0))</f>
        <v/>
      </c>
      <c r="X58" s="18">
        <f>SUMPRODUCT((Source_Evolution!$A$3:$A$731=$A58)*(Source_Evolution!$H$3:$H$731&gt;0))</f>
        <v/>
      </c>
      <c r="Y58" s="18">
        <f>SUMPRODUCT((Source_Evolution!$A$3:$A$731=$A58)*(Source_Evolution!$I$3:$I$731&gt;0))</f>
        <v/>
      </c>
      <c r="Z58" s="18">
        <f>SUMPRODUCT((Source_Evolution!$A$3:$A$731=$A58)*(Source_Evolution!$J$3:$J$731&gt;0))</f>
        <v/>
      </c>
      <c r="AA58" s="18">
        <f>SUMPRODUCT((Source_Evolution!$A$3:$A$731=$A58)*(Source_Evolution!$K$3:$K$731&gt;0))</f>
        <v/>
      </c>
      <c r="AB58" s="18">
        <f>SUMPRODUCT((Source_Evolution!$A$3:$A$731=$A58)*(Source_Evolution!$L$3:$L$731&gt;0))</f>
        <v/>
      </c>
      <c r="AC58" s="18">
        <f>SUMPRODUCT((Source_Evolution!$A$3:$A$731=$A58)*(Source_Evolution!$M$3:$M$731&gt;0))</f>
        <v/>
      </c>
      <c r="AD58" s="18">
        <f>SUMPRODUCT((Source_Evolution!$A$3:$A$731=$A58)*(Source_Evolution!$N$3:$N$731&gt;0))</f>
        <v/>
      </c>
      <c r="AE58" s="18">
        <f>SUMPRODUCT((Source_Evolution!$A$3:$A$731=$A58)*(Source_Evolution!$O$3:$O$731&gt;0))</f>
        <v/>
      </c>
      <c r="AF58" s="18">
        <f>SUMPRODUCT((Source_Evolution!$A$3:$A$731=$A58)*(Source_Evolution!$P$3:$P$731&gt;0))</f>
        <v/>
      </c>
      <c r="AG58" s="18">
        <f>SUMPRODUCT((Source_Evolution!$A$3:$A$731=$A58)*(Source_Evolution!$Q$3:$Q$731&gt;0))</f>
        <v/>
      </c>
    </row>
    <row r="59">
      <c r="A59" t="inlineStr">
        <is>
          <t>Company 15</t>
        </is>
      </c>
      <c r="B59" t="inlineStr">
        <is>
          <t>Software</t>
        </is>
      </c>
      <c r="C59" t="inlineStr">
        <is>
          <t>USA</t>
        </is>
      </c>
      <c r="D59" t="n">
        <v>2014</v>
      </c>
      <c r="E59" s="17">
        <f>SUMIFS(Source_Evolution!$E$3:$E$731,Source_Evolution!$A$3:$A$731,$A59)</f>
        <v/>
      </c>
      <c r="F59" s="17">
        <f>SUMIFS(Source_Evolution!$F$3:$F$731,Source_Evolution!$A$3:$A$731,$A59)</f>
        <v/>
      </c>
      <c r="G59" s="17">
        <f>SUMIFS(Source_Evolution!$G$3:$G$731,Source_Evolution!$A$3:$A$731,$A59)</f>
        <v/>
      </c>
      <c r="H59" s="17">
        <f>SUMIFS(Source_Evolution!$H$3:$H$731,Source_Evolution!$A$3:$A$731,$A59)</f>
        <v/>
      </c>
      <c r="I59" s="17">
        <f>SUMIFS(Source_Evolution!$I$3:$I$731,Source_Evolution!$A$3:$A$731,$A59)</f>
        <v/>
      </c>
      <c r="J59" s="17">
        <f>SUMIFS(Source_Evolution!$J$3:$J$731,Source_Evolution!$A$3:$A$731,$A59)</f>
        <v/>
      </c>
      <c r="K59" s="17">
        <f>SUMIFS(Source_Evolution!$K$3:$K$731,Source_Evolution!$A$3:$A$731,$A59)</f>
        <v/>
      </c>
      <c r="L59" s="17">
        <f>SUMIFS(Source_Evolution!$L$3:$L$731,Source_Evolution!$A$3:$A$731,$A59)</f>
        <v/>
      </c>
      <c r="M59" s="17">
        <f>SUMIFS(Source_Evolution!$M$3:$M$731,Source_Evolution!$A$3:$A$731,$A59)</f>
        <v/>
      </c>
      <c r="N59" s="17">
        <f>SUMIFS(Source_Evolution!$N$3:$N$731,Source_Evolution!$A$3:$A$731,$A59)</f>
        <v/>
      </c>
      <c r="O59" s="17">
        <f>SUMIFS(Source_Evolution!$O$3:$O$731,Source_Evolution!$A$3:$A$731,$A59)</f>
        <v/>
      </c>
      <c r="P59" s="17">
        <f>SUMIFS(Source_Evolution!$P$3:$P$731,Source_Evolution!$A$3:$A$731,$A59)</f>
        <v/>
      </c>
      <c r="Q59" s="17">
        <f>SUMIFS(Source_Evolution!$Q$3:$Q$731,Source_Evolution!$A$3:$A$731,$A59)</f>
        <v/>
      </c>
      <c r="R59" s="17">
        <f>SUM(E59:Q59)</f>
        <v/>
      </c>
      <c r="S59" s="17">
        <f>Q59</f>
        <v/>
      </c>
      <c r="T59">
        <f>IF(B59="Software",1,0)</f>
        <v/>
      </c>
      <c r="U59" s="18">
        <f>SUMPRODUCT((Source_Evolution!$A$3:$A$731=$A59)*(Source_Evolution!$E$3:$E$731&gt;0))</f>
        <v/>
      </c>
      <c r="V59" s="18">
        <f>SUMPRODUCT((Source_Evolution!$A$3:$A$731=$A59)*(Source_Evolution!$F$3:$F$731&gt;0))</f>
        <v/>
      </c>
      <c r="W59" s="18">
        <f>SUMPRODUCT((Source_Evolution!$A$3:$A$731=$A59)*(Source_Evolution!$G$3:$G$731&gt;0))</f>
        <v/>
      </c>
      <c r="X59" s="18">
        <f>SUMPRODUCT((Source_Evolution!$A$3:$A$731=$A59)*(Source_Evolution!$H$3:$H$731&gt;0))</f>
        <v/>
      </c>
      <c r="Y59" s="18">
        <f>SUMPRODUCT((Source_Evolution!$A$3:$A$731=$A59)*(Source_Evolution!$I$3:$I$731&gt;0))</f>
        <v/>
      </c>
      <c r="Z59" s="18">
        <f>SUMPRODUCT((Source_Evolution!$A$3:$A$731=$A59)*(Source_Evolution!$J$3:$J$731&gt;0))</f>
        <v/>
      </c>
      <c r="AA59" s="18">
        <f>SUMPRODUCT((Source_Evolution!$A$3:$A$731=$A59)*(Source_Evolution!$K$3:$K$731&gt;0))</f>
        <v/>
      </c>
      <c r="AB59" s="18">
        <f>SUMPRODUCT((Source_Evolution!$A$3:$A$731=$A59)*(Source_Evolution!$L$3:$L$731&gt;0))</f>
        <v/>
      </c>
      <c r="AC59" s="18">
        <f>SUMPRODUCT((Source_Evolution!$A$3:$A$731=$A59)*(Source_Evolution!$M$3:$M$731&gt;0))</f>
        <v/>
      </c>
      <c r="AD59" s="18">
        <f>SUMPRODUCT((Source_Evolution!$A$3:$A$731=$A59)*(Source_Evolution!$N$3:$N$731&gt;0))</f>
        <v/>
      </c>
      <c r="AE59" s="18">
        <f>SUMPRODUCT((Source_Evolution!$A$3:$A$731=$A59)*(Source_Evolution!$O$3:$O$731&gt;0))</f>
        <v/>
      </c>
      <c r="AF59" s="18">
        <f>SUMPRODUCT((Source_Evolution!$A$3:$A$731=$A59)*(Source_Evolution!$P$3:$P$731&gt;0))</f>
        <v/>
      </c>
      <c r="AG59" s="18">
        <f>SUMPRODUCT((Source_Evolution!$A$3:$A$731=$A59)*(Source_Evolution!$Q$3:$Q$731&gt;0))</f>
        <v/>
      </c>
    </row>
    <row r="60">
      <c r="A60" t="inlineStr">
        <is>
          <t>Company 150</t>
        </is>
      </c>
      <c r="B60" t="inlineStr">
        <is>
          <t>Power</t>
        </is>
      </c>
      <c r="C60" t="inlineStr">
        <is>
          <t>Germany</t>
        </is>
      </c>
      <c r="D60" t="n">
        <v>2024</v>
      </c>
      <c r="E60" s="17">
        <f>SUMIFS(Source_Evolution!$E$3:$E$731,Source_Evolution!$A$3:$A$731,$A60)</f>
        <v/>
      </c>
      <c r="F60" s="17">
        <f>SUMIFS(Source_Evolution!$F$3:$F$731,Source_Evolution!$A$3:$A$731,$A60)</f>
        <v/>
      </c>
      <c r="G60" s="17">
        <f>SUMIFS(Source_Evolution!$G$3:$G$731,Source_Evolution!$A$3:$A$731,$A60)</f>
        <v/>
      </c>
      <c r="H60" s="17">
        <f>SUMIFS(Source_Evolution!$H$3:$H$731,Source_Evolution!$A$3:$A$731,$A60)</f>
        <v/>
      </c>
      <c r="I60" s="17">
        <f>SUMIFS(Source_Evolution!$I$3:$I$731,Source_Evolution!$A$3:$A$731,$A60)</f>
        <v/>
      </c>
      <c r="J60" s="17">
        <f>SUMIFS(Source_Evolution!$J$3:$J$731,Source_Evolution!$A$3:$A$731,$A60)</f>
        <v/>
      </c>
      <c r="K60" s="17">
        <f>SUMIFS(Source_Evolution!$K$3:$K$731,Source_Evolution!$A$3:$A$731,$A60)</f>
        <v/>
      </c>
      <c r="L60" s="17">
        <f>SUMIFS(Source_Evolution!$L$3:$L$731,Source_Evolution!$A$3:$A$731,$A60)</f>
        <v/>
      </c>
      <c r="M60" s="17">
        <f>SUMIFS(Source_Evolution!$M$3:$M$731,Source_Evolution!$A$3:$A$731,$A60)</f>
        <v/>
      </c>
      <c r="N60" s="17">
        <f>SUMIFS(Source_Evolution!$N$3:$N$731,Source_Evolution!$A$3:$A$731,$A60)</f>
        <v/>
      </c>
      <c r="O60" s="17">
        <f>SUMIFS(Source_Evolution!$O$3:$O$731,Source_Evolution!$A$3:$A$731,$A60)</f>
        <v/>
      </c>
      <c r="P60" s="17">
        <f>SUMIFS(Source_Evolution!$P$3:$P$731,Source_Evolution!$A$3:$A$731,$A60)</f>
        <v/>
      </c>
      <c r="Q60" s="17">
        <f>SUMIFS(Source_Evolution!$Q$3:$Q$731,Source_Evolution!$A$3:$A$731,$A60)</f>
        <v/>
      </c>
      <c r="R60" s="17">
        <f>SUM(E60:Q60)</f>
        <v/>
      </c>
      <c r="S60" s="17">
        <f>Q60</f>
        <v/>
      </c>
      <c r="T60">
        <f>IF(B60="Software",1,0)</f>
        <v/>
      </c>
      <c r="U60" s="18">
        <f>SUMPRODUCT((Source_Evolution!$A$3:$A$731=$A60)*(Source_Evolution!$E$3:$E$731&gt;0))</f>
        <v/>
      </c>
      <c r="V60" s="18">
        <f>SUMPRODUCT((Source_Evolution!$A$3:$A$731=$A60)*(Source_Evolution!$F$3:$F$731&gt;0))</f>
        <v/>
      </c>
      <c r="W60" s="18">
        <f>SUMPRODUCT((Source_Evolution!$A$3:$A$731=$A60)*(Source_Evolution!$G$3:$G$731&gt;0))</f>
        <v/>
      </c>
      <c r="X60" s="18">
        <f>SUMPRODUCT((Source_Evolution!$A$3:$A$731=$A60)*(Source_Evolution!$H$3:$H$731&gt;0))</f>
        <v/>
      </c>
      <c r="Y60" s="18">
        <f>SUMPRODUCT((Source_Evolution!$A$3:$A$731=$A60)*(Source_Evolution!$I$3:$I$731&gt;0))</f>
        <v/>
      </c>
      <c r="Z60" s="18">
        <f>SUMPRODUCT((Source_Evolution!$A$3:$A$731=$A60)*(Source_Evolution!$J$3:$J$731&gt;0))</f>
        <v/>
      </c>
      <c r="AA60" s="18">
        <f>SUMPRODUCT((Source_Evolution!$A$3:$A$731=$A60)*(Source_Evolution!$K$3:$K$731&gt;0))</f>
        <v/>
      </c>
      <c r="AB60" s="18">
        <f>SUMPRODUCT((Source_Evolution!$A$3:$A$731=$A60)*(Source_Evolution!$L$3:$L$731&gt;0))</f>
        <v/>
      </c>
      <c r="AC60" s="18">
        <f>SUMPRODUCT((Source_Evolution!$A$3:$A$731=$A60)*(Source_Evolution!$M$3:$M$731&gt;0))</f>
        <v/>
      </c>
      <c r="AD60" s="18">
        <f>SUMPRODUCT((Source_Evolution!$A$3:$A$731=$A60)*(Source_Evolution!$N$3:$N$731&gt;0))</f>
        <v/>
      </c>
      <c r="AE60" s="18">
        <f>SUMPRODUCT((Source_Evolution!$A$3:$A$731=$A60)*(Source_Evolution!$O$3:$O$731&gt;0))</f>
        <v/>
      </c>
      <c r="AF60" s="18">
        <f>SUMPRODUCT((Source_Evolution!$A$3:$A$731=$A60)*(Source_Evolution!$P$3:$P$731&gt;0))</f>
        <v/>
      </c>
      <c r="AG60" s="18">
        <f>SUMPRODUCT((Source_Evolution!$A$3:$A$731=$A60)*(Source_Evolution!$Q$3:$Q$731&gt;0))</f>
        <v/>
      </c>
    </row>
    <row r="61">
      <c r="A61" t="inlineStr">
        <is>
          <t>Company 151</t>
        </is>
      </c>
      <c r="B61" t="inlineStr">
        <is>
          <t>Software</t>
        </is>
      </c>
      <c r="C61" t="inlineStr">
        <is>
          <t>Hungary</t>
        </is>
      </c>
      <c r="D61" t="n">
        <v>2025</v>
      </c>
      <c r="E61" s="17">
        <f>SUMIFS(Source_Evolution!$E$3:$E$731,Source_Evolution!$A$3:$A$731,$A61)</f>
        <v/>
      </c>
      <c r="F61" s="17">
        <f>SUMIFS(Source_Evolution!$F$3:$F$731,Source_Evolution!$A$3:$A$731,$A61)</f>
        <v/>
      </c>
      <c r="G61" s="17">
        <f>SUMIFS(Source_Evolution!$G$3:$G$731,Source_Evolution!$A$3:$A$731,$A61)</f>
        <v/>
      </c>
      <c r="H61" s="17">
        <f>SUMIFS(Source_Evolution!$H$3:$H$731,Source_Evolution!$A$3:$A$731,$A61)</f>
        <v/>
      </c>
      <c r="I61" s="17">
        <f>SUMIFS(Source_Evolution!$I$3:$I$731,Source_Evolution!$A$3:$A$731,$A61)</f>
        <v/>
      </c>
      <c r="J61" s="17">
        <f>SUMIFS(Source_Evolution!$J$3:$J$731,Source_Evolution!$A$3:$A$731,$A61)</f>
        <v/>
      </c>
      <c r="K61" s="17">
        <f>SUMIFS(Source_Evolution!$K$3:$K$731,Source_Evolution!$A$3:$A$731,$A61)</f>
        <v/>
      </c>
      <c r="L61" s="17">
        <f>SUMIFS(Source_Evolution!$L$3:$L$731,Source_Evolution!$A$3:$A$731,$A61)</f>
        <v/>
      </c>
      <c r="M61" s="17">
        <f>SUMIFS(Source_Evolution!$M$3:$M$731,Source_Evolution!$A$3:$A$731,$A61)</f>
        <v/>
      </c>
      <c r="N61" s="17">
        <f>SUMIFS(Source_Evolution!$N$3:$N$731,Source_Evolution!$A$3:$A$731,$A61)</f>
        <v/>
      </c>
      <c r="O61" s="17">
        <f>SUMIFS(Source_Evolution!$O$3:$O$731,Source_Evolution!$A$3:$A$731,$A61)</f>
        <v/>
      </c>
      <c r="P61" s="17">
        <f>SUMIFS(Source_Evolution!$P$3:$P$731,Source_Evolution!$A$3:$A$731,$A61)</f>
        <v/>
      </c>
      <c r="Q61" s="17">
        <f>SUMIFS(Source_Evolution!$Q$3:$Q$731,Source_Evolution!$A$3:$A$731,$A61)</f>
        <v/>
      </c>
      <c r="R61" s="17">
        <f>SUM(E61:Q61)</f>
        <v/>
      </c>
      <c r="S61" s="17">
        <f>Q61</f>
        <v/>
      </c>
      <c r="T61">
        <f>IF(B61="Software",1,0)</f>
        <v/>
      </c>
      <c r="U61" s="18">
        <f>SUMPRODUCT((Source_Evolution!$A$3:$A$731=$A61)*(Source_Evolution!$E$3:$E$731&gt;0))</f>
        <v/>
      </c>
      <c r="V61" s="18">
        <f>SUMPRODUCT((Source_Evolution!$A$3:$A$731=$A61)*(Source_Evolution!$F$3:$F$731&gt;0))</f>
        <v/>
      </c>
      <c r="W61" s="18">
        <f>SUMPRODUCT((Source_Evolution!$A$3:$A$731=$A61)*(Source_Evolution!$G$3:$G$731&gt;0))</f>
        <v/>
      </c>
      <c r="X61" s="18">
        <f>SUMPRODUCT((Source_Evolution!$A$3:$A$731=$A61)*(Source_Evolution!$H$3:$H$731&gt;0))</f>
        <v/>
      </c>
      <c r="Y61" s="18">
        <f>SUMPRODUCT((Source_Evolution!$A$3:$A$731=$A61)*(Source_Evolution!$I$3:$I$731&gt;0))</f>
        <v/>
      </c>
      <c r="Z61" s="18">
        <f>SUMPRODUCT((Source_Evolution!$A$3:$A$731=$A61)*(Source_Evolution!$J$3:$J$731&gt;0))</f>
        <v/>
      </c>
      <c r="AA61" s="18">
        <f>SUMPRODUCT((Source_Evolution!$A$3:$A$731=$A61)*(Source_Evolution!$K$3:$K$731&gt;0))</f>
        <v/>
      </c>
      <c r="AB61" s="18">
        <f>SUMPRODUCT((Source_Evolution!$A$3:$A$731=$A61)*(Source_Evolution!$L$3:$L$731&gt;0))</f>
        <v/>
      </c>
      <c r="AC61" s="18">
        <f>SUMPRODUCT((Source_Evolution!$A$3:$A$731=$A61)*(Source_Evolution!$M$3:$M$731&gt;0))</f>
        <v/>
      </c>
      <c r="AD61" s="18">
        <f>SUMPRODUCT((Source_Evolution!$A$3:$A$731=$A61)*(Source_Evolution!$N$3:$N$731&gt;0))</f>
        <v/>
      </c>
      <c r="AE61" s="18">
        <f>SUMPRODUCT((Source_Evolution!$A$3:$A$731=$A61)*(Source_Evolution!$O$3:$O$731&gt;0))</f>
        <v/>
      </c>
      <c r="AF61" s="18">
        <f>SUMPRODUCT((Source_Evolution!$A$3:$A$731=$A61)*(Source_Evolution!$P$3:$P$731&gt;0))</f>
        <v/>
      </c>
      <c r="AG61" s="18">
        <f>SUMPRODUCT((Source_Evolution!$A$3:$A$731=$A61)*(Source_Evolution!$Q$3:$Q$731&gt;0))</f>
        <v/>
      </c>
    </row>
    <row r="62">
      <c r="A62" t="inlineStr">
        <is>
          <t>Company 152</t>
        </is>
      </c>
      <c r="B62" t="inlineStr">
        <is>
          <t>Software</t>
        </is>
      </c>
      <c r="C62" t="inlineStr">
        <is>
          <t>Netherlands</t>
        </is>
      </c>
      <c r="D62" t="n">
        <v>2025</v>
      </c>
      <c r="E62" s="17">
        <f>SUMIFS(Source_Evolution!$E$3:$E$731,Source_Evolution!$A$3:$A$731,$A62)</f>
        <v/>
      </c>
      <c r="F62" s="17">
        <f>SUMIFS(Source_Evolution!$F$3:$F$731,Source_Evolution!$A$3:$A$731,$A62)</f>
        <v/>
      </c>
      <c r="G62" s="17">
        <f>SUMIFS(Source_Evolution!$G$3:$G$731,Source_Evolution!$A$3:$A$731,$A62)</f>
        <v/>
      </c>
      <c r="H62" s="17">
        <f>SUMIFS(Source_Evolution!$H$3:$H$731,Source_Evolution!$A$3:$A$731,$A62)</f>
        <v/>
      </c>
      <c r="I62" s="17">
        <f>SUMIFS(Source_Evolution!$I$3:$I$731,Source_Evolution!$A$3:$A$731,$A62)</f>
        <v/>
      </c>
      <c r="J62" s="17">
        <f>SUMIFS(Source_Evolution!$J$3:$J$731,Source_Evolution!$A$3:$A$731,$A62)</f>
        <v/>
      </c>
      <c r="K62" s="17">
        <f>SUMIFS(Source_Evolution!$K$3:$K$731,Source_Evolution!$A$3:$A$731,$A62)</f>
        <v/>
      </c>
      <c r="L62" s="17">
        <f>SUMIFS(Source_Evolution!$L$3:$L$731,Source_Evolution!$A$3:$A$731,$A62)</f>
        <v/>
      </c>
      <c r="M62" s="17">
        <f>SUMIFS(Source_Evolution!$M$3:$M$731,Source_Evolution!$A$3:$A$731,$A62)</f>
        <v/>
      </c>
      <c r="N62" s="17">
        <f>SUMIFS(Source_Evolution!$N$3:$N$731,Source_Evolution!$A$3:$A$731,$A62)</f>
        <v/>
      </c>
      <c r="O62" s="17">
        <f>SUMIFS(Source_Evolution!$O$3:$O$731,Source_Evolution!$A$3:$A$731,$A62)</f>
        <v/>
      </c>
      <c r="P62" s="17">
        <f>SUMIFS(Source_Evolution!$P$3:$P$731,Source_Evolution!$A$3:$A$731,$A62)</f>
        <v/>
      </c>
      <c r="Q62" s="17">
        <f>SUMIFS(Source_Evolution!$Q$3:$Q$731,Source_Evolution!$A$3:$A$731,$A62)</f>
        <v/>
      </c>
      <c r="R62" s="17">
        <f>SUM(E62:Q62)</f>
        <v/>
      </c>
      <c r="S62" s="17">
        <f>Q62</f>
        <v/>
      </c>
      <c r="T62">
        <f>IF(B62="Software",1,0)</f>
        <v/>
      </c>
      <c r="U62" s="18">
        <f>SUMPRODUCT((Source_Evolution!$A$3:$A$731=$A62)*(Source_Evolution!$E$3:$E$731&gt;0))</f>
        <v/>
      </c>
      <c r="V62" s="18">
        <f>SUMPRODUCT((Source_Evolution!$A$3:$A$731=$A62)*(Source_Evolution!$F$3:$F$731&gt;0))</f>
        <v/>
      </c>
      <c r="W62" s="18">
        <f>SUMPRODUCT((Source_Evolution!$A$3:$A$731=$A62)*(Source_Evolution!$G$3:$G$731&gt;0))</f>
        <v/>
      </c>
      <c r="X62" s="18">
        <f>SUMPRODUCT((Source_Evolution!$A$3:$A$731=$A62)*(Source_Evolution!$H$3:$H$731&gt;0))</f>
        <v/>
      </c>
      <c r="Y62" s="18">
        <f>SUMPRODUCT((Source_Evolution!$A$3:$A$731=$A62)*(Source_Evolution!$I$3:$I$731&gt;0))</f>
        <v/>
      </c>
      <c r="Z62" s="18">
        <f>SUMPRODUCT((Source_Evolution!$A$3:$A$731=$A62)*(Source_Evolution!$J$3:$J$731&gt;0))</f>
        <v/>
      </c>
      <c r="AA62" s="18">
        <f>SUMPRODUCT((Source_Evolution!$A$3:$A$731=$A62)*(Source_Evolution!$K$3:$K$731&gt;0))</f>
        <v/>
      </c>
      <c r="AB62" s="18">
        <f>SUMPRODUCT((Source_Evolution!$A$3:$A$731=$A62)*(Source_Evolution!$L$3:$L$731&gt;0))</f>
        <v/>
      </c>
      <c r="AC62" s="18">
        <f>SUMPRODUCT((Source_Evolution!$A$3:$A$731=$A62)*(Source_Evolution!$M$3:$M$731&gt;0))</f>
        <v/>
      </c>
      <c r="AD62" s="18">
        <f>SUMPRODUCT((Source_Evolution!$A$3:$A$731=$A62)*(Source_Evolution!$N$3:$N$731&gt;0))</f>
        <v/>
      </c>
      <c r="AE62" s="18">
        <f>SUMPRODUCT((Source_Evolution!$A$3:$A$731=$A62)*(Source_Evolution!$O$3:$O$731&gt;0))</f>
        <v/>
      </c>
      <c r="AF62" s="18">
        <f>SUMPRODUCT((Source_Evolution!$A$3:$A$731=$A62)*(Source_Evolution!$P$3:$P$731&gt;0))</f>
        <v/>
      </c>
      <c r="AG62" s="18">
        <f>SUMPRODUCT((Source_Evolution!$A$3:$A$731=$A62)*(Source_Evolution!$Q$3:$Q$731&gt;0))</f>
        <v/>
      </c>
    </row>
    <row r="63">
      <c r="A63" t="inlineStr">
        <is>
          <t>Company 153</t>
        </is>
      </c>
      <c r="B63" t="inlineStr">
        <is>
          <t>Software</t>
        </is>
      </c>
      <c r="C63" t="inlineStr">
        <is>
          <t>Czech Republic</t>
        </is>
      </c>
      <c r="D63" t="n">
        <v>2025</v>
      </c>
      <c r="E63" s="17">
        <f>SUMIFS(Source_Evolution!$E$3:$E$731,Source_Evolution!$A$3:$A$731,$A63)</f>
        <v/>
      </c>
      <c r="F63" s="17">
        <f>SUMIFS(Source_Evolution!$F$3:$F$731,Source_Evolution!$A$3:$A$731,$A63)</f>
        <v/>
      </c>
      <c r="G63" s="17">
        <f>SUMIFS(Source_Evolution!$G$3:$G$731,Source_Evolution!$A$3:$A$731,$A63)</f>
        <v/>
      </c>
      <c r="H63" s="17">
        <f>SUMIFS(Source_Evolution!$H$3:$H$731,Source_Evolution!$A$3:$A$731,$A63)</f>
        <v/>
      </c>
      <c r="I63" s="17">
        <f>SUMIFS(Source_Evolution!$I$3:$I$731,Source_Evolution!$A$3:$A$731,$A63)</f>
        <v/>
      </c>
      <c r="J63" s="17">
        <f>SUMIFS(Source_Evolution!$J$3:$J$731,Source_Evolution!$A$3:$A$731,$A63)</f>
        <v/>
      </c>
      <c r="K63" s="17">
        <f>SUMIFS(Source_Evolution!$K$3:$K$731,Source_Evolution!$A$3:$A$731,$A63)</f>
        <v/>
      </c>
      <c r="L63" s="17">
        <f>SUMIFS(Source_Evolution!$L$3:$L$731,Source_Evolution!$A$3:$A$731,$A63)</f>
        <v/>
      </c>
      <c r="M63" s="17">
        <f>SUMIFS(Source_Evolution!$M$3:$M$731,Source_Evolution!$A$3:$A$731,$A63)</f>
        <v/>
      </c>
      <c r="N63" s="17">
        <f>SUMIFS(Source_Evolution!$N$3:$N$731,Source_Evolution!$A$3:$A$731,$A63)</f>
        <v/>
      </c>
      <c r="O63" s="17">
        <f>SUMIFS(Source_Evolution!$O$3:$O$731,Source_Evolution!$A$3:$A$731,$A63)</f>
        <v/>
      </c>
      <c r="P63" s="17">
        <f>SUMIFS(Source_Evolution!$P$3:$P$731,Source_Evolution!$A$3:$A$731,$A63)</f>
        <v/>
      </c>
      <c r="Q63" s="17">
        <f>SUMIFS(Source_Evolution!$Q$3:$Q$731,Source_Evolution!$A$3:$A$731,$A63)</f>
        <v/>
      </c>
      <c r="R63" s="17">
        <f>SUM(E63:Q63)</f>
        <v/>
      </c>
      <c r="S63" s="17">
        <f>Q63</f>
        <v/>
      </c>
      <c r="T63">
        <f>IF(B63="Software",1,0)</f>
        <v/>
      </c>
      <c r="U63" s="18">
        <f>SUMPRODUCT((Source_Evolution!$A$3:$A$731=$A63)*(Source_Evolution!$E$3:$E$731&gt;0))</f>
        <v/>
      </c>
      <c r="V63" s="18">
        <f>SUMPRODUCT((Source_Evolution!$A$3:$A$731=$A63)*(Source_Evolution!$F$3:$F$731&gt;0))</f>
        <v/>
      </c>
      <c r="W63" s="18">
        <f>SUMPRODUCT((Source_Evolution!$A$3:$A$731=$A63)*(Source_Evolution!$G$3:$G$731&gt;0))</f>
        <v/>
      </c>
      <c r="X63" s="18">
        <f>SUMPRODUCT((Source_Evolution!$A$3:$A$731=$A63)*(Source_Evolution!$H$3:$H$731&gt;0))</f>
        <v/>
      </c>
      <c r="Y63" s="18">
        <f>SUMPRODUCT((Source_Evolution!$A$3:$A$731=$A63)*(Source_Evolution!$I$3:$I$731&gt;0))</f>
        <v/>
      </c>
      <c r="Z63" s="18">
        <f>SUMPRODUCT((Source_Evolution!$A$3:$A$731=$A63)*(Source_Evolution!$J$3:$J$731&gt;0))</f>
        <v/>
      </c>
      <c r="AA63" s="18">
        <f>SUMPRODUCT((Source_Evolution!$A$3:$A$731=$A63)*(Source_Evolution!$K$3:$K$731&gt;0))</f>
        <v/>
      </c>
      <c r="AB63" s="18">
        <f>SUMPRODUCT((Source_Evolution!$A$3:$A$731=$A63)*(Source_Evolution!$L$3:$L$731&gt;0))</f>
        <v/>
      </c>
      <c r="AC63" s="18">
        <f>SUMPRODUCT((Source_Evolution!$A$3:$A$731=$A63)*(Source_Evolution!$M$3:$M$731&gt;0))</f>
        <v/>
      </c>
      <c r="AD63" s="18">
        <f>SUMPRODUCT((Source_Evolution!$A$3:$A$731=$A63)*(Source_Evolution!$N$3:$N$731&gt;0))</f>
        <v/>
      </c>
      <c r="AE63" s="18">
        <f>SUMPRODUCT((Source_Evolution!$A$3:$A$731=$A63)*(Source_Evolution!$O$3:$O$731&gt;0))</f>
        <v/>
      </c>
      <c r="AF63" s="18">
        <f>SUMPRODUCT((Source_Evolution!$A$3:$A$731=$A63)*(Source_Evolution!$P$3:$P$731&gt;0))</f>
        <v/>
      </c>
      <c r="AG63" s="18">
        <f>SUMPRODUCT((Source_Evolution!$A$3:$A$731=$A63)*(Source_Evolution!$Q$3:$Q$731&gt;0))</f>
        <v/>
      </c>
    </row>
    <row r="64">
      <c r="A64" t="inlineStr">
        <is>
          <t>Company 154</t>
        </is>
      </c>
      <c r="B64" t="inlineStr">
        <is>
          <t>Software</t>
        </is>
      </c>
      <c r="C64" t="inlineStr">
        <is>
          <t>Poland</t>
        </is>
      </c>
      <c r="D64" t="n">
        <v>2025</v>
      </c>
      <c r="E64" s="17">
        <f>SUMIFS(Source_Evolution!$E$3:$E$731,Source_Evolution!$A$3:$A$731,$A64)</f>
        <v/>
      </c>
      <c r="F64" s="17">
        <f>SUMIFS(Source_Evolution!$F$3:$F$731,Source_Evolution!$A$3:$A$731,$A64)</f>
        <v/>
      </c>
      <c r="G64" s="17">
        <f>SUMIFS(Source_Evolution!$G$3:$G$731,Source_Evolution!$A$3:$A$731,$A64)</f>
        <v/>
      </c>
      <c r="H64" s="17">
        <f>SUMIFS(Source_Evolution!$H$3:$H$731,Source_Evolution!$A$3:$A$731,$A64)</f>
        <v/>
      </c>
      <c r="I64" s="17">
        <f>SUMIFS(Source_Evolution!$I$3:$I$731,Source_Evolution!$A$3:$A$731,$A64)</f>
        <v/>
      </c>
      <c r="J64" s="17">
        <f>SUMIFS(Source_Evolution!$J$3:$J$731,Source_Evolution!$A$3:$A$731,$A64)</f>
        <v/>
      </c>
      <c r="K64" s="17">
        <f>SUMIFS(Source_Evolution!$K$3:$K$731,Source_Evolution!$A$3:$A$731,$A64)</f>
        <v/>
      </c>
      <c r="L64" s="17">
        <f>SUMIFS(Source_Evolution!$L$3:$L$731,Source_Evolution!$A$3:$A$731,$A64)</f>
        <v/>
      </c>
      <c r="M64" s="17">
        <f>SUMIFS(Source_Evolution!$M$3:$M$731,Source_Evolution!$A$3:$A$731,$A64)</f>
        <v/>
      </c>
      <c r="N64" s="17">
        <f>SUMIFS(Source_Evolution!$N$3:$N$731,Source_Evolution!$A$3:$A$731,$A64)</f>
        <v/>
      </c>
      <c r="O64" s="17">
        <f>SUMIFS(Source_Evolution!$O$3:$O$731,Source_Evolution!$A$3:$A$731,$A64)</f>
        <v/>
      </c>
      <c r="P64" s="17">
        <f>SUMIFS(Source_Evolution!$P$3:$P$731,Source_Evolution!$A$3:$A$731,$A64)</f>
        <v/>
      </c>
      <c r="Q64" s="17">
        <f>SUMIFS(Source_Evolution!$Q$3:$Q$731,Source_Evolution!$A$3:$A$731,$A64)</f>
        <v/>
      </c>
      <c r="R64" s="17">
        <f>SUM(E64:Q64)</f>
        <v/>
      </c>
      <c r="S64" s="17">
        <f>Q64</f>
        <v/>
      </c>
      <c r="T64">
        <f>IF(B64="Software",1,0)</f>
        <v/>
      </c>
      <c r="U64" s="18">
        <f>SUMPRODUCT((Source_Evolution!$A$3:$A$731=$A64)*(Source_Evolution!$E$3:$E$731&gt;0))</f>
        <v/>
      </c>
      <c r="V64" s="18">
        <f>SUMPRODUCT((Source_Evolution!$A$3:$A$731=$A64)*(Source_Evolution!$F$3:$F$731&gt;0))</f>
        <v/>
      </c>
      <c r="W64" s="18">
        <f>SUMPRODUCT((Source_Evolution!$A$3:$A$731=$A64)*(Source_Evolution!$G$3:$G$731&gt;0))</f>
        <v/>
      </c>
      <c r="X64" s="18">
        <f>SUMPRODUCT((Source_Evolution!$A$3:$A$731=$A64)*(Source_Evolution!$H$3:$H$731&gt;0))</f>
        <v/>
      </c>
      <c r="Y64" s="18">
        <f>SUMPRODUCT((Source_Evolution!$A$3:$A$731=$A64)*(Source_Evolution!$I$3:$I$731&gt;0))</f>
        <v/>
      </c>
      <c r="Z64" s="18">
        <f>SUMPRODUCT((Source_Evolution!$A$3:$A$731=$A64)*(Source_Evolution!$J$3:$J$731&gt;0))</f>
        <v/>
      </c>
      <c r="AA64" s="18">
        <f>SUMPRODUCT((Source_Evolution!$A$3:$A$731=$A64)*(Source_Evolution!$K$3:$K$731&gt;0))</f>
        <v/>
      </c>
      <c r="AB64" s="18">
        <f>SUMPRODUCT((Source_Evolution!$A$3:$A$731=$A64)*(Source_Evolution!$L$3:$L$731&gt;0))</f>
        <v/>
      </c>
      <c r="AC64" s="18">
        <f>SUMPRODUCT((Source_Evolution!$A$3:$A$731=$A64)*(Source_Evolution!$M$3:$M$731&gt;0))</f>
        <v/>
      </c>
      <c r="AD64" s="18">
        <f>SUMPRODUCT((Source_Evolution!$A$3:$A$731=$A64)*(Source_Evolution!$N$3:$N$731&gt;0))</f>
        <v/>
      </c>
      <c r="AE64" s="18">
        <f>SUMPRODUCT((Source_Evolution!$A$3:$A$731=$A64)*(Source_Evolution!$O$3:$O$731&gt;0))</f>
        <v/>
      </c>
      <c r="AF64" s="18">
        <f>SUMPRODUCT((Source_Evolution!$A$3:$A$731=$A64)*(Source_Evolution!$P$3:$P$731&gt;0))</f>
        <v/>
      </c>
      <c r="AG64" s="18">
        <f>SUMPRODUCT((Source_Evolution!$A$3:$A$731=$A64)*(Source_Evolution!$Q$3:$Q$731&gt;0))</f>
        <v/>
      </c>
    </row>
    <row r="65">
      <c r="A65" t="inlineStr">
        <is>
          <t>Company 155</t>
        </is>
      </c>
      <c r="B65" t="inlineStr">
        <is>
          <t>Software</t>
        </is>
      </c>
      <c r="C65" t="inlineStr">
        <is>
          <t>UK</t>
        </is>
      </c>
      <c r="D65" t="n">
        <v>2025</v>
      </c>
      <c r="E65" s="17">
        <f>SUMIFS(Source_Evolution!$E$3:$E$731,Source_Evolution!$A$3:$A$731,$A65)</f>
        <v/>
      </c>
      <c r="F65" s="17">
        <f>SUMIFS(Source_Evolution!$F$3:$F$731,Source_Evolution!$A$3:$A$731,$A65)</f>
        <v/>
      </c>
      <c r="G65" s="17">
        <f>SUMIFS(Source_Evolution!$G$3:$G$731,Source_Evolution!$A$3:$A$731,$A65)</f>
        <v/>
      </c>
      <c r="H65" s="17">
        <f>SUMIFS(Source_Evolution!$H$3:$H$731,Source_Evolution!$A$3:$A$731,$A65)</f>
        <v/>
      </c>
      <c r="I65" s="17">
        <f>SUMIFS(Source_Evolution!$I$3:$I$731,Source_Evolution!$A$3:$A$731,$A65)</f>
        <v/>
      </c>
      <c r="J65" s="17">
        <f>SUMIFS(Source_Evolution!$J$3:$J$731,Source_Evolution!$A$3:$A$731,$A65)</f>
        <v/>
      </c>
      <c r="K65" s="17">
        <f>SUMIFS(Source_Evolution!$K$3:$K$731,Source_Evolution!$A$3:$A$731,$A65)</f>
        <v/>
      </c>
      <c r="L65" s="17">
        <f>SUMIFS(Source_Evolution!$L$3:$L$731,Source_Evolution!$A$3:$A$731,$A65)</f>
        <v/>
      </c>
      <c r="M65" s="17">
        <f>SUMIFS(Source_Evolution!$M$3:$M$731,Source_Evolution!$A$3:$A$731,$A65)</f>
        <v/>
      </c>
      <c r="N65" s="17">
        <f>SUMIFS(Source_Evolution!$N$3:$N$731,Source_Evolution!$A$3:$A$731,$A65)</f>
        <v/>
      </c>
      <c r="O65" s="17">
        <f>SUMIFS(Source_Evolution!$O$3:$O$731,Source_Evolution!$A$3:$A$731,$A65)</f>
        <v/>
      </c>
      <c r="P65" s="17">
        <f>SUMIFS(Source_Evolution!$P$3:$P$731,Source_Evolution!$A$3:$A$731,$A65)</f>
        <v/>
      </c>
      <c r="Q65" s="17">
        <f>SUMIFS(Source_Evolution!$Q$3:$Q$731,Source_Evolution!$A$3:$A$731,$A65)</f>
        <v/>
      </c>
      <c r="R65" s="17">
        <f>SUM(E65:Q65)</f>
        <v/>
      </c>
      <c r="S65" s="17">
        <f>Q65</f>
        <v/>
      </c>
      <c r="T65">
        <f>IF(B65="Software",1,0)</f>
        <v/>
      </c>
      <c r="U65" s="18">
        <f>SUMPRODUCT((Source_Evolution!$A$3:$A$731=$A65)*(Source_Evolution!$E$3:$E$731&gt;0))</f>
        <v/>
      </c>
      <c r="V65" s="18">
        <f>SUMPRODUCT((Source_Evolution!$A$3:$A$731=$A65)*(Source_Evolution!$F$3:$F$731&gt;0))</f>
        <v/>
      </c>
      <c r="W65" s="18">
        <f>SUMPRODUCT((Source_Evolution!$A$3:$A$731=$A65)*(Source_Evolution!$G$3:$G$731&gt;0))</f>
        <v/>
      </c>
      <c r="X65" s="18">
        <f>SUMPRODUCT((Source_Evolution!$A$3:$A$731=$A65)*(Source_Evolution!$H$3:$H$731&gt;0))</f>
        <v/>
      </c>
      <c r="Y65" s="18">
        <f>SUMPRODUCT((Source_Evolution!$A$3:$A$731=$A65)*(Source_Evolution!$I$3:$I$731&gt;0))</f>
        <v/>
      </c>
      <c r="Z65" s="18">
        <f>SUMPRODUCT((Source_Evolution!$A$3:$A$731=$A65)*(Source_Evolution!$J$3:$J$731&gt;0))</f>
        <v/>
      </c>
      <c r="AA65" s="18">
        <f>SUMPRODUCT((Source_Evolution!$A$3:$A$731=$A65)*(Source_Evolution!$K$3:$K$731&gt;0))</f>
        <v/>
      </c>
      <c r="AB65" s="18">
        <f>SUMPRODUCT((Source_Evolution!$A$3:$A$731=$A65)*(Source_Evolution!$L$3:$L$731&gt;0))</f>
        <v/>
      </c>
      <c r="AC65" s="18">
        <f>SUMPRODUCT((Source_Evolution!$A$3:$A$731=$A65)*(Source_Evolution!$M$3:$M$731&gt;0))</f>
        <v/>
      </c>
      <c r="AD65" s="18">
        <f>SUMPRODUCT((Source_Evolution!$A$3:$A$731=$A65)*(Source_Evolution!$N$3:$N$731&gt;0))</f>
        <v/>
      </c>
      <c r="AE65" s="18">
        <f>SUMPRODUCT((Source_Evolution!$A$3:$A$731=$A65)*(Source_Evolution!$O$3:$O$731&gt;0))</f>
        <v/>
      </c>
      <c r="AF65" s="18">
        <f>SUMPRODUCT((Source_Evolution!$A$3:$A$731=$A65)*(Source_Evolution!$P$3:$P$731&gt;0))</f>
        <v/>
      </c>
      <c r="AG65" s="18">
        <f>SUMPRODUCT((Source_Evolution!$A$3:$A$731=$A65)*(Source_Evolution!$Q$3:$Q$731&gt;0))</f>
        <v/>
      </c>
    </row>
    <row r="66">
      <c r="A66" t="inlineStr">
        <is>
          <t>Company 156</t>
        </is>
      </c>
      <c r="B66" t="inlineStr">
        <is>
          <t>Software</t>
        </is>
      </c>
      <c r="C66" t="inlineStr">
        <is>
          <t>Austria</t>
        </is>
      </c>
      <c r="D66" t="n">
        <v>2025</v>
      </c>
      <c r="E66" s="17">
        <f>SUMIFS(Source_Evolution!$E$3:$E$731,Source_Evolution!$A$3:$A$731,$A66)</f>
        <v/>
      </c>
      <c r="F66" s="17">
        <f>SUMIFS(Source_Evolution!$F$3:$F$731,Source_Evolution!$A$3:$A$731,$A66)</f>
        <v/>
      </c>
      <c r="G66" s="17">
        <f>SUMIFS(Source_Evolution!$G$3:$G$731,Source_Evolution!$A$3:$A$731,$A66)</f>
        <v/>
      </c>
      <c r="H66" s="17">
        <f>SUMIFS(Source_Evolution!$H$3:$H$731,Source_Evolution!$A$3:$A$731,$A66)</f>
        <v/>
      </c>
      <c r="I66" s="17">
        <f>SUMIFS(Source_Evolution!$I$3:$I$731,Source_Evolution!$A$3:$A$731,$A66)</f>
        <v/>
      </c>
      <c r="J66" s="17">
        <f>SUMIFS(Source_Evolution!$J$3:$J$731,Source_Evolution!$A$3:$A$731,$A66)</f>
        <v/>
      </c>
      <c r="K66" s="17">
        <f>SUMIFS(Source_Evolution!$K$3:$K$731,Source_Evolution!$A$3:$A$731,$A66)</f>
        <v/>
      </c>
      <c r="L66" s="17">
        <f>SUMIFS(Source_Evolution!$L$3:$L$731,Source_Evolution!$A$3:$A$731,$A66)</f>
        <v/>
      </c>
      <c r="M66" s="17">
        <f>SUMIFS(Source_Evolution!$M$3:$M$731,Source_Evolution!$A$3:$A$731,$A66)</f>
        <v/>
      </c>
      <c r="N66" s="17">
        <f>SUMIFS(Source_Evolution!$N$3:$N$731,Source_Evolution!$A$3:$A$731,$A66)</f>
        <v/>
      </c>
      <c r="O66" s="17">
        <f>SUMIFS(Source_Evolution!$O$3:$O$731,Source_Evolution!$A$3:$A$731,$A66)</f>
        <v/>
      </c>
      <c r="P66" s="17">
        <f>SUMIFS(Source_Evolution!$P$3:$P$731,Source_Evolution!$A$3:$A$731,$A66)</f>
        <v/>
      </c>
      <c r="Q66" s="17">
        <f>SUMIFS(Source_Evolution!$Q$3:$Q$731,Source_Evolution!$A$3:$A$731,$A66)</f>
        <v/>
      </c>
      <c r="R66" s="17">
        <f>SUM(E66:Q66)</f>
        <v/>
      </c>
      <c r="S66" s="17">
        <f>Q66</f>
        <v/>
      </c>
      <c r="T66">
        <f>IF(B66="Software",1,0)</f>
        <v/>
      </c>
      <c r="U66" s="18">
        <f>SUMPRODUCT((Source_Evolution!$A$3:$A$731=$A66)*(Source_Evolution!$E$3:$E$731&gt;0))</f>
        <v/>
      </c>
      <c r="V66" s="18">
        <f>SUMPRODUCT((Source_Evolution!$A$3:$A$731=$A66)*(Source_Evolution!$F$3:$F$731&gt;0))</f>
        <v/>
      </c>
      <c r="W66" s="18">
        <f>SUMPRODUCT((Source_Evolution!$A$3:$A$731=$A66)*(Source_Evolution!$G$3:$G$731&gt;0))</f>
        <v/>
      </c>
      <c r="X66" s="18">
        <f>SUMPRODUCT((Source_Evolution!$A$3:$A$731=$A66)*(Source_Evolution!$H$3:$H$731&gt;0))</f>
        <v/>
      </c>
      <c r="Y66" s="18">
        <f>SUMPRODUCT((Source_Evolution!$A$3:$A$731=$A66)*(Source_Evolution!$I$3:$I$731&gt;0))</f>
        <v/>
      </c>
      <c r="Z66" s="18">
        <f>SUMPRODUCT((Source_Evolution!$A$3:$A$731=$A66)*(Source_Evolution!$J$3:$J$731&gt;0))</f>
        <v/>
      </c>
      <c r="AA66" s="18">
        <f>SUMPRODUCT((Source_Evolution!$A$3:$A$731=$A66)*(Source_Evolution!$K$3:$K$731&gt;0))</f>
        <v/>
      </c>
      <c r="AB66" s="18">
        <f>SUMPRODUCT((Source_Evolution!$A$3:$A$731=$A66)*(Source_Evolution!$L$3:$L$731&gt;0))</f>
        <v/>
      </c>
      <c r="AC66" s="18">
        <f>SUMPRODUCT((Source_Evolution!$A$3:$A$731=$A66)*(Source_Evolution!$M$3:$M$731&gt;0))</f>
        <v/>
      </c>
      <c r="AD66" s="18">
        <f>SUMPRODUCT((Source_Evolution!$A$3:$A$731=$A66)*(Source_Evolution!$N$3:$N$731&gt;0))</f>
        <v/>
      </c>
      <c r="AE66" s="18">
        <f>SUMPRODUCT((Source_Evolution!$A$3:$A$731=$A66)*(Source_Evolution!$O$3:$O$731&gt;0))</f>
        <v/>
      </c>
      <c r="AF66" s="18">
        <f>SUMPRODUCT((Source_Evolution!$A$3:$A$731=$A66)*(Source_Evolution!$P$3:$P$731&gt;0))</f>
        <v/>
      </c>
      <c r="AG66" s="18">
        <f>SUMPRODUCT((Source_Evolution!$A$3:$A$731=$A66)*(Source_Evolution!$Q$3:$Q$731&gt;0))</f>
        <v/>
      </c>
    </row>
    <row r="67">
      <c r="A67" t="inlineStr">
        <is>
          <t>Company 157</t>
        </is>
      </c>
      <c r="B67" t="inlineStr">
        <is>
          <t>Software</t>
        </is>
      </c>
      <c r="C67" t="inlineStr">
        <is>
          <t>UK</t>
        </is>
      </c>
      <c r="D67" t="n">
        <v>2025</v>
      </c>
      <c r="E67" s="17">
        <f>SUMIFS(Source_Evolution!$E$3:$E$731,Source_Evolution!$A$3:$A$731,$A67)</f>
        <v/>
      </c>
      <c r="F67" s="17">
        <f>SUMIFS(Source_Evolution!$F$3:$F$731,Source_Evolution!$A$3:$A$731,$A67)</f>
        <v/>
      </c>
      <c r="G67" s="17">
        <f>SUMIFS(Source_Evolution!$G$3:$G$731,Source_Evolution!$A$3:$A$731,$A67)</f>
        <v/>
      </c>
      <c r="H67" s="17">
        <f>SUMIFS(Source_Evolution!$H$3:$H$731,Source_Evolution!$A$3:$A$731,$A67)</f>
        <v/>
      </c>
      <c r="I67" s="17">
        <f>SUMIFS(Source_Evolution!$I$3:$I$731,Source_Evolution!$A$3:$A$731,$A67)</f>
        <v/>
      </c>
      <c r="J67" s="17">
        <f>SUMIFS(Source_Evolution!$J$3:$J$731,Source_Evolution!$A$3:$A$731,$A67)</f>
        <v/>
      </c>
      <c r="K67" s="17">
        <f>SUMIFS(Source_Evolution!$K$3:$K$731,Source_Evolution!$A$3:$A$731,$A67)</f>
        <v/>
      </c>
      <c r="L67" s="17">
        <f>SUMIFS(Source_Evolution!$L$3:$L$731,Source_Evolution!$A$3:$A$731,$A67)</f>
        <v/>
      </c>
      <c r="M67" s="17">
        <f>SUMIFS(Source_Evolution!$M$3:$M$731,Source_Evolution!$A$3:$A$731,$A67)</f>
        <v/>
      </c>
      <c r="N67" s="17">
        <f>SUMIFS(Source_Evolution!$N$3:$N$731,Source_Evolution!$A$3:$A$731,$A67)</f>
        <v/>
      </c>
      <c r="O67" s="17">
        <f>SUMIFS(Source_Evolution!$O$3:$O$731,Source_Evolution!$A$3:$A$731,$A67)</f>
        <v/>
      </c>
      <c r="P67" s="17">
        <f>SUMIFS(Source_Evolution!$P$3:$P$731,Source_Evolution!$A$3:$A$731,$A67)</f>
        <v/>
      </c>
      <c r="Q67" s="17">
        <f>SUMIFS(Source_Evolution!$Q$3:$Q$731,Source_Evolution!$A$3:$A$731,$A67)</f>
        <v/>
      </c>
      <c r="R67" s="17">
        <f>SUM(E67:Q67)</f>
        <v/>
      </c>
      <c r="S67" s="17">
        <f>Q67</f>
        <v/>
      </c>
      <c r="T67">
        <f>IF(B67="Software",1,0)</f>
        <v/>
      </c>
      <c r="U67" s="18">
        <f>SUMPRODUCT((Source_Evolution!$A$3:$A$731=$A67)*(Source_Evolution!$E$3:$E$731&gt;0))</f>
        <v/>
      </c>
      <c r="V67" s="18">
        <f>SUMPRODUCT((Source_Evolution!$A$3:$A$731=$A67)*(Source_Evolution!$F$3:$F$731&gt;0))</f>
        <v/>
      </c>
      <c r="W67" s="18">
        <f>SUMPRODUCT((Source_Evolution!$A$3:$A$731=$A67)*(Source_Evolution!$G$3:$G$731&gt;0))</f>
        <v/>
      </c>
      <c r="X67" s="18">
        <f>SUMPRODUCT((Source_Evolution!$A$3:$A$731=$A67)*(Source_Evolution!$H$3:$H$731&gt;0))</f>
        <v/>
      </c>
      <c r="Y67" s="18">
        <f>SUMPRODUCT((Source_Evolution!$A$3:$A$731=$A67)*(Source_Evolution!$I$3:$I$731&gt;0))</f>
        <v/>
      </c>
      <c r="Z67" s="18">
        <f>SUMPRODUCT((Source_Evolution!$A$3:$A$731=$A67)*(Source_Evolution!$J$3:$J$731&gt;0))</f>
        <v/>
      </c>
      <c r="AA67" s="18">
        <f>SUMPRODUCT((Source_Evolution!$A$3:$A$731=$A67)*(Source_Evolution!$K$3:$K$731&gt;0))</f>
        <v/>
      </c>
      <c r="AB67" s="18">
        <f>SUMPRODUCT((Source_Evolution!$A$3:$A$731=$A67)*(Source_Evolution!$L$3:$L$731&gt;0))</f>
        <v/>
      </c>
      <c r="AC67" s="18">
        <f>SUMPRODUCT((Source_Evolution!$A$3:$A$731=$A67)*(Source_Evolution!$M$3:$M$731&gt;0))</f>
        <v/>
      </c>
      <c r="AD67" s="18">
        <f>SUMPRODUCT((Source_Evolution!$A$3:$A$731=$A67)*(Source_Evolution!$N$3:$N$731&gt;0))</f>
        <v/>
      </c>
      <c r="AE67" s="18">
        <f>SUMPRODUCT((Source_Evolution!$A$3:$A$731=$A67)*(Source_Evolution!$O$3:$O$731&gt;0))</f>
        <v/>
      </c>
      <c r="AF67" s="18">
        <f>SUMPRODUCT((Source_Evolution!$A$3:$A$731=$A67)*(Source_Evolution!$P$3:$P$731&gt;0))</f>
        <v/>
      </c>
      <c r="AG67" s="18">
        <f>SUMPRODUCT((Source_Evolution!$A$3:$A$731=$A67)*(Source_Evolution!$Q$3:$Q$731&gt;0))</f>
        <v/>
      </c>
    </row>
    <row r="68">
      <c r="A68" t="inlineStr">
        <is>
          <t>Company 158</t>
        </is>
      </c>
      <c r="B68" t="inlineStr">
        <is>
          <t>Software</t>
        </is>
      </c>
      <c r="C68" t="inlineStr">
        <is>
          <t>France</t>
        </is>
      </c>
      <c r="D68" t="n">
        <v>2023</v>
      </c>
      <c r="E68" s="17">
        <f>SUMIFS(Source_Evolution!$E$3:$E$731,Source_Evolution!$A$3:$A$731,$A68)</f>
        <v/>
      </c>
      <c r="F68" s="17">
        <f>SUMIFS(Source_Evolution!$F$3:$F$731,Source_Evolution!$A$3:$A$731,$A68)</f>
        <v/>
      </c>
      <c r="G68" s="17">
        <f>SUMIFS(Source_Evolution!$G$3:$G$731,Source_Evolution!$A$3:$A$731,$A68)</f>
        <v/>
      </c>
      <c r="H68" s="17">
        <f>SUMIFS(Source_Evolution!$H$3:$H$731,Source_Evolution!$A$3:$A$731,$A68)</f>
        <v/>
      </c>
      <c r="I68" s="17">
        <f>SUMIFS(Source_Evolution!$I$3:$I$731,Source_Evolution!$A$3:$A$731,$A68)</f>
        <v/>
      </c>
      <c r="J68" s="17">
        <f>SUMIFS(Source_Evolution!$J$3:$J$731,Source_Evolution!$A$3:$A$731,$A68)</f>
        <v/>
      </c>
      <c r="K68" s="17">
        <f>SUMIFS(Source_Evolution!$K$3:$K$731,Source_Evolution!$A$3:$A$731,$A68)</f>
        <v/>
      </c>
      <c r="L68" s="17">
        <f>SUMIFS(Source_Evolution!$L$3:$L$731,Source_Evolution!$A$3:$A$731,$A68)</f>
        <v/>
      </c>
      <c r="M68" s="17">
        <f>SUMIFS(Source_Evolution!$M$3:$M$731,Source_Evolution!$A$3:$A$731,$A68)</f>
        <v/>
      </c>
      <c r="N68" s="17">
        <f>SUMIFS(Source_Evolution!$N$3:$N$731,Source_Evolution!$A$3:$A$731,$A68)</f>
        <v/>
      </c>
      <c r="O68" s="17">
        <f>SUMIFS(Source_Evolution!$O$3:$O$731,Source_Evolution!$A$3:$A$731,$A68)</f>
        <v/>
      </c>
      <c r="P68" s="17">
        <f>SUMIFS(Source_Evolution!$P$3:$P$731,Source_Evolution!$A$3:$A$731,$A68)</f>
        <v/>
      </c>
      <c r="Q68" s="17">
        <f>SUMIFS(Source_Evolution!$Q$3:$Q$731,Source_Evolution!$A$3:$A$731,$A68)</f>
        <v/>
      </c>
      <c r="R68" s="17">
        <f>SUM(E68:Q68)</f>
        <v/>
      </c>
      <c r="S68" s="17">
        <f>Q68</f>
        <v/>
      </c>
      <c r="T68">
        <f>IF(B68="Software",1,0)</f>
        <v/>
      </c>
      <c r="U68" s="18">
        <f>SUMPRODUCT((Source_Evolution!$A$3:$A$731=$A68)*(Source_Evolution!$E$3:$E$731&gt;0))</f>
        <v/>
      </c>
      <c r="V68" s="18">
        <f>SUMPRODUCT((Source_Evolution!$A$3:$A$731=$A68)*(Source_Evolution!$F$3:$F$731&gt;0))</f>
        <v/>
      </c>
      <c r="W68" s="18">
        <f>SUMPRODUCT((Source_Evolution!$A$3:$A$731=$A68)*(Source_Evolution!$G$3:$G$731&gt;0))</f>
        <v/>
      </c>
      <c r="X68" s="18">
        <f>SUMPRODUCT((Source_Evolution!$A$3:$A$731=$A68)*(Source_Evolution!$H$3:$H$731&gt;0))</f>
        <v/>
      </c>
      <c r="Y68" s="18">
        <f>SUMPRODUCT((Source_Evolution!$A$3:$A$731=$A68)*(Source_Evolution!$I$3:$I$731&gt;0))</f>
        <v/>
      </c>
      <c r="Z68" s="18">
        <f>SUMPRODUCT((Source_Evolution!$A$3:$A$731=$A68)*(Source_Evolution!$J$3:$J$731&gt;0))</f>
        <v/>
      </c>
      <c r="AA68" s="18">
        <f>SUMPRODUCT((Source_Evolution!$A$3:$A$731=$A68)*(Source_Evolution!$K$3:$K$731&gt;0))</f>
        <v/>
      </c>
      <c r="AB68" s="18">
        <f>SUMPRODUCT((Source_Evolution!$A$3:$A$731=$A68)*(Source_Evolution!$L$3:$L$731&gt;0))</f>
        <v/>
      </c>
      <c r="AC68" s="18">
        <f>SUMPRODUCT((Source_Evolution!$A$3:$A$731=$A68)*(Source_Evolution!$M$3:$M$731&gt;0))</f>
        <v/>
      </c>
      <c r="AD68" s="18">
        <f>SUMPRODUCT((Source_Evolution!$A$3:$A$731=$A68)*(Source_Evolution!$N$3:$N$731&gt;0))</f>
        <v/>
      </c>
      <c r="AE68" s="18">
        <f>SUMPRODUCT((Source_Evolution!$A$3:$A$731=$A68)*(Source_Evolution!$O$3:$O$731&gt;0))</f>
        <v/>
      </c>
      <c r="AF68" s="18">
        <f>SUMPRODUCT((Source_Evolution!$A$3:$A$731=$A68)*(Source_Evolution!$P$3:$P$731&gt;0))</f>
        <v/>
      </c>
      <c r="AG68" s="18">
        <f>SUMPRODUCT((Source_Evolution!$A$3:$A$731=$A68)*(Source_Evolution!$Q$3:$Q$731&gt;0))</f>
        <v/>
      </c>
    </row>
    <row r="69">
      <c r="A69" t="inlineStr">
        <is>
          <t>Company 159</t>
        </is>
      </c>
      <c r="B69" t="inlineStr">
        <is>
          <t>Software</t>
        </is>
      </c>
      <c r="C69" t="inlineStr">
        <is>
          <t>Italy</t>
        </is>
      </c>
      <c r="D69" t="n">
        <v>2025</v>
      </c>
      <c r="E69" s="17">
        <f>SUMIFS(Source_Evolution!$E$3:$E$731,Source_Evolution!$A$3:$A$731,$A69)</f>
        <v/>
      </c>
      <c r="F69" s="17">
        <f>SUMIFS(Source_Evolution!$F$3:$F$731,Source_Evolution!$A$3:$A$731,$A69)</f>
        <v/>
      </c>
      <c r="G69" s="17">
        <f>SUMIFS(Source_Evolution!$G$3:$G$731,Source_Evolution!$A$3:$A$731,$A69)</f>
        <v/>
      </c>
      <c r="H69" s="17">
        <f>SUMIFS(Source_Evolution!$H$3:$H$731,Source_Evolution!$A$3:$A$731,$A69)</f>
        <v/>
      </c>
      <c r="I69" s="17">
        <f>SUMIFS(Source_Evolution!$I$3:$I$731,Source_Evolution!$A$3:$A$731,$A69)</f>
        <v/>
      </c>
      <c r="J69" s="17">
        <f>SUMIFS(Source_Evolution!$J$3:$J$731,Source_Evolution!$A$3:$A$731,$A69)</f>
        <v/>
      </c>
      <c r="K69" s="17">
        <f>SUMIFS(Source_Evolution!$K$3:$K$731,Source_Evolution!$A$3:$A$731,$A69)</f>
        <v/>
      </c>
      <c r="L69" s="17">
        <f>SUMIFS(Source_Evolution!$L$3:$L$731,Source_Evolution!$A$3:$A$731,$A69)</f>
        <v/>
      </c>
      <c r="M69" s="17">
        <f>SUMIFS(Source_Evolution!$M$3:$M$731,Source_Evolution!$A$3:$A$731,$A69)</f>
        <v/>
      </c>
      <c r="N69" s="17">
        <f>SUMIFS(Source_Evolution!$N$3:$N$731,Source_Evolution!$A$3:$A$731,$A69)</f>
        <v/>
      </c>
      <c r="O69" s="17">
        <f>SUMIFS(Source_Evolution!$O$3:$O$731,Source_Evolution!$A$3:$A$731,$A69)</f>
        <v/>
      </c>
      <c r="P69" s="17">
        <f>SUMIFS(Source_Evolution!$P$3:$P$731,Source_Evolution!$A$3:$A$731,$A69)</f>
        <v/>
      </c>
      <c r="Q69" s="17">
        <f>SUMIFS(Source_Evolution!$Q$3:$Q$731,Source_Evolution!$A$3:$A$731,$A69)</f>
        <v/>
      </c>
      <c r="R69" s="17">
        <f>SUM(E69:Q69)</f>
        <v/>
      </c>
      <c r="S69" s="17">
        <f>Q69</f>
        <v/>
      </c>
      <c r="T69">
        <f>IF(B69="Software",1,0)</f>
        <v/>
      </c>
      <c r="U69" s="18">
        <f>SUMPRODUCT((Source_Evolution!$A$3:$A$731=$A69)*(Source_Evolution!$E$3:$E$731&gt;0))</f>
        <v/>
      </c>
      <c r="V69" s="18">
        <f>SUMPRODUCT((Source_Evolution!$A$3:$A$731=$A69)*(Source_Evolution!$F$3:$F$731&gt;0))</f>
        <v/>
      </c>
      <c r="W69" s="18">
        <f>SUMPRODUCT((Source_Evolution!$A$3:$A$731=$A69)*(Source_Evolution!$G$3:$G$731&gt;0))</f>
        <v/>
      </c>
      <c r="X69" s="18">
        <f>SUMPRODUCT((Source_Evolution!$A$3:$A$731=$A69)*(Source_Evolution!$H$3:$H$731&gt;0))</f>
        <v/>
      </c>
      <c r="Y69" s="18">
        <f>SUMPRODUCT((Source_Evolution!$A$3:$A$731=$A69)*(Source_Evolution!$I$3:$I$731&gt;0))</f>
        <v/>
      </c>
      <c r="Z69" s="18">
        <f>SUMPRODUCT((Source_Evolution!$A$3:$A$731=$A69)*(Source_Evolution!$J$3:$J$731&gt;0))</f>
        <v/>
      </c>
      <c r="AA69" s="18">
        <f>SUMPRODUCT((Source_Evolution!$A$3:$A$731=$A69)*(Source_Evolution!$K$3:$K$731&gt;0))</f>
        <v/>
      </c>
      <c r="AB69" s="18">
        <f>SUMPRODUCT((Source_Evolution!$A$3:$A$731=$A69)*(Source_Evolution!$L$3:$L$731&gt;0))</f>
        <v/>
      </c>
      <c r="AC69" s="18">
        <f>SUMPRODUCT((Source_Evolution!$A$3:$A$731=$A69)*(Source_Evolution!$M$3:$M$731&gt;0))</f>
        <v/>
      </c>
      <c r="AD69" s="18">
        <f>SUMPRODUCT((Source_Evolution!$A$3:$A$731=$A69)*(Source_Evolution!$N$3:$N$731&gt;0))</f>
        <v/>
      </c>
      <c r="AE69" s="18">
        <f>SUMPRODUCT((Source_Evolution!$A$3:$A$731=$A69)*(Source_Evolution!$O$3:$O$731&gt;0))</f>
        <v/>
      </c>
      <c r="AF69" s="18">
        <f>SUMPRODUCT((Source_Evolution!$A$3:$A$731=$A69)*(Source_Evolution!$P$3:$P$731&gt;0))</f>
        <v/>
      </c>
      <c r="AG69" s="18">
        <f>SUMPRODUCT((Source_Evolution!$A$3:$A$731=$A69)*(Source_Evolution!$Q$3:$Q$731&gt;0))</f>
        <v/>
      </c>
    </row>
    <row r="70">
      <c r="A70" t="inlineStr">
        <is>
          <t>Company 16</t>
        </is>
      </c>
      <c r="B70" t="inlineStr">
        <is>
          <t>Software</t>
        </is>
      </c>
      <c r="C70" t="inlineStr">
        <is>
          <t>Denmark</t>
        </is>
      </c>
      <c r="D70" t="n">
        <v>2014</v>
      </c>
      <c r="E70" s="17">
        <f>SUMIFS(Source_Evolution!$E$3:$E$731,Source_Evolution!$A$3:$A$731,$A70)</f>
        <v/>
      </c>
      <c r="F70" s="17">
        <f>SUMIFS(Source_Evolution!$F$3:$F$731,Source_Evolution!$A$3:$A$731,$A70)</f>
        <v/>
      </c>
      <c r="G70" s="17">
        <f>SUMIFS(Source_Evolution!$G$3:$G$731,Source_Evolution!$A$3:$A$731,$A70)</f>
        <v/>
      </c>
      <c r="H70" s="17">
        <f>SUMIFS(Source_Evolution!$H$3:$H$731,Source_Evolution!$A$3:$A$731,$A70)</f>
        <v/>
      </c>
      <c r="I70" s="17">
        <f>SUMIFS(Source_Evolution!$I$3:$I$731,Source_Evolution!$A$3:$A$731,$A70)</f>
        <v/>
      </c>
      <c r="J70" s="17">
        <f>SUMIFS(Source_Evolution!$J$3:$J$731,Source_Evolution!$A$3:$A$731,$A70)</f>
        <v/>
      </c>
      <c r="K70" s="17">
        <f>SUMIFS(Source_Evolution!$K$3:$K$731,Source_Evolution!$A$3:$A$731,$A70)</f>
        <v/>
      </c>
      <c r="L70" s="17">
        <f>SUMIFS(Source_Evolution!$L$3:$L$731,Source_Evolution!$A$3:$A$731,$A70)</f>
        <v/>
      </c>
      <c r="M70" s="17">
        <f>SUMIFS(Source_Evolution!$M$3:$M$731,Source_Evolution!$A$3:$A$731,$A70)</f>
        <v/>
      </c>
      <c r="N70" s="17">
        <f>SUMIFS(Source_Evolution!$N$3:$N$731,Source_Evolution!$A$3:$A$731,$A70)</f>
        <v/>
      </c>
      <c r="O70" s="17">
        <f>SUMIFS(Source_Evolution!$O$3:$O$731,Source_Evolution!$A$3:$A$731,$A70)</f>
        <v/>
      </c>
      <c r="P70" s="17">
        <f>SUMIFS(Source_Evolution!$P$3:$P$731,Source_Evolution!$A$3:$A$731,$A70)</f>
        <v/>
      </c>
      <c r="Q70" s="17">
        <f>SUMIFS(Source_Evolution!$Q$3:$Q$731,Source_Evolution!$A$3:$A$731,$A70)</f>
        <v/>
      </c>
      <c r="R70" s="17">
        <f>SUM(E70:Q70)</f>
        <v/>
      </c>
      <c r="S70" s="17">
        <f>Q70</f>
        <v/>
      </c>
      <c r="T70">
        <f>IF(B70="Software",1,0)</f>
        <v/>
      </c>
      <c r="U70" s="18">
        <f>SUMPRODUCT((Source_Evolution!$A$3:$A$731=$A70)*(Source_Evolution!$E$3:$E$731&gt;0))</f>
        <v/>
      </c>
      <c r="V70" s="18">
        <f>SUMPRODUCT((Source_Evolution!$A$3:$A$731=$A70)*(Source_Evolution!$F$3:$F$731&gt;0))</f>
        <v/>
      </c>
      <c r="W70" s="18">
        <f>SUMPRODUCT((Source_Evolution!$A$3:$A$731=$A70)*(Source_Evolution!$G$3:$G$731&gt;0))</f>
        <v/>
      </c>
      <c r="X70" s="18">
        <f>SUMPRODUCT((Source_Evolution!$A$3:$A$731=$A70)*(Source_Evolution!$H$3:$H$731&gt;0))</f>
        <v/>
      </c>
      <c r="Y70" s="18">
        <f>SUMPRODUCT((Source_Evolution!$A$3:$A$731=$A70)*(Source_Evolution!$I$3:$I$731&gt;0))</f>
        <v/>
      </c>
      <c r="Z70" s="18">
        <f>SUMPRODUCT((Source_Evolution!$A$3:$A$731=$A70)*(Source_Evolution!$J$3:$J$731&gt;0))</f>
        <v/>
      </c>
      <c r="AA70" s="18">
        <f>SUMPRODUCT((Source_Evolution!$A$3:$A$731=$A70)*(Source_Evolution!$K$3:$K$731&gt;0))</f>
        <v/>
      </c>
      <c r="AB70" s="18">
        <f>SUMPRODUCT((Source_Evolution!$A$3:$A$731=$A70)*(Source_Evolution!$L$3:$L$731&gt;0))</f>
        <v/>
      </c>
      <c r="AC70" s="18">
        <f>SUMPRODUCT((Source_Evolution!$A$3:$A$731=$A70)*(Source_Evolution!$M$3:$M$731&gt;0))</f>
        <v/>
      </c>
      <c r="AD70" s="18">
        <f>SUMPRODUCT((Source_Evolution!$A$3:$A$731=$A70)*(Source_Evolution!$N$3:$N$731&gt;0))</f>
        <v/>
      </c>
      <c r="AE70" s="18">
        <f>SUMPRODUCT((Source_Evolution!$A$3:$A$731=$A70)*(Source_Evolution!$O$3:$O$731&gt;0))</f>
        <v/>
      </c>
      <c r="AF70" s="18">
        <f>SUMPRODUCT((Source_Evolution!$A$3:$A$731=$A70)*(Source_Evolution!$P$3:$P$731&gt;0))</f>
        <v/>
      </c>
      <c r="AG70" s="18">
        <f>SUMPRODUCT((Source_Evolution!$A$3:$A$731=$A70)*(Source_Evolution!$Q$3:$Q$731&gt;0))</f>
        <v/>
      </c>
    </row>
    <row r="71">
      <c r="A71" t="inlineStr">
        <is>
          <t>Company 160</t>
        </is>
      </c>
      <c r="B71" t="inlineStr">
        <is>
          <t>Software</t>
        </is>
      </c>
      <c r="C71" t="inlineStr">
        <is>
          <t>Poland</t>
        </is>
      </c>
      <c r="D71" t="n">
        <v>2025</v>
      </c>
      <c r="E71" s="17">
        <f>SUMIFS(Source_Evolution!$E$3:$E$731,Source_Evolution!$A$3:$A$731,$A71)</f>
        <v/>
      </c>
      <c r="F71" s="17">
        <f>SUMIFS(Source_Evolution!$F$3:$F$731,Source_Evolution!$A$3:$A$731,$A71)</f>
        <v/>
      </c>
      <c r="G71" s="17">
        <f>SUMIFS(Source_Evolution!$G$3:$G$731,Source_Evolution!$A$3:$A$731,$A71)</f>
        <v/>
      </c>
      <c r="H71" s="17">
        <f>SUMIFS(Source_Evolution!$H$3:$H$731,Source_Evolution!$A$3:$A$731,$A71)</f>
        <v/>
      </c>
      <c r="I71" s="17">
        <f>SUMIFS(Source_Evolution!$I$3:$I$731,Source_Evolution!$A$3:$A$731,$A71)</f>
        <v/>
      </c>
      <c r="J71" s="17">
        <f>SUMIFS(Source_Evolution!$J$3:$J$731,Source_Evolution!$A$3:$A$731,$A71)</f>
        <v/>
      </c>
      <c r="K71" s="17">
        <f>SUMIFS(Source_Evolution!$K$3:$K$731,Source_Evolution!$A$3:$A$731,$A71)</f>
        <v/>
      </c>
      <c r="L71" s="17">
        <f>SUMIFS(Source_Evolution!$L$3:$L$731,Source_Evolution!$A$3:$A$731,$A71)</f>
        <v/>
      </c>
      <c r="M71" s="17">
        <f>SUMIFS(Source_Evolution!$M$3:$M$731,Source_Evolution!$A$3:$A$731,$A71)</f>
        <v/>
      </c>
      <c r="N71" s="17">
        <f>SUMIFS(Source_Evolution!$N$3:$N$731,Source_Evolution!$A$3:$A$731,$A71)</f>
        <v/>
      </c>
      <c r="O71" s="17">
        <f>SUMIFS(Source_Evolution!$O$3:$O$731,Source_Evolution!$A$3:$A$731,$A71)</f>
        <v/>
      </c>
      <c r="P71" s="17">
        <f>SUMIFS(Source_Evolution!$P$3:$P$731,Source_Evolution!$A$3:$A$731,$A71)</f>
        <v/>
      </c>
      <c r="Q71" s="17">
        <f>SUMIFS(Source_Evolution!$Q$3:$Q$731,Source_Evolution!$A$3:$A$731,$A71)</f>
        <v/>
      </c>
      <c r="R71" s="17">
        <f>SUM(E71:Q71)</f>
        <v/>
      </c>
      <c r="S71" s="17">
        <f>Q71</f>
        <v/>
      </c>
      <c r="T71">
        <f>IF(B71="Software",1,0)</f>
        <v/>
      </c>
      <c r="U71" s="18">
        <f>SUMPRODUCT((Source_Evolution!$A$3:$A$731=$A71)*(Source_Evolution!$E$3:$E$731&gt;0))</f>
        <v/>
      </c>
      <c r="V71" s="18">
        <f>SUMPRODUCT((Source_Evolution!$A$3:$A$731=$A71)*(Source_Evolution!$F$3:$F$731&gt;0))</f>
        <v/>
      </c>
      <c r="W71" s="18">
        <f>SUMPRODUCT((Source_Evolution!$A$3:$A$731=$A71)*(Source_Evolution!$G$3:$G$731&gt;0))</f>
        <v/>
      </c>
      <c r="X71" s="18">
        <f>SUMPRODUCT((Source_Evolution!$A$3:$A$731=$A71)*(Source_Evolution!$H$3:$H$731&gt;0))</f>
        <v/>
      </c>
      <c r="Y71" s="18">
        <f>SUMPRODUCT((Source_Evolution!$A$3:$A$731=$A71)*(Source_Evolution!$I$3:$I$731&gt;0))</f>
        <v/>
      </c>
      <c r="Z71" s="18">
        <f>SUMPRODUCT((Source_Evolution!$A$3:$A$731=$A71)*(Source_Evolution!$J$3:$J$731&gt;0))</f>
        <v/>
      </c>
      <c r="AA71" s="18">
        <f>SUMPRODUCT((Source_Evolution!$A$3:$A$731=$A71)*(Source_Evolution!$K$3:$K$731&gt;0))</f>
        <v/>
      </c>
      <c r="AB71" s="18">
        <f>SUMPRODUCT((Source_Evolution!$A$3:$A$731=$A71)*(Source_Evolution!$L$3:$L$731&gt;0))</f>
        <v/>
      </c>
      <c r="AC71" s="18">
        <f>SUMPRODUCT((Source_Evolution!$A$3:$A$731=$A71)*(Source_Evolution!$M$3:$M$731&gt;0))</f>
        <v/>
      </c>
      <c r="AD71" s="18">
        <f>SUMPRODUCT((Source_Evolution!$A$3:$A$731=$A71)*(Source_Evolution!$N$3:$N$731&gt;0))</f>
        <v/>
      </c>
      <c r="AE71" s="18">
        <f>SUMPRODUCT((Source_Evolution!$A$3:$A$731=$A71)*(Source_Evolution!$O$3:$O$731&gt;0))</f>
        <v/>
      </c>
      <c r="AF71" s="18">
        <f>SUMPRODUCT((Source_Evolution!$A$3:$A$731=$A71)*(Source_Evolution!$P$3:$P$731&gt;0))</f>
        <v/>
      </c>
      <c r="AG71" s="18">
        <f>SUMPRODUCT((Source_Evolution!$A$3:$A$731=$A71)*(Source_Evolution!$Q$3:$Q$731&gt;0))</f>
        <v/>
      </c>
    </row>
    <row r="72">
      <c r="A72" t="inlineStr">
        <is>
          <t>Company 161</t>
        </is>
      </c>
      <c r="B72" t="inlineStr">
        <is>
          <t>Software</t>
        </is>
      </c>
      <c r="C72" t="inlineStr">
        <is>
          <t>Switzerland</t>
        </is>
      </c>
      <c r="D72" t="n">
        <v>2026</v>
      </c>
      <c r="E72" s="17">
        <f>SUMIFS(Source_Evolution!$E$3:$E$731,Source_Evolution!$A$3:$A$731,$A72)</f>
        <v/>
      </c>
      <c r="F72" s="17">
        <f>SUMIFS(Source_Evolution!$F$3:$F$731,Source_Evolution!$A$3:$A$731,$A72)</f>
        <v/>
      </c>
      <c r="G72" s="17">
        <f>SUMIFS(Source_Evolution!$G$3:$G$731,Source_Evolution!$A$3:$A$731,$A72)</f>
        <v/>
      </c>
      <c r="H72" s="17">
        <f>SUMIFS(Source_Evolution!$H$3:$H$731,Source_Evolution!$A$3:$A$731,$A72)</f>
        <v/>
      </c>
      <c r="I72" s="17">
        <f>SUMIFS(Source_Evolution!$I$3:$I$731,Source_Evolution!$A$3:$A$731,$A72)</f>
        <v/>
      </c>
      <c r="J72" s="17">
        <f>SUMIFS(Source_Evolution!$J$3:$J$731,Source_Evolution!$A$3:$A$731,$A72)</f>
        <v/>
      </c>
      <c r="K72" s="17">
        <f>SUMIFS(Source_Evolution!$K$3:$K$731,Source_Evolution!$A$3:$A$731,$A72)</f>
        <v/>
      </c>
      <c r="L72" s="17">
        <f>SUMIFS(Source_Evolution!$L$3:$L$731,Source_Evolution!$A$3:$A$731,$A72)</f>
        <v/>
      </c>
      <c r="M72" s="17">
        <f>SUMIFS(Source_Evolution!$M$3:$M$731,Source_Evolution!$A$3:$A$731,$A72)</f>
        <v/>
      </c>
      <c r="N72" s="17">
        <f>SUMIFS(Source_Evolution!$N$3:$N$731,Source_Evolution!$A$3:$A$731,$A72)</f>
        <v/>
      </c>
      <c r="O72" s="17">
        <f>SUMIFS(Source_Evolution!$O$3:$O$731,Source_Evolution!$A$3:$A$731,$A72)</f>
        <v/>
      </c>
      <c r="P72" s="17">
        <f>SUMIFS(Source_Evolution!$P$3:$P$731,Source_Evolution!$A$3:$A$731,$A72)</f>
        <v/>
      </c>
      <c r="Q72" s="17">
        <f>SUMIFS(Source_Evolution!$Q$3:$Q$731,Source_Evolution!$A$3:$A$731,$A72)</f>
        <v/>
      </c>
      <c r="R72" s="17">
        <f>SUM(E72:Q72)</f>
        <v/>
      </c>
      <c r="S72" s="17">
        <f>Q72</f>
        <v/>
      </c>
      <c r="T72">
        <f>IF(B72="Software",1,0)</f>
        <v/>
      </c>
      <c r="U72" s="18">
        <f>SUMPRODUCT((Source_Evolution!$A$3:$A$731=$A72)*(Source_Evolution!$E$3:$E$731&gt;0))</f>
        <v/>
      </c>
      <c r="V72" s="18">
        <f>SUMPRODUCT((Source_Evolution!$A$3:$A$731=$A72)*(Source_Evolution!$F$3:$F$731&gt;0))</f>
        <v/>
      </c>
      <c r="W72" s="18">
        <f>SUMPRODUCT((Source_Evolution!$A$3:$A$731=$A72)*(Source_Evolution!$G$3:$G$731&gt;0))</f>
        <v/>
      </c>
      <c r="X72" s="18">
        <f>SUMPRODUCT((Source_Evolution!$A$3:$A$731=$A72)*(Source_Evolution!$H$3:$H$731&gt;0))</f>
        <v/>
      </c>
      <c r="Y72" s="18">
        <f>SUMPRODUCT((Source_Evolution!$A$3:$A$731=$A72)*(Source_Evolution!$I$3:$I$731&gt;0))</f>
        <v/>
      </c>
      <c r="Z72" s="18">
        <f>SUMPRODUCT((Source_Evolution!$A$3:$A$731=$A72)*(Source_Evolution!$J$3:$J$731&gt;0))</f>
        <v/>
      </c>
      <c r="AA72" s="18">
        <f>SUMPRODUCT((Source_Evolution!$A$3:$A$731=$A72)*(Source_Evolution!$K$3:$K$731&gt;0))</f>
        <v/>
      </c>
      <c r="AB72" s="18">
        <f>SUMPRODUCT((Source_Evolution!$A$3:$A$731=$A72)*(Source_Evolution!$L$3:$L$731&gt;0))</f>
        <v/>
      </c>
      <c r="AC72" s="18">
        <f>SUMPRODUCT((Source_Evolution!$A$3:$A$731=$A72)*(Source_Evolution!$M$3:$M$731&gt;0))</f>
        <v/>
      </c>
      <c r="AD72" s="18">
        <f>SUMPRODUCT((Source_Evolution!$A$3:$A$731=$A72)*(Source_Evolution!$N$3:$N$731&gt;0))</f>
        <v/>
      </c>
      <c r="AE72" s="18">
        <f>SUMPRODUCT((Source_Evolution!$A$3:$A$731=$A72)*(Source_Evolution!$O$3:$O$731&gt;0))</f>
        <v/>
      </c>
      <c r="AF72" s="18">
        <f>SUMPRODUCT((Source_Evolution!$A$3:$A$731=$A72)*(Source_Evolution!$P$3:$P$731&gt;0))</f>
        <v/>
      </c>
      <c r="AG72" s="18">
        <f>SUMPRODUCT((Source_Evolution!$A$3:$A$731=$A72)*(Source_Evolution!$Q$3:$Q$731&gt;0))</f>
        <v/>
      </c>
    </row>
    <row r="73">
      <c r="A73" t="inlineStr">
        <is>
          <t>Company 162</t>
        </is>
      </c>
      <c r="B73" t="inlineStr">
        <is>
          <t>Software</t>
        </is>
      </c>
      <c r="C73" t="inlineStr">
        <is>
          <t>Switzerland</t>
        </is>
      </c>
      <c r="D73" t="n">
        <v>2025</v>
      </c>
      <c r="E73" s="17">
        <f>SUMIFS(Source_Evolution!$E$3:$E$731,Source_Evolution!$A$3:$A$731,$A73)</f>
        <v/>
      </c>
      <c r="F73" s="17">
        <f>SUMIFS(Source_Evolution!$F$3:$F$731,Source_Evolution!$A$3:$A$731,$A73)</f>
        <v/>
      </c>
      <c r="G73" s="17">
        <f>SUMIFS(Source_Evolution!$G$3:$G$731,Source_Evolution!$A$3:$A$731,$A73)</f>
        <v/>
      </c>
      <c r="H73" s="17">
        <f>SUMIFS(Source_Evolution!$H$3:$H$731,Source_Evolution!$A$3:$A$731,$A73)</f>
        <v/>
      </c>
      <c r="I73" s="17">
        <f>SUMIFS(Source_Evolution!$I$3:$I$731,Source_Evolution!$A$3:$A$731,$A73)</f>
        <v/>
      </c>
      <c r="J73" s="17">
        <f>SUMIFS(Source_Evolution!$J$3:$J$731,Source_Evolution!$A$3:$A$731,$A73)</f>
        <v/>
      </c>
      <c r="K73" s="17">
        <f>SUMIFS(Source_Evolution!$K$3:$K$731,Source_Evolution!$A$3:$A$731,$A73)</f>
        <v/>
      </c>
      <c r="L73" s="17">
        <f>SUMIFS(Source_Evolution!$L$3:$L$731,Source_Evolution!$A$3:$A$731,$A73)</f>
        <v/>
      </c>
      <c r="M73" s="17">
        <f>SUMIFS(Source_Evolution!$M$3:$M$731,Source_Evolution!$A$3:$A$731,$A73)</f>
        <v/>
      </c>
      <c r="N73" s="17">
        <f>SUMIFS(Source_Evolution!$N$3:$N$731,Source_Evolution!$A$3:$A$731,$A73)</f>
        <v/>
      </c>
      <c r="O73" s="17">
        <f>SUMIFS(Source_Evolution!$O$3:$O$731,Source_Evolution!$A$3:$A$731,$A73)</f>
        <v/>
      </c>
      <c r="P73" s="17">
        <f>SUMIFS(Source_Evolution!$P$3:$P$731,Source_Evolution!$A$3:$A$731,$A73)</f>
        <v/>
      </c>
      <c r="Q73" s="17">
        <f>SUMIFS(Source_Evolution!$Q$3:$Q$731,Source_Evolution!$A$3:$A$731,$A73)</f>
        <v/>
      </c>
      <c r="R73" s="17">
        <f>SUM(E73:Q73)</f>
        <v/>
      </c>
      <c r="S73" s="17">
        <f>Q73</f>
        <v/>
      </c>
      <c r="T73">
        <f>IF(B73="Software",1,0)</f>
        <v/>
      </c>
      <c r="U73" s="18">
        <f>SUMPRODUCT((Source_Evolution!$A$3:$A$731=$A73)*(Source_Evolution!$E$3:$E$731&gt;0))</f>
        <v/>
      </c>
      <c r="V73" s="18">
        <f>SUMPRODUCT((Source_Evolution!$A$3:$A$731=$A73)*(Source_Evolution!$F$3:$F$731&gt;0))</f>
        <v/>
      </c>
      <c r="W73" s="18">
        <f>SUMPRODUCT((Source_Evolution!$A$3:$A$731=$A73)*(Source_Evolution!$G$3:$G$731&gt;0))</f>
        <v/>
      </c>
      <c r="X73" s="18">
        <f>SUMPRODUCT((Source_Evolution!$A$3:$A$731=$A73)*(Source_Evolution!$H$3:$H$731&gt;0))</f>
        <v/>
      </c>
      <c r="Y73" s="18">
        <f>SUMPRODUCT((Source_Evolution!$A$3:$A$731=$A73)*(Source_Evolution!$I$3:$I$731&gt;0))</f>
        <v/>
      </c>
      <c r="Z73" s="18">
        <f>SUMPRODUCT((Source_Evolution!$A$3:$A$731=$A73)*(Source_Evolution!$J$3:$J$731&gt;0))</f>
        <v/>
      </c>
      <c r="AA73" s="18">
        <f>SUMPRODUCT((Source_Evolution!$A$3:$A$731=$A73)*(Source_Evolution!$K$3:$K$731&gt;0))</f>
        <v/>
      </c>
      <c r="AB73" s="18">
        <f>SUMPRODUCT((Source_Evolution!$A$3:$A$731=$A73)*(Source_Evolution!$L$3:$L$731&gt;0))</f>
        <v/>
      </c>
      <c r="AC73" s="18">
        <f>SUMPRODUCT((Source_Evolution!$A$3:$A$731=$A73)*(Source_Evolution!$M$3:$M$731&gt;0))</f>
        <v/>
      </c>
      <c r="AD73" s="18">
        <f>SUMPRODUCT((Source_Evolution!$A$3:$A$731=$A73)*(Source_Evolution!$N$3:$N$731&gt;0))</f>
        <v/>
      </c>
      <c r="AE73" s="18">
        <f>SUMPRODUCT((Source_Evolution!$A$3:$A$731=$A73)*(Source_Evolution!$O$3:$O$731&gt;0))</f>
        <v/>
      </c>
      <c r="AF73" s="18">
        <f>SUMPRODUCT((Source_Evolution!$A$3:$A$731=$A73)*(Source_Evolution!$P$3:$P$731&gt;0))</f>
        <v/>
      </c>
      <c r="AG73" s="18">
        <f>SUMPRODUCT((Source_Evolution!$A$3:$A$731=$A73)*(Source_Evolution!$Q$3:$Q$731&gt;0))</f>
        <v/>
      </c>
    </row>
    <row r="74">
      <c r="A74" t="inlineStr">
        <is>
          <t>Company 163</t>
        </is>
      </c>
      <c r="B74" t="inlineStr">
        <is>
          <t>Software</t>
        </is>
      </c>
      <c r="C74" t="inlineStr">
        <is>
          <t>Ireland</t>
        </is>
      </c>
      <c r="D74" t="n">
        <v>2025</v>
      </c>
      <c r="E74" s="17">
        <f>SUMIFS(Source_Evolution!$E$3:$E$731,Source_Evolution!$A$3:$A$731,$A74)</f>
        <v/>
      </c>
      <c r="F74" s="17">
        <f>SUMIFS(Source_Evolution!$F$3:$F$731,Source_Evolution!$A$3:$A$731,$A74)</f>
        <v/>
      </c>
      <c r="G74" s="17">
        <f>SUMIFS(Source_Evolution!$G$3:$G$731,Source_Evolution!$A$3:$A$731,$A74)</f>
        <v/>
      </c>
      <c r="H74" s="17">
        <f>SUMIFS(Source_Evolution!$H$3:$H$731,Source_Evolution!$A$3:$A$731,$A74)</f>
        <v/>
      </c>
      <c r="I74" s="17">
        <f>SUMIFS(Source_Evolution!$I$3:$I$731,Source_Evolution!$A$3:$A$731,$A74)</f>
        <v/>
      </c>
      <c r="J74" s="17">
        <f>SUMIFS(Source_Evolution!$J$3:$J$731,Source_Evolution!$A$3:$A$731,$A74)</f>
        <v/>
      </c>
      <c r="K74" s="17">
        <f>SUMIFS(Source_Evolution!$K$3:$K$731,Source_Evolution!$A$3:$A$731,$A74)</f>
        <v/>
      </c>
      <c r="L74" s="17">
        <f>SUMIFS(Source_Evolution!$L$3:$L$731,Source_Evolution!$A$3:$A$731,$A74)</f>
        <v/>
      </c>
      <c r="M74" s="17">
        <f>SUMIFS(Source_Evolution!$M$3:$M$731,Source_Evolution!$A$3:$A$731,$A74)</f>
        <v/>
      </c>
      <c r="N74" s="17">
        <f>SUMIFS(Source_Evolution!$N$3:$N$731,Source_Evolution!$A$3:$A$731,$A74)</f>
        <v/>
      </c>
      <c r="O74" s="17">
        <f>SUMIFS(Source_Evolution!$O$3:$O$731,Source_Evolution!$A$3:$A$731,$A74)</f>
        <v/>
      </c>
      <c r="P74" s="17">
        <f>SUMIFS(Source_Evolution!$P$3:$P$731,Source_Evolution!$A$3:$A$731,$A74)</f>
        <v/>
      </c>
      <c r="Q74" s="17">
        <f>SUMIFS(Source_Evolution!$Q$3:$Q$731,Source_Evolution!$A$3:$A$731,$A74)</f>
        <v/>
      </c>
      <c r="R74" s="17">
        <f>SUM(E74:Q74)</f>
        <v/>
      </c>
      <c r="S74" s="17">
        <f>Q74</f>
        <v/>
      </c>
      <c r="T74">
        <f>IF(B74="Software",1,0)</f>
        <v/>
      </c>
      <c r="U74" s="18">
        <f>SUMPRODUCT((Source_Evolution!$A$3:$A$731=$A74)*(Source_Evolution!$E$3:$E$731&gt;0))</f>
        <v/>
      </c>
      <c r="V74" s="18">
        <f>SUMPRODUCT((Source_Evolution!$A$3:$A$731=$A74)*(Source_Evolution!$F$3:$F$731&gt;0))</f>
        <v/>
      </c>
      <c r="W74" s="18">
        <f>SUMPRODUCT((Source_Evolution!$A$3:$A$731=$A74)*(Source_Evolution!$G$3:$G$731&gt;0))</f>
        <v/>
      </c>
      <c r="X74" s="18">
        <f>SUMPRODUCT((Source_Evolution!$A$3:$A$731=$A74)*(Source_Evolution!$H$3:$H$731&gt;0))</f>
        <v/>
      </c>
      <c r="Y74" s="18">
        <f>SUMPRODUCT((Source_Evolution!$A$3:$A$731=$A74)*(Source_Evolution!$I$3:$I$731&gt;0))</f>
        <v/>
      </c>
      <c r="Z74" s="18">
        <f>SUMPRODUCT((Source_Evolution!$A$3:$A$731=$A74)*(Source_Evolution!$J$3:$J$731&gt;0))</f>
        <v/>
      </c>
      <c r="AA74" s="18">
        <f>SUMPRODUCT((Source_Evolution!$A$3:$A$731=$A74)*(Source_Evolution!$K$3:$K$731&gt;0))</f>
        <v/>
      </c>
      <c r="AB74" s="18">
        <f>SUMPRODUCT((Source_Evolution!$A$3:$A$731=$A74)*(Source_Evolution!$L$3:$L$731&gt;0))</f>
        <v/>
      </c>
      <c r="AC74" s="18">
        <f>SUMPRODUCT((Source_Evolution!$A$3:$A$731=$A74)*(Source_Evolution!$M$3:$M$731&gt;0))</f>
        <v/>
      </c>
      <c r="AD74" s="18">
        <f>SUMPRODUCT((Source_Evolution!$A$3:$A$731=$A74)*(Source_Evolution!$N$3:$N$731&gt;0))</f>
        <v/>
      </c>
      <c r="AE74" s="18">
        <f>SUMPRODUCT((Source_Evolution!$A$3:$A$731=$A74)*(Source_Evolution!$O$3:$O$731&gt;0))</f>
        <v/>
      </c>
      <c r="AF74" s="18">
        <f>SUMPRODUCT((Source_Evolution!$A$3:$A$731=$A74)*(Source_Evolution!$P$3:$P$731&gt;0))</f>
        <v/>
      </c>
      <c r="AG74" s="18">
        <f>SUMPRODUCT((Source_Evolution!$A$3:$A$731=$A74)*(Source_Evolution!$Q$3:$Q$731&gt;0))</f>
        <v/>
      </c>
    </row>
    <row r="75">
      <c r="A75" t="inlineStr">
        <is>
          <t>Company 164</t>
        </is>
      </c>
      <c r="B75" t="inlineStr">
        <is>
          <t>Software</t>
        </is>
      </c>
      <c r="C75" t="inlineStr">
        <is>
          <t>UK</t>
        </is>
      </c>
      <c r="D75" t="n">
        <v>2025</v>
      </c>
      <c r="E75" s="17">
        <f>SUMIFS(Source_Evolution!$E$3:$E$731,Source_Evolution!$A$3:$A$731,$A75)</f>
        <v/>
      </c>
      <c r="F75" s="17">
        <f>SUMIFS(Source_Evolution!$F$3:$F$731,Source_Evolution!$A$3:$A$731,$A75)</f>
        <v/>
      </c>
      <c r="G75" s="17">
        <f>SUMIFS(Source_Evolution!$G$3:$G$731,Source_Evolution!$A$3:$A$731,$A75)</f>
        <v/>
      </c>
      <c r="H75" s="17">
        <f>SUMIFS(Source_Evolution!$H$3:$H$731,Source_Evolution!$A$3:$A$731,$A75)</f>
        <v/>
      </c>
      <c r="I75" s="17">
        <f>SUMIFS(Source_Evolution!$I$3:$I$731,Source_Evolution!$A$3:$A$731,$A75)</f>
        <v/>
      </c>
      <c r="J75" s="17">
        <f>SUMIFS(Source_Evolution!$J$3:$J$731,Source_Evolution!$A$3:$A$731,$A75)</f>
        <v/>
      </c>
      <c r="K75" s="17">
        <f>SUMIFS(Source_Evolution!$K$3:$K$731,Source_Evolution!$A$3:$A$731,$A75)</f>
        <v/>
      </c>
      <c r="L75" s="17">
        <f>SUMIFS(Source_Evolution!$L$3:$L$731,Source_Evolution!$A$3:$A$731,$A75)</f>
        <v/>
      </c>
      <c r="M75" s="17">
        <f>SUMIFS(Source_Evolution!$M$3:$M$731,Source_Evolution!$A$3:$A$731,$A75)</f>
        <v/>
      </c>
      <c r="N75" s="17">
        <f>SUMIFS(Source_Evolution!$N$3:$N$731,Source_Evolution!$A$3:$A$731,$A75)</f>
        <v/>
      </c>
      <c r="O75" s="17">
        <f>SUMIFS(Source_Evolution!$O$3:$O$731,Source_Evolution!$A$3:$A$731,$A75)</f>
        <v/>
      </c>
      <c r="P75" s="17">
        <f>SUMIFS(Source_Evolution!$P$3:$P$731,Source_Evolution!$A$3:$A$731,$A75)</f>
        <v/>
      </c>
      <c r="Q75" s="17">
        <f>SUMIFS(Source_Evolution!$Q$3:$Q$731,Source_Evolution!$A$3:$A$731,$A75)</f>
        <v/>
      </c>
      <c r="R75" s="17">
        <f>SUM(E75:Q75)</f>
        <v/>
      </c>
      <c r="S75" s="17">
        <f>Q75</f>
        <v/>
      </c>
      <c r="T75">
        <f>IF(B75="Software",1,0)</f>
        <v/>
      </c>
      <c r="U75" s="18">
        <f>SUMPRODUCT((Source_Evolution!$A$3:$A$731=$A75)*(Source_Evolution!$E$3:$E$731&gt;0))</f>
        <v/>
      </c>
      <c r="V75" s="18">
        <f>SUMPRODUCT((Source_Evolution!$A$3:$A$731=$A75)*(Source_Evolution!$F$3:$F$731&gt;0))</f>
        <v/>
      </c>
      <c r="W75" s="18">
        <f>SUMPRODUCT((Source_Evolution!$A$3:$A$731=$A75)*(Source_Evolution!$G$3:$G$731&gt;0))</f>
        <v/>
      </c>
      <c r="X75" s="18">
        <f>SUMPRODUCT((Source_Evolution!$A$3:$A$731=$A75)*(Source_Evolution!$H$3:$H$731&gt;0))</f>
        <v/>
      </c>
      <c r="Y75" s="18">
        <f>SUMPRODUCT((Source_Evolution!$A$3:$A$731=$A75)*(Source_Evolution!$I$3:$I$731&gt;0))</f>
        <v/>
      </c>
      <c r="Z75" s="18">
        <f>SUMPRODUCT((Source_Evolution!$A$3:$A$731=$A75)*(Source_Evolution!$J$3:$J$731&gt;0))</f>
        <v/>
      </c>
      <c r="AA75" s="18">
        <f>SUMPRODUCT((Source_Evolution!$A$3:$A$731=$A75)*(Source_Evolution!$K$3:$K$731&gt;0))</f>
        <v/>
      </c>
      <c r="AB75" s="18">
        <f>SUMPRODUCT((Source_Evolution!$A$3:$A$731=$A75)*(Source_Evolution!$L$3:$L$731&gt;0))</f>
        <v/>
      </c>
      <c r="AC75" s="18">
        <f>SUMPRODUCT((Source_Evolution!$A$3:$A$731=$A75)*(Source_Evolution!$M$3:$M$731&gt;0))</f>
        <v/>
      </c>
      <c r="AD75" s="18">
        <f>SUMPRODUCT((Source_Evolution!$A$3:$A$731=$A75)*(Source_Evolution!$N$3:$N$731&gt;0))</f>
        <v/>
      </c>
      <c r="AE75" s="18">
        <f>SUMPRODUCT((Source_Evolution!$A$3:$A$731=$A75)*(Source_Evolution!$O$3:$O$731&gt;0))</f>
        <v/>
      </c>
      <c r="AF75" s="18">
        <f>SUMPRODUCT((Source_Evolution!$A$3:$A$731=$A75)*(Source_Evolution!$P$3:$P$731&gt;0))</f>
        <v/>
      </c>
      <c r="AG75" s="18">
        <f>SUMPRODUCT((Source_Evolution!$A$3:$A$731=$A75)*(Source_Evolution!$Q$3:$Q$731&gt;0))</f>
        <v/>
      </c>
    </row>
    <row r="76">
      <c r="A76" t="inlineStr">
        <is>
          <t>Company 165</t>
        </is>
      </c>
      <c r="B76" t="inlineStr">
        <is>
          <t>Software</t>
        </is>
      </c>
      <c r="C76" t="inlineStr">
        <is>
          <t>UK</t>
        </is>
      </c>
      <c r="D76" t="n">
        <v>2025</v>
      </c>
      <c r="E76" s="17">
        <f>SUMIFS(Source_Evolution!$E$3:$E$731,Source_Evolution!$A$3:$A$731,$A76)</f>
        <v/>
      </c>
      <c r="F76" s="17">
        <f>SUMIFS(Source_Evolution!$F$3:$F$731,Source_Evolution!$A$3:$A$731,$A76)</f>
        <v/>
      </c>
      <c r="G76" s="17">
        <f>SUMIFS(Source_Evolution!$G$3:$G$731,Source_Evolution!$A$3:$A$731,$A76)</f>
        <v/>
      </c>
      <c r="H76" s="17">
        <f>SUMIFS(Source_Evolution!$H$3:$H$731,Source_Evolution!$A$3:$A$731,$A76)</f>
        <v/>
      </c>
      <c r="I76" s="17">
        <f>SUMIFS(Source_Evolution!$I$3:$I$731,Source_Evolution!$A$3:$A$731,$A76)</f>
        <v/>
      </c>
      <c r="J76" s="17">
        <f>SUMIFS(Source_Evolution!$J$3:$J$731,Source_Evolution!$A$3:$A$731,$A76)</f>
        <v/>
      </c>
      <c r="K76" s="17">
        <f>SUMIFS(Source_Evolution!$K$3:$K$731,Source_Evolution!$A$3:$A$731,$A76)</f>
        <v/>
      </c>
      <c r="L76" s="17">
        <f>SUMIFS(Source_Evolution!$L$3:$L$731,Source_Evolution!$A$3:$A$731,$A76)</f>
        <v/>
      </c>
      <c r="M76" s="17">
        <f>SUMIFS(Source_Evolution!$M$3:$M$731,Source_Evolution!$A$3:$A$731,$A76)</f>
        <v/>
      </c>
      <c r="N76" s="17">
        <f>SUMIFS(Source_Evolution!$N$3:$N$731,Source_Evolution!$A$3:$A$731,$A76)</f>
        <v/>
      </c>
      <c r="O76" s="17">
        <f>SUMIFS(Source_Evolution!$O$3:$O$731,Source_Evolution!$A$3:$A$731,$A76)</f>
        <v/>
      </c>
      <c r="P76" s="17">
        <f>SUMIFS(Source_Evolution!$P$3:$P$731,Source_Evolution!$A$3:$A$731,$A76)</f>
        <v/>
      </c>
      <c r="Q76" s="17">
        <f>SUMIFS(Source_Evolution!$Q$3:$Q$731,Source_Evolution!$A$3:$A$731,$A76)</f>
        <v/>
      </c>
      <c r="R76" s="17">
        <f>SUM(E76:Q76)</f>
        <v/>
      </c>
      <c r="S76" s="17">
        <f>Q76</f>
        <v/>
      </c>
      <c r="T76">
        <f>IF(B76="Software",1,0)</f>
        <v/>
      </c>
      <c r="U76" s="18">
        <f>SUMPRODUCT((Source_Evolution!$A$3:$A$731=$A76)*(Source_Evolution!$E$3:$E$731&gt;0))</f>
        <v/>
      </c>
      <c r="V76" s="18">
        <f>SUMPRODUCT((Source_Evolution!$A$3:$A$731=$A76)*(Source_Evolution!$F$3:$F$731&gt;0))</f>
        <v/>
      </c>
      <c r="W76" s="18">
        <f>SUMPRODUCT((Source_Evolution!$A$3:$A$731=$A76)*(Source_Evolution!$G$3:$G$731&gt;0))</f>
        <v/>
      </c>
      <c r="X76" s="18">
        <f>SUMPRODUCT((Source_Evolution!$A$3:$A$731=$A76)*(Source_Evolution!$H$3:$H$731&gt;0))</f>
        <v/>
      </c>
      <c r="Y76" s="18">
        <f>SUMPRODUCT((Source_Evolution!$A$3:$A$731=$A76)*(Source_Evolution!$I$3:$I$731&gt;0))</f>
        <v/>
      </c>
      <c r="Z76" s="18">
        <f>SUMPRODUCT((Source_Evolution!$A$3:$A$731=$A76)*(Source_Evolution!$J$3:$J$731&gt;0))</f>
        <v/>
      </c>
      <c r="AA76" s="18">
        <f>SUMPRODUCT((Source_Evolution!$A$3:$A$731=$A76)*(Source_Evolution!$K$3:$K$731&gt;0))</f>
        <v/>
      </c>
      <c r="AB76" s="18">
        <f>SUMPRODUCT((Source_Evolution!$A$3:$A$731=$A76)*(Source_Evolution!$L$3:$L$731&gt;0))</f>
        <v/>
      </c>
      <c r="AC76" s="18">
        <f>SUMPRODUCT((Source_Evolution!$A$3:$A$731=$A76)*(Source_Evolution!$M$3:$M$731&gt;0))</f>
        <v/>
      </c>
      <c r="AD76" s="18">
        <f>SUMPRODUCT((Source_Evolution!$A$3:$A$731=$A76)*(Source_Evolution!$N$3:$N$731&gt;0))</f>
        <v/>
      </c>
      <c r="AE76" s="18">
        <f>SUMPRODUCT((Source_Evolution!$A$3:$A$731=$A76)*(Source_Evolution!$O$3:$O$731&gt;0))</f>
        <v/>
      </c>
      <c r="AF76" s="18">
        <f>SUMPRODUCT((Source_Evolution!$A$3:$A$731=$A76)*(Source_Evolution!$P$3:$P$731&gt;0))</f>
        <v/>
      </c>
      <c r="AG76" s="18">
        <f>SUMPRODUCT((Source_Evolution!$A$3:$A$731=$A76)*(Source_Evolution!$Q$3:$Q$731&gt;0))</f>
        <v/>
      </c>
    </row>
    <row r="77">
      <c r="A77" t="inlineStr">
        <is>
          <t>Company 166</t>
        </is>
      </c>
      <c r="B77" t="inlineStr">
        <is>
          <t>Software</t>
        </is>
      </c>
      <c r="C77" t="inlineStr">
        <is>
          <t>Ireland</t>
        </is>
      </c>
      <c r="D77" t="n">
        <v>2025</v>
      </c>
      <c r="E77" s="17">
        <f>SUMIFS(Source_Evolution!$E$3:$E$731,Source_Evolution!$A$3:$A$731,$A77)</f>
        <v/>
      </c>
      <c r="F77" s="17">
        <f>SUMIFS(Source_Evolution!$F$3:$F$731,Source_Evolution!$A$3:$A$731,$A77)</f>
        <v/>
      </c>
      <c r="G77" s="17">
        <f>SUMIFS(Source_Evolution!$G$3:$G$731,Source_Evolution!$A$3:$A$731,$A77)</f>
        <v/>
      </c>
      <c r="H77" s="17">
        <f>SUMIFS(Source_Evolution!$H$3:$H$731,Source_Evolution!$A$3:$A$731,$A77)</f>
        <v/>
      </c>
      <c r="I77" s="17">
        <f>SUMIFS(Source_Evolution!$I$3:$I$731,Source_Evolution!$A$3:$A$731,$A77)</f>
        <v/>
      </c>
      <c r="J77" s="17">
        <f>SUMIFS(Source_Evolution!$J$3:$J$731,Source_Evolution!$A$3:$A$731,$A77)</f>
        <v/>
      </c>
      <c r="K77" s="17">
        <f>SUMIFS(Source_Evolution!$K$3:$K$731,Source_Evolution!$A$3:$A$731,$A77)</f>
        <v/>
      </c>
      <c r="L77" s="17">
        <f>SUMIFS(Source_Evolution!$L$3:$L$731,Source_Evolution!$A$3:$A$731,$A77)</f>
        <v/>
      </c>
      <c r="M77" s="17">
        <f>SUMIFS(Source_Evolution!$M$3:$M$731,Source_Evolution!$A$3:$A$731,$A77)</f>
        <v/>
      </c>
      <c r="N77" s="17">
        <f>SUMIFS(Source_Evolution!$N$3:$N$731,Source_Evolution!$A$3:$A$731,$A77)</f>
        <v/>
      </c>
      <c r="O77" s="17">
        <f>SUMIFS(Source_Evolution!$O$3:$O$731,Source_Evolution!$A$3:$A$731,$A77)</f>
        <v/>
      </c>
      <c r="P77" s="17">
        <f>SUMIFS(Source_Evolution!$P$3:$P$731,Source_Evolution!$A$3:$A$731,$A77)</f>
        <v/>
      </c>
      <c r="Q77" s="17">
        <f>SUMIFS(Source_Evolution!$Q$3:$Q$731,Source_Evolution!$A$3:$A$731,$A77)</f>
        <v/>
      </c>
      <c r="R77" s="17">
        <f>SUM(E77:Q77)</f>
        <v/>
      </c>
      <c r="S77" s="17">
        <f>Q77</f>
        <v/>
      </c>
      <c r="T77">
        <f>IF(B77="Software",1,0)</f>
        <v/>
      </c>
      <c r="U77" s="18">
        <f>SUMPRODUCT((Source_Evolution!$A$3:$A$731=$A77)*(Source_Evolution!$E$3:$E$731&gt;0))</f>
        <v/>
      </c>
      <c r="V77" s="18">
        <f>SUMPRODUCT((Source_Evolution!$A$3:$A$731=$A77)*(Source_Evolution!$F$3:$F$731&gt;0))</f>
        <v/>
      </c>
      <c r="W77" s="18">
        <f>SUMPRODUCT((Source_Evolution!$A$3:$A$731=$A77)*(Source_Evolution!$G$3:$G$731&gt;0))</f>
        <v/>
      </c>
      <c r="X77" s="18">
        <f>SUMPRODUCT((Source_Evolution!$A$3:$A$731=$A77)*(Source_Evolution!$H$3:$H$731&gt;0))</f>
        <v/>
      </c>
      <c r="Y77" s="18">
        <f>SUMPRODUCT((Source_Evolution!$A$3:$A$731=$A77)*(Source_Evolution!$I$3:$I$731&gt;0))</f>
        <v/>
      </c>
      <c r="Z77" s="18">
        <f>SUMPRODUCT((Source_Evolution!$A$3:$A$731=$A77)*(Source_Evolution!$J$3:$J$731&gt;0))</f>
        <v/>
      </c>
      <c r="AA77" s="18">
        <f>SUMPRODUCT((Source_Evolution!$A$3:$A$731=$A77)*(Source_Evolution!$K$3:$K$731&gt;0))</f>
        <v/>
      </c>
      <c r="AB77" s="18">
        <f>SUMPRODUCT((Source_Evolution!$A$3:$A$731=$A77)*(Source_Evolution!$L$3:$L$731&gt;0))</f>
        <v/>
      </c>
      <c r="AC77" s="18">
        <f>SUMPRODUCT((Source_Evolution!$A$3:$A$731=$A77)*(Source_Evolution!$M$3:$M$731&gt;0))</f>
        <v/>
      </c>
      <c r="AD77" s="18">
        <f>SUMPRODUCT((Source_Evolution!$A$3:$A$731=$A77)*(Source_Evolution!$N$3:$N$731&gt;0))</f>
        <v/>
      </c>
      <c r="AE77" s="18">
        <f>SUMPRODUCT((Source_Evolution!$A$3:$A$731=$A77)*(Source_Evolution!$O$3:$O$731&gt;0))</f>
        <v/>
      </c>
      <c r="AF77" s="18">
        <f>SUMPRODUCT((Source_Evolution!$A$3:$A$731=$A77)*(Source_Evolution!$P$3:$P$731&gt;0))</f>
        <v/>
      </c>
      <c r="AG77" s="18">
        <f>SUMPRODUCT((Source_Evolution!$A$3:$A$731=$A77)*(Source_Evolution!$Q$3:$Q$731&gt;0))</f>
        <v/>
      </c>
    </row>
    <row r="78">
      <c r="A78" t="inlineStr">
        <is>
          <t>Company 167</t>
        </is>
      </c>
      <c r="B78" t="inlineStr">
        <is>
          <t>Software</t>
        </is>
      </c>
      <c r="C78" t="inlineStr">
        <is>
          <t>Switzerland</t>
        </is>
      </c>
      <c r="D78" t="n">
        <v>2025</v>
      </c>
      <c r="E78" s="17">
        <f>SUMIFS(Source_Evolution!$E$3:$E$731,Source_Evolution!$A$3:$A$731,$A78)</f>
        <v/>
      </c>
      <c r="F78" s="17">
        <f>SUMIFS(Source_Evolution!$F$3:$F$731,Source_Evolution!$A$3:$A$731,$A78)</f>
        <v/>
      </c>
      <c r="G78" s="17">
        <f>SUMIFS(Source_Evolution!$G$3:$G$731,Source_Evolution!$A$3:$A$731,$A78)</f>
        <v/>
      </c>
      <c r="H78" s="17">
        <f>SUMIFS(Source_Evolution!$H$3:$H$731,Source_Evolution!$A$3:$A$731,$A78)</f>
        <v/>
      </c>
      <c r="I78" s="17">
        <f>SUMIFS(Source_Evolution!$I$3:$I$731,Source_Evolution!$A$3:$A$731,$A78)</f>
        <v/>
      </c>
      <c r="J78" s="17">
        <f>SUMIFS(Source_Evolution!$J$3:$J$731,Source_Evolution!$A$3:$A$731,$A78)</f>
        <v/>
      </c>
      <c r="K78" s="17">
        <f>SUMIFS(Source_Evolution!$K$3:$K$731,Source_Evolution!$A$3:$A$731,$A78)</f>
        <v/>
      </c>
      <c r="L78" s="17">
        <f>SUMIFS(Source_Evolution!$L$3:$L$731,Source_Evolution!$A$3:$A$731,$A78)</f>
        <v/>
      </c>
      <c r="M78" s="17">
        <f>SUMIFS(Source_Evolution!$M$3:$M$731,Source_Evolution!$A$3:$A$731,$A78)</f>
        <v/>
      </c>
      <c r="N78" s="17">
        <f>SUMIFS(Source_Evolution!$N$3:$N$731,Source_Evolution!$A$3:$A$731,$A78)</f>
        <v/>
      </c>
      <c r="O78" s="17">
        <f>SUMIFS(Source_Evolution!$O$3:$O$731,Source_Evolution!$A$3:$A$731,$A78)</f>
        <v/>
      </c>
      <c r="P78" s="17">
        <f>SUMIFS(Source_Evolution!$P$3:$P$731,Source_Evolution!$A$3:$A$731,$A78)</f>
        <v/>
      </c>
      <c r="Q78" s="17">
        <f>SUMIFS(Source_Evolution!$Q$3:$Q$731,Source_Evolution!$A$3:$A$731,$A78)</f>
        <v/>
      </c>
      <c r="R78" s="17">
        <f>SUM(E78:Q78)</f>
        <v/>
      </c>
      <c r="S78" s="17">
        <f>Q78</f>
        <v/>
      </c>
      <c r="T78">
        <f>IF(B78="Software",1,0)</f>
        <v/>
      </c>
      <c r="U78" s="18">
        <f>SUMPRODUCT((Source_Evolution!$A$3:$A$731=$A78)*(Source_Evolution!$E$3:$E$731&gt;0))</f>
        <v/>
      </c>
      <c r="V78" s="18">
        <f>SUMPRODUCT((Source_Evolution!$A$3:$A$731=$A78)*(Source_Evolution!$F$3:$F$731&gt;0))</f>
        <v/>
      </c>
      <c r="W78" s="18">
        <f>SUMPRODUCT((Source_Evolution!$A$3:$A$731=$A78)*(Source_Evolution!$G$3:$G$731&gt;0))</f>
        <v/>
      </c>
      <c r="X78" s="18">
        <f>SUMPRODUCT((Source_Evolution!$A$3:$A$731=$A78)*(Source_Evolution!$H$3:$H$731&gt;0))</f>
        <v/>
      </c>
      <c r="Y78" s="18">
        <f>SUMPRODUCT((Source_Evolution!$A$3:$A$731=$A78)*(Source_Evolution!$I$3:$I$731&gt;0))</f>
        <v/>
      </c>
      <c r="Z78" s="18">
        <f>SUMPRODUCT((Source_Evolution!$A$3:$A$731=$A78)*(Source_Evolution!$J$3:$J$731&gt;0))</f>
        <v/>
      </c>
      <c r="AA78" s="18">
        <f>SUMPRODUCT((Source_Evolution!$A$3:$A$731=$A78)*(Source_Evolution!$K$3:$K$731&gt;0))</f>
        <v/>
      </c>
      <c r="AB78" s="18">
        <f>SUMPRODUCT((Source_Evolution!$A$3:$A$731=$A78)*(Source_Evolution!$L$3:$L$731&gt;0))</f>
        <v/>
      </c>
      <c r="AC78" s="18">
        <f>SUMPRODUCT((Source_Evolution!$A$3:$A$731=$A78)*(Source_Evolution!$M$3:$M$731&gt;0))</f>
        <v/>
      </c>
      <c r="AD78" s="18">
        <f>SUMPRODUCT((Source_Evolution!$A$3:$A$731=$A78)*(Source_Evolution!$N$3:$N$731&gt;0))</f>
        <v/>
      </c>
      <c r="AE78" s="18">
        <f>SUMPRODUCT((Source_Evolution!$A$3:$A$731=$A78)*(Source_Evolution!$O$3:$O$731&gt;0))</f>
        <v/>
      </c>
      <c r="AF78" s="18">
        <f>SUMPRODUCT((Source_Evolution!$A$3:$A$731=$A78)*(Source_Evolution!$P$3:$P$731&gt;0))</f>
        <v/>
      </c>
      <c r="AG78" s="18">
        <f>SUMPRODUCT((Source_Evolution!$A$3:$A$731=$A78)*(Source_Evolution!$Q$3:$Q$731&gt;0))</f>
        <v/>
      </c>
    </row>
    <row r="79">
      <c r="A79" t="inlineStr">
        <is>
          <t>Company 168</t>
        </is>
      </c>
      <c r="B79" t="inlineStr">
        <is>
          <t>Operations</t>
        </is>
      </c>
      <c r="C79" t="inlineStr">
        <is>
          <t>Norway</t>
        </is>
      </c>
      <c r="D79" t="n">
        <v>2025</v>
      </c>
      <c r="E79" s="17">
        <f>SUMIFS(Source_Evolution!$E$3:$E$731,Source_Evolution!$A$3:$A$731,$A79)</f>
        <v/>
      </c>
      <c r="F79" s="17">
        <f>SUMIFS(Source_Evolution!$F$3:$F$731,Source_Evolution!$A$3:$A$731,$A79)</f>
        <v/>
      </c>
      <c r="G79" s="17">
        <f>SUMIFS(Source_Evolution!$G$3:$G$731,Source_Evolution!$A$3:$A$731,$A79)</f>
        <v/>
      </c>
      <c r="H79" s="17">
        <f>SUMIFS(Source_Evolution!$H$3:$H$731,Source_Evolution!$A$3:$A$731,$A79)</f>
        <v/>
      </c>
      <c r="I79" s="17">
        <f>SUMIFS(Source_Evolution!$I$3:$I$731,Source_Evolution!$A$3:$A$731,$A79)</f>
        <v/>
      </c>
      <c r="J79" s="17">
        <f>SUMIFS(Source_Evolution!$J$3:$J$731,Source_Evolution!$A$3:$A$731,$A79)</f>
        <v/>
      </c>
      <c r="K79" s="17">
        <f>SUMIFS(Source_Evolution!$K$3:$K$731,Source_Evolution!$A$3:$A$731,$A79)</f>
        <v/>
      </c>
      <c r="L79" s="17">
        <f>SUMIFS(Source_Evolution!$L$3:$L$731,Source_Evolution!$A$3:$A$731,$A79)</f>
        <v/>
      </c>
      <c r="M79" s="17">
        <f>SUMIFS(Source_Evolution!$M$3:$M$731,Source_Evolution!$A$3:$A$731,$A79)</f>
        <v/>
      </c>
      <c r="N79" s="17">
        <f>SUMIFS(Source_Evolution!$N$3:$N$731,Source_Evolution!$A$3:$A$731,$A79)</f>
        <v/>
      </c>
      <c r="O79" s="17">
        <f>SUMIFS(Source_Evolution!$O$3:$O$731,Source_Evolution!$A$3:$A$731,$A79)</f>
        <v/>
      </c>
      <c r="P79" s="17">
        <f>SUMIFS(Source_Evolution!$P$3:$P$731,Source_Evolution!$A$3:$A$731,$A79)</f>
        <v/>
      </c>
      <c r="Q79" s="17">
        <f>SUMIFS(Source_Evolution!$Q$3:$Q$731,Source_Evolution!$A$3:$A$731,$A79)</f>
        <v/>
      </c>
      <c r="R79" s="17">
        <f>SUM(E79:Q79)</f>
        <v/>
      </c>
      <c r="S79" s="17">
        <f>Q79</f>
        <v/>
      </c>
      <c r="T79">
        <f>IF(B79="Software",1,0)</f>
        <v/>
      </c>
      <c r="U79" s="18">
        <f>SUMPRODUCT((Source_Evolution!$A$3:$A$731=$A79)*(Source_Evolution!$E$3:$E$731&gt;0))</f>
        <v/>
      </c>
      <c r="V79" s="18">
        <f>SUMPRODUCT((Source_Evolution!$A$3:$A$731=$A79)*(Source_Evolution!$F$3:$F$731&gt;0))</f>
        <v/>
      </c>
      <c r="W79" s="18">
        <f>SUMPRODUCT((Source_Evolution!$A$3:$A$731=$A79)*(Source_Evolution!$G$3:$G$731&gt;0))</f>
        <v/>
      </c>
      <c r="X79" s="18">
        <f>SUMPRODUCT((Source_Evolution!$A$3:$A$731=$A79)*(Source_Evolution!$H$3:$H$731&gt;0))</f>
        <v/>
      </c>
      <c r="Y79" s="18">
        <f>SUMPRODUCT((Source_Evolution!$A$3:$A$731=$A79)*(Source_Evolution!$I$3:$I$731&gt;0))</f>
        <v/>
      </c>
      <c r="Z79" s="18">
        <f>SUMPRODUCT((Source_Evolution!$A$3:$A$731=$A79)*(Source_Evolution!$J$3:$J$731&gt;0))</f>
        <v/>
      </c>
      <c r="AA79" s="18">
        <f>SUMPRODUCT((Source_Evolution!$A$3:$A$731=$A79)*(Source_Evolution!$K$3:$K$731&gt;0))</f>
        <v/>
      </c>
      <c r="AB79" s="18">
        <f>SUMPRODUCT((Source_Evolution!$A$3:$A$731=$A79)*(Source_Evolution!$L$3:$L$731&gt;0))</f>
        <v/>
      </c>
      <c r="AC79" s="18">
        <f>SUMPRODUCT((Source_Evolution!$A$3:$A$731=$A79)*(Source_Evolution!$M$3:$M$731&gt;0))</f>
        <v/>
      </c>
      <c r="AD79" s="18">
        <f>SUMPRODUCT((Source_Evolution!$A$3:$A$731=$A79)*(Source_Evolution!$N$3:$N$731&gt;0))</f>
        <v/>
      </c>
      <c r="AE79" s="18">
        <f>SUMPRODUCT((Source_Evolution!$A$3:$A$731=$A79)*(Source_Evolution!$O$3:$O$731&gt;0))</f>
        <v/>
      </c>
      <c r="AF79" s="18">
        <f>SUMPRODUCT((Source_Evolution!$A$3:$A$731=$A79)*(Source_Evolution!$P$3:$P$731&gt;0))</f>
        <v/>
      </c>
      <c r="AG79" s="18">
        <f>SUMPRODUCT((Source_Evolution!$A$3:$A$731=$A79)*(Source_Evolution!$Q$3:$Q$731&gt;0))</f>
        <v/>
      </c>
    </row>
    <row r="80">
      <c r="A80" t="inlineStr">
        <is>
          <t>Company 169</t>
        </is>
      </c>
      <c r="B80" t="inlineStr">
        <is>
          <t>Power</t>
        </is>
      </c>
      <c r="C80" t="inlineStr">
        <is>
          <t>UK</t>
        </is>
      </c>
      <c r="D80" t="n">
        <v>2026</v>
      </c>
      <c r="E80" s="17">
        <f>SUMIFS(Source_Evolution!$E$3:$E$731,Source_Evolution!$A$3:$A$731,$A80)</f>
        <v/>
      </c>
      <c r="F80" s="17">
        <f>SUMIFS(Source_Evolution!$F$3:$F$731,Source_Evolution!$A$3:$A$731,$A80)</f>
        <v/>
      </c>
      <c r="G80" s="17">
        <f>SUMIFS(Source_Evolution!$G$3:$G$731,Source_Evolution!$A$3:$A$731,$A80)</f>
        <v/>
      </c>
      <c r="H80" s="17">
        <f>SUMIFS(Source_Evolution!$H$3:$H$731,Source_Evolution!$A$3:$A$731,$A80)</f>
        <v/>
      </c>
      <c r="I80" s="17">
        <f>SUMIFS(Source_Evolution!$I$3:$I$731,Source_Evolution!$A$3:$A$731,$A80)</f>
        <v/>
      </c>
      <c r="J80" s="17">
        <f>SUMIFS(Source_Evolution!$J$3:$J$731,Source_Evolution!$A$3:$A$731,$A80)</f>
        <v/>
      </c>
      <c r="K80" s="17">
        <f>SUMIFS(Source_Evolution!$K$3:$K$731,Source_Evolution!$A$3:$A$731,$A80)</f>
        <v/>
      </c>
      <c r="L80" s="17">
        <f>SUMIFS(Source_Evolution!$L$3:$L$731,Source_Evolution!$A$3:$A$731,$A80)</f>
        <v/>
      </c>
      <c r="M80" s="17">
        <f>SUMIFS(Source_Evolution!$M$3:$M$731,Source_Evolution!$A$3:$A$731,$A80)</f>
        <v/>
      </c>
      <c r="N80" s="17">
        <f>SUMIFS(Source_Evolution!$N$3:$N$731,Source_Evolution!$A$3:$A$731,$A80)</f>
        <v/>
      </c>
      <c r="O80" s="17">
        <f>SUMIFS(Source_Evolution!$O$3:$O$731,Source_Evolution!$A$3:$A$731,$A80)</f>
        <v/>
      </c>
      <c r="P80" s="17">
        <f>SUMIFS(Source_Evolution!$P$3:$P$731,Source_Evolution!$A$3:$A$731,$A80)</f>
        <v/>
      </c>
      <c r="Q80" s="17">
        <f>SUMIFS(Source_Evolution!$Q$3:$Q$731,Source_Evolution!$A$3:$A$731,$A80)</f>
        <v/>
      </c>
      <c r="R80" s="17">
        <f>SUM(E80:Q80)</f>
        <v/>
      </c>
      <c r="S80" s="17">
        <f>Q80</f>
        <v/>
      </c>
      <c r="T80">
        <f>IF(B80="Software",1,0)</f>
        <v/>
      </c>
      <c r="U80" s="18">
        <f>SUMPRODUCT((Source_Evolution!$A$3:$A$731=$A80)*(Source_Evolution!$E$3:$E$731&gt;0))</f>
        <v/>
      </c>
      <c r="V80" s="18">
        <f>SUMPRODUCT((Source_Evolution!$A$3:$A$731=$A80)*(Source_Evolution!$F$3:$F$731&gt;0))</f>
        <v/>
      </c>
      <c r="W80" s="18">
        <f>SUMPRODUCT((Source_Evolution!$A$3:$A$731=$A80)*(Source_Evolution!$G$3:$G$731&gt;0))</f>
        <v/>
      </c>
      <c r="X80" s="18">
        <f>SUMPRODUCT((Source_Evolution!$A$3:$A$731=$A80)*(Source_Evolution!$H$3:$H$731&gt;0))</f>
        <v/>
      </c>
      <c r="Y80" s="18">
        <f>SUMPRODUCT((Source_Evolution!$A$3:$A$731=$A80)*(Source_Evolution!$I$3:$I$731&gt;0))</f>
        <v/>
      </c>
      <c r="Z80" s="18">
        <f>SUMPRODUCT((Source_Evolution!$A$3:$A$731=$A80)*(Source_Evolution!$J$3:$J$731&gt;0))</f>
        <v/>
      </c>
      <c r="AA80" s="18">
        <f>SUMPRODUCT((Source_Evolution!$A$3:$A$731=$A80)*(Source_Evolution!$K$3:$K$731&gt;0))</f>
        <v/>
      </c>
      <c r="AB80" s="18">
        <f>SUMPRODUCT((Source_Evolution!$A$3:$A$731=$A80)*(Source_Evolution!$L$3:$L$731&gt;0))</f>
        <v/>
      </c>
      <c r="AC80" s="18">
        <f>SUMPRODUCT((Source_Evolution!$A$3:$A$731=$A80)*(Source_Evolution!$M$3:$M$731&gt;0))</f>
        <v/>
      </c>
      <c r="AD80" s="18">
        <f>SUMPRODUCT((Source_Evolution!$A$3:$A$731=$A80)*(Source_Evolution!$N$3:$N$731&gt;0))</f>
        <v/>
      </c>
      <c r="AE80" s="18">
        <f>SUMPRODUCT((Source_Evolution!$A$3:$A$731=$A80)*(Source_Evolution!$O$3:$O$731&gt;0))</f>
        <v/>
      </c>
      <c r="AF80" s="18">
        <f>SUMPRODUCT((Source_Evolution!$A$3:$A$731=$A80)*(Source_Evolution!$P$3:$P$731&gt;0))</f>
        <v/>
      </c>
      <c r="AG80" s="18">
        <f>SUMPRODUCT((Source_Evolution!$A$3:$A$731=$A80)*(Source_Evolution!$Q$3:$Q$731&gt;0))</f>
        <v/>
      </c>
    </row>
    <row r="81">
      <c r="A81" t="inlineStr">
        <is>
          <t>Company 17</t>
        </is>
      </c>
      <c r="B81" t="inlineStr">
        <is>
          <t>Software</t>
        </is>
      </c>
      <c r="C81" t="inlineStr">
        <is>
          <t>Denmark</t>
        </is>
      </c>
      <c r="D81" t="n">
        <v>2019</v>
      </c>
      <c r="E81" s="17">
        <f>SUMIFS(Source_Evolution!$E$3:$E$731,Source_Evolution!$A$3:$A$731,$A81)</f>
        <v/>
      </c>
      <c r="F81" s="17">
        <f>SUMIFS(Source_Evolution!$F$3:$F$731,Source_Evolution!$A$3:$A$731,$A81)</f>
        <v/>
      </c>
      <c r="G81" s="17">
        <f>SUMIFS(Source_Evolution!$G$3:$G$731,Source_Evolution!$A$3:$A$731,$A81)</f>
        <v/>
      </c>
      <c r="H81" s="17">
        <f>SUMIFS(Source_Evolution!$H$3:$H$731,Source_Evolution!$A$3:$A$731,$A81)</f>
        <v/>
      </c>
      <c r="I81" s="17">
        <f>SUMIFS(Source_Evolution!$I$3:$I$731,Source_Evolution!$A$3:$A$731,$A81)</f>
        <v/>
      </c>
      <c r="J81" s="17">
        <f>SUMIFS(Source_Evolution!$J$3:$J$731,Source_Evolution!$A$3:$A$731,$A81)</f>
        <v/>
      </c>
      <c r="K81" s="17">
        <f>SUMIFS(Source_Evolution!$K$3:$K$731,Source_Evolution!$A$3:$A$731,$A81)</f>
        <v/>
      </c>
      <c r="L81" s="17">
        <f>SUMIFS(Source_Evolution!$L$3:$L$731,Source_Evolution!$A$3:$A$731,$A81)</f>
        <v/>
      </c>
      <c r="M81" s="17">
        <f>SUMIFS(Source_Evolution!$M$3:$M$731,Source_Evolution!$A$3:$A$731,$A81)</f>
        <v/>
      </c>
      <c r="N81" s="17">
        <f>SUMIFS(Source_Evolution!$N$3:$N$731,Source_Evolution!$A$3:$A$731,$A81)</f>
        <v/>
      </c>
      <c r="O81" s="17">
        <f>SUMIFS(Source_Evolution!$O$3:$O$731,Source_Evolution!$A$3:$A$731,$A81)</f>
        <v/>
      </c>
      <c r="P81" s="17">
        <f>SUMIFS(Source_Evolution!$P$3:$P$731,Source_Evolution!$A$3:$A$731,$A81)</f>
        <v/>
      </c>
      <c r="Q81" s="17">
        <f>SUMIFS(Source_Evolution!$Q$3:$Q$731,Source_Evolution!$A$3:$A$731,$A81)</f>
        <v/>
      </c>
      <c r="R81" s="17">
        <f>SUM(E81:Q81)</f>
        <v/>
      </c>
      <c r="S81" s="17">
        <f>Q81</f>
        <v/>
      </c>
      <c r="T81">
        <f>IF(B81="Software",1,0)</f>
        <v/>
      </c>
      <c r="U81" s="18">
        <f>SUMPRODUCT((Source_Evolution!$A$3:$A$731=$A81)*(Source_Evolution!$E$3:$E$731&gt;0))</f>
        <v/>
      </c>
      <c r="V81" s="18">
        <f>SUMPRODUCT((Source_Evolution!$A$3:$A$731=$A81)*(Source_Evolution!$F$3:$F$731&gt;0))</f>
        <v/>
      </c>
      <c r="W81" s="18">
        <f>SUMPRODUCT((Source_Evolution!$A$3:$A$731=$A81)*(Source_Evolution!$G$3:$G$731&gt;0))</f>
        <v/>
      </c>
      <c r="X81" s="18">
        <f>SUMPRODUCT((Source_Evolution!$A$3:$A$731=$A81)*(Source_Evolution!$H$3:$H$731&gt;0))</f>
        <v/>
      </c>
      <c r="Y81" s="18">
        <f>SUMPRODUCT((Source_Evolution!$A$3:$A$731=$A81)*(Source_Evolution!$I$3:$I$731&gt;0))</f>
        <v/>
      </c>
      <c r="Z81" s="18">
        <f>SUMPRODUCT((Source_Evolution!$A$3:$A$731=$A81)*(Source_Evolution!$J$3:$J$731&gt;0))</f>
        <v/>
      </c>
      <c r="AA81" s="18">
        <f>SUMPRODUCT((Source_Evolution!$A$3:$A$731=$A81)*(Source_Evolution!$K$3:$K$731&gt;0))</f>
        <v/>
      </c>
      <c r="AB81" s="18">
        <f>SUMPRODUCT((Source_Evolution!$A$3:$A$731=$A81)*(Source_Evolution!$L$3:$L$731&gt;0))</f>
        <v/>
      </c>
      <c r="AC81" s="18">
        <f>SUMPRODUCT((Source_Evolution!$A$3:$A$731=$A81)*(Source_Evolution!$M$3:$M$731&gt;0))</f>
        <v/>
      </c>
      <c r="AD81" s="18">
        <f>SUMPRODUCT((Source_Evolution!$A$3:$A$731=$A81)*(Source_Evolution!$N$3:$N$731&gt;0))</f>
        <v/>
      </c>
      <c r="AE81" s="18">
        <f>SUMPRODUCT((Source_Evolution!$A$3:$A$731=$A81)*(Source_Evolution!$O$3:$O$731&gt;0))</f>
        <v/>
      </c>
      <c r="AF81" s="18">
        <f>SUMPRODUCT((Source_Evolution!$A$3:$A$731=$A81)*(Source_Evolution!$P$3:$P$731&gt;0))</f>
        <v/>
      </c>
      <c r="AG81" s="18">
        <f>SUMPRODUCT((Source_Evolution!$A$3:$A$731=$A81)*(Source_Evolution!$Q$3:$Q$731&gt;0))</f>
        <v/>
      </c>
    </row>
    <row r="82">
      <c r="A82" t="inlineStr">
        <is>
          <t>Company 170</t>
        </is>
      </c>
      <c r="B82" t="inlineStr">
        <is>
          <t>Software</t>
        </is>
      </c>
      <c r="C82" t="inlineStr">
        <is>
          <t>Austria</t>
        </is>
      </c>
      <c r="D82" t="n">
        <v>2014</v>
      </c>
      <c r="E82" s="17">
        <f>SUMIFS(Source_Evolution!$E$3:$E$731,Source_Evolution!$A$3:$A$731,$A82)</f>
        <v/>
      </c>
      <c r="F82" s="17">
        <f>SUMIFS(Source_Evolution!$F$3:$F$731,Source_Evolution!$A$3:$A$731,$A82)</f>
        <v/>
      </c>
      <c r="G82" s="17">
        <f>SUMIFS(Source_Evolution!$G$3:$G$731,Source_Evolution!$A$3:$A$731,$A82)</f>
        <v/>
      </c>
      <c r="H82" s="17">
        <f>SUMIFS(Source_Evolution!$H$3:$H$731,Source_Evolution!$A$3:$A$731,$A82)</f>
        <v/>
      </c>
      <c r="I82" s="17">
        <f>SUMIFS(Source_Evolution!$I$3:$I$731,Source_Evolution!$A$3:$A$731,$A82)</f>
        <v/>
      </c>
      <c r="J82" s="17">
        <f>SUMIFS(Source_Evolution!$J$3:$J$731,Source_Evolution!$A$3:$A$731,$A82)</f>
        <v/>
      </c>
      <c r="K82" s="17">
        <f>SUMIFS(Source_Evolution!$K$3:$K$731,Source_Evolution!$A$3:$A$731,$A82)</f>
        <v/>
      </c>
      <c r="L82" s="17">
        <f>SUMIFS(Source_Evolution!$L$3:$L$731,Source_Evolution!$A$3:$A$731,$A82)</f>
        <v/>
      </c>
      <c r="M82" s="17">
        <f>SUMIFS(Source_Evolution!$M$3:$M$731,Source_Evolution!$A$3:$A$731,$A82)</f>
        <v/>
      </c>
      <c r="N82" s="17">
        <f>SUMIFS(Source_Evolution!$N$3:$N$731,Source_Evolution!$A$3:$A$731,$A82)</f>
        <v/>
      </c>
      <c r="O82" s="17">
        <f>SUMIFS(Source_Evolution!$O$3:$O$731,Source_Evolution!$A$3:$A$731,$A82)</f>
        <v/>
      </c>
      <c r="P82" s="17">
        <f>SUMIFS(Source_Evolution!$P$3:$P$731,Source_Evolution!$A$3:$A$731,$A82)</f>
        <v/>
      </c>
      <c r="Q82" s="17">
        <f>SUMIFS(Source_Evolution!$Q$3:$Q$731,Source_Evolution!$A$3:$A$731,$A82)</f>
        <v/>
      </c>
      <c r="R82" s="17">
        <f>SUM(E82:Q82)</f>
        <v/>
      </c>
      <c r="S82" s="17">
        <f>Q82</f>
        <v/>
      </c>
      <c r="T82">
        <f>IF(B82="Software",1,0)</f>
        <v/>
      </c>
      <c r="U82" s="18">
        <f>SUMPRODUCT((Source_Evolution!$A$3:$A$731=$A82)*(Source_Evolution!$E$3:$E$731&gt;0))</f>
        <v/>
      </c>
      <c r="V82" s="18">
        <f>SUMPRODUCT((Source_Evolution!$A$3:$A$731=$A82)*(Source_Evolution!$F$3:$F$731&gt;0))</f>
        <v/>
      </c>
      <c r="W82" s="18">
        <f>SUMPRODUCT((Source_Evolution!$A$3:$A$731=$A82)*(Source_Evolution!$G$3:$G$731&gt;0))</f>
        <v/>
      </c>
      <c r="X82" s="18">
        <f>SUMPRODUCT((Source_Evolution!$A$3:$A$731=$A82)*(Source_Evolution!$H$3:$H$731&gt;0))</f>
        <v/>
      </c>
      <c r="Y82" s="18">
        <f>SUMPRODUCT((Source_Evolution!$A$3:$A$731=$A82)*(Source_Evolution!$I$3:$I$731&gt;0))</f>
        <v/>
      </c>
      <c r="Z82" s="18">
        <f>SUMPRODUCT((Source_Evolution!$A$3:$A$731=$A82)*(Source_Evolution!$J$3:$J$731&gt;0))</f>
        <v/>
      </c>
      <c r="AA82" s="18">
        <f>SUMPRODUCT((Source_Evolution!$A$3:$A$731=$A82)*(Source_Evolution!$K$3:$K$731&gt;0))</f>
        <v/>
      </c>
      <c r="AB82" s="18">
        <f>SUMPRODUCT((Source_Evolution!$A$3:$A$731=$A82)*(Source_Evolution!$L$3:$L$731&gt;0))</f>
        <v/>
      </c>
      <c r="AC82" s="18">
        <f>SUMPRODUCT((Source_Evolution!$A$3:$A$731=$A82)*(Source_Evolution!$M$3:$M$731&gt;0))</f>
        <v/>
      </c>
      <c r="AD82" s="18">
        <f>SUMPRODUCT((Source_Evolution!$A$3:$A$731=$A82)*(Source_Evolution!$N$3:$N$731&gt;0))</f>
        <v/>
      </c>
      <c r="AE82" s="18">
        <f>SUMPRODUCT((Source_Evolution!$A$3:$A$731=$A82)*(Source_Evolution!$O$3:$O$731&gt;0))</f>
        <v/>
      </c>
      <c r="AF82" s="18">
        <f>SUMPRODUCT((Source_Evolution!$A$3:$A$731=$A82)*(Source_Evolution!$P$3:$P$731&gt;0))</f>
        <v/>
      </c>
      <c r="AG82" s="18">
        <f>SUMPRODUCT((Source_Evolution!$A$3:$A$731=$A82)*(Source_Evolution!$Q$3:$Q$731&gt;0))</f>
        <v/>
      </c>
    </row>
    <row r="83">
      <c r="A83" t="inlineStr">
        <is>
          <t>Company 171</t>
        </is>
      </c>
      <c r="B83" t="inlineStr">
        <is>
          <t>Software</t>
        </is>
      </c>
      <c r="C83" t="inlineStr">
        <is>
          <t>UK</t>
        </is>
      </c>
      <c r="D83" t="n">
        <v>2014</v>
      </c>
      <c r="E83" s="17">
        <f>SUMIFS(Source_Evolution!$E$3:$E$731,Source_Evolution!$A$3:$A$731,$A83)</f>
        <v/>
      </c>
      <c r="F83" s="17">
        <f>SUMIFS(Source_Evolution!$F$3:$F$731,Source_Evolution!$A$3:$A$731,$A83)</f>
        <v/>
      </c>
      <c r="G83" s="17">
        <f>SUMIFS(Source_Evolution!$G$3:$G$731,Source_Evolution!$A$3:$A$731,$A83)</f>
        <v/>
      </c>
      <c r="H83" s="17">
        <f>SUMIFS(Source_Evolution!$H$3:$H$731,Source_Evolution!$A$3:$A$731,$A83)</f>
        <v/>
      </c>
      <c r="I83" s="17">
        <f>SUMIFS(Source_Evolution!$I$3:$I$731,Source_Evolution!$A$3:$A$731,$A83)</f>
        <v/>
      </c>
      <c r="J83" s="17">
        <f>SUMIFS(Source_Evolution!$J$3:$J$731,Source_Evolution!$A$3:$A$731,$A83)</f>
        <v/>
      </c>
      <c r="K83" s="17">
        <f>SUMIFS(Source_Evolution!$K$3:$K$731,Source_Evolution!$A$3:$A$731,$A83)</f>
        <v/>
      </c>
      <c r="L83" s="17">
        <f>SUMIFS(Source_Evolution!$L$3:$L$731,Source_Evolution!$A$3:$A$731,$A83)</f>
        <v/>
      </c>
      <c r="M83" s="17">
        <f>SUMIFS(Source_Evolution!$M$3:$M$731,Source_Evolution!$A$3:$A$731,$A83)</f>
        <v/>
      </c>
      <c r="N83" s="17">
        <f>SUMIFS(Source_Evolution!$N$3:$N$731,Source_Evolution!$A$3:$A$731,$A83)</f>
        <v/>
      </c>
      <c r="O83" s="17">
        <f>SUMIFS(Source_Evolution!$O$3:$O$731,Source_Evolution!$A$3:$A$731,$A83)</f>
        <v/>
      </c>
      <c r="P83" s="17">
        <f>SUMIFS(Source_Evolution!$P$3:$P$731,Source_Evolution!$A$3:$A$731,$A83)</f>
        <v/>
      </c>
      <c r="Q83" s="17">
        <f>SUMIFS(Source_Evolution!$Q$3:$Q$731,Source_Evolution!$A$3:$A$731,$A83)</f>
        <v/>
      </c>
      <c r="R83" s="17">
        <f>SUM(E83:Q83)</f>
        <v/>
      </c>
      <c r="S83" s="17">
        <f>Q83</f>
        <v/>
      </c>
      <c r="T83">
        <f>IF(B83="Software",1,0)</f>
        <v/>
      </c>
      <c r="U83" s="18">
        <f>SUMPRODUCT((Source_Evolution!$A$3:$A$731=$A83)*(Source_Evolution!$E$3:$E$731&gt;0))</f>
        <v/>
      </c>
      <c r="V83" s="18">
        <f>SUMPRODUCT((Source_Evolution!$A$3:$A$731=$A83)*(Source_Evolution!$F$3:$F$731&gt;0))</f>
        <v/>
      </c>
      <c r="W83" s="18">
        <f>SUMPRODUCT((Source_Evolution!$A$3:$A$731=$A83)*(Source_Evolution!$G$3:$G$731&gt;0))</f>
        <v/>
      </c>
      <c r="X83" s="18">
        <f>SUMPRODUCT((Source_Evolution!$A$3:$A$731=$A83)*(Source_Evolution!$H$3:$H$731&gt;0))</f>
        <v/>
      </c>
      <c r="Y83" s="18">
        <f>SUMPRODUCT((Source_Evolution!$A$3:$A$731=$A83)*(Source_Evolution!$I$3:$I$731&gt;0))</f>
        <v/>
      </c>
      <c r="Z83" s="18">
        <f>SUMPRODUCT((Source_Evolution!$A$3:$A$731=$A83)*(Source_Evolution!$J$3:$J$731&gt;0))</f>
        <v/>
      </c>
      <c r="AA83" s="18">
        <f>SUMPRODUCT((Source_Evolution!$A$3:$A$731=$A83)*(Source_Evolution!$K$3:$K$731&gt;0))</f>
        <v/>
      </c>
      <c r="AB83" s="18">
        <f>SUMPRODUCT((Source_Evolution!$A$3:$A$731=$A83)*(Source_Evolution!$L$3:$L$731&gt;0))</f>
        <v/>
      </c>
      <c r="AC83" s="18">
        <f>SUMPRODUCT((Source_Evolution!$A$3:$A$731=$A83)*(Source_Evolution!$M$3:$M$731&gt;0))</f>
        <v/>
      </c>
      <c r="AD83" s="18">
        <f>SUMPRODUCT((Source_Evolution!$A$3:$A$731=$A83)*(Source_Evolution!$N$3:$N$731&gt;0))</f>
        <v/>
      </c>
      <c r="AE83" s="18">
        <f>SUMPRODUCT((Source_Evolution!$A$3:$A$731=$A83)*(Source_Evolution!$O$3:$O$731&gt;0))</f>
        <v/>
      </c>
      <c r="AF83" s="18">
        <f>SUMPRODUCT((Source_Evolution!$A$3:$A$731=$A83)*(Source_Evolution!$P$3:$P$731&gt;0))</f>
        <v/>
      </c>
      <c r="AG83" s="18">
        <f>SUMPRODUCT((Source_Evolution!$A$3:$A$731=$A83)*(Source_Evolution!$Q$3:$Q$731&gt;0))</f>
        <v/>
      </c>
    </row>
    <row r="84">
      <c r="A84" t="inlineStr">
        <is>
          <t>Company 172</t>
        </is>
      </c>
      <c r="B84" t="inlineStr">
        <is>
          <t>Software</t>
        </is>
      </c>
      <c r="C84" t="inlineStr">
        <is>
          <t>Switzerland</t>
        </is>
      </c>
      <c r="D84" t="n">
        <v>2014</v>
      </c>
      <c r="E84" s="17">
        <f>SUMIFS(Source_Evolution!$E$3:$E$731,Source_Evolution!$A$3:$A$731,$A84)</f>
        <v/>
      </c>
      <c r="F84" s="17">
        <f>SUMIFS(Source_Evolution!$F$3:$F$731,Source_Evolution!$A$3:$A$731,$A84)</f>
        <v/>
      </c>
      <c r="G84" s="17">
        <f>SUMIFS(Source_Evolution!$G$3:$G$731,Source_Evolution!$A$3:$A$731,$A84)</f>
        <v/>
      </c>
      <c r="H84" s="17">
        <f>SUMIFS(Source_Evolution!$H$3:$H$731,Source_Evolution!$A$3:$A$731,$A84)</f>
        <v/>
      </c>
      <c r="I84" s="17">
        <f>SUMIFS(Source_Evolution!$I$3:$I$731,Source_Evolution!$A$3:$A$731,$A84)</f>
        <v/>
      </c>
      <c r="J84" s="17">
        <f>SUMIFS(Source_Evolution!$J$3:$J$731,Source_Evolution!$A$3:$A$731,$A84)</f>
        <v/>
      </c>
      <c r="K84" s="17">
        <f>SUMIFS(Source_Evolution!$K$3:$K$731,Source_Evolution!$A$3:$A$731,$A84)</f>
        <v/>
      </c>
      <c r="L84" s="17">
        <f>SUMIFS(Source_Evolution!$L$3:$L$731,Source_Evolution!$A$3:$A$731,$A84)</f>
        <v/>
      </c>
      <c r="M84" s="17">
        <f>SUMIFS(Source_Evolution!$M$3:$M$731,Source_Evolution!$A$3:$A$731,$A84)</f>
        <v/>
      </c>
      <c r="N84" s="17">
        <f>SUMIFS(Source_Evolution!$N$3:$N$731,Source_Evolution!$A$3:$A$731,$A84)</f>
        <v/>
      </c>
      <c r="O84" s="17">
        <f>SUMIFS(Source_Evolution!$O$3:$O$731,Source_Evolution!$A$3:$A$731,$A84)</f>
        <v/>
      </c>
      <c r="P84" s="17">
        <f>SUMIFS(Source_Evolution!$P$3:$P$731,Source_Evolution!$A$3:$A$731,$A84)</f>
        <v/>
      </c>
      <c r="Q84" s="17">
        <f>SUMIFS(Source_Evolution!$Q$3:$Q$731,Source_Evolution!$A$3:$A$731,$A84)</f>
        <v/>
      </c>
      <c r="R84" s="17">
        <f>SUM(E84:Q84)</f>
        <v/>
      </c>
      <c r="S84" s="17">
        <f>Q84</f>
        <v/>
      </c>
      <c r="T84">
        <f>IF(B84="Software",1,0)</f>
        <v/>
      </c>
      <c r="U84" s="18">
        <f>SUMPRODUCT((Source_Evolution!$A$3:$A$731=$A84)*(Source_Evolution!$E$3:$E$731&gt;0))</f>
        <v/>
      </c>
      <c r="V84" s="18">
        <f>SUMPRODUCT((Source_Evolution!$A$3:$A$731=$A84)*(Source_Evolution!$F$3:$F$731&gt;0))</f>
        <v/>
      </c>
      <c r="W84" s="18">
        <f>SUMPRODUCT((Source_Evolution!$A$3:$A$731=$A84)*(Source_Evolution!$G$3:$G$731&gt;0))</f>
        <v/>
      </c>
      <c r="X84" s="18">
        <f>SUMPRODUCT((Source_Evolution!$A$3:$A$731=$A84)*(Source_Evolution!$H$3:$H$731&gt;0))</f>
        <v/>
      </c>
      <c r="Y84" s="18">
        <f>SUMPRODUCT((Source_Evolution!$A$3:$A$731=$A84)*(Source_Evolution!$I$3:$I$731&gt;0))</f>
        <v/>
      </c>
      <c r="Z84" s="18">
        <f>SUMPRODUCT((Source_Evolution!$A$3:$A$731=$A84)*(Source_Evolution!$J$3:$J$731&gt;0))</f>
        <v/>
      </c>
      <c r="AA84" s="18">
        <f>SUMPRODUCT((Source_Evolution!$A$3:$A$731=$A84)*(Source_Evolution!$K$3:$K$731&gt;0))</f>
        <v/>
      </c>
      <c r="AB84" s="18">
        <f>SUMPRODUCT((Source_Evolution!$A$3:$A$731=$A84)*(Source_Evolution!$L$3:$L$731&gt;0))</f>
        <v/>
      </c>
      <c r="AC84" s="18">
        <f>SUMPRODUCT((Source_Evolution!$A$3:$A$731=$A84)*(Source_Evolution!$M$3:$M$731&gt;0))</f>
        <v/>
      </c>
      <c r="AD84" s="18">
        <f>SUMPRODUCT((Source_Evolution!$A$3:$A$731=$A84)*(Source_Evolution!$N$3:$N$731&gt;0))</f>
        <v/>
      </c>
      <c r="AE84" s="18">
        <f>SUMPRODUCT((Source_Evolution!$A$3:$A$731=$A84)*(Source_Evolution!$O$3:$O$731&gt;0))</f>
        <v/>
      </c>
      <c r="AF84" s="18">
        <f>SUMPRODUCT((Source_Evolution!$A$3:$A$731=$A84)*(Source_Evolution!$P$3:$P$731&gt;0))</f>
        <v/>
      </c>
      <c r="AG84" s="18">
        <f>SUMPRODUCT((Source_Evolution!$A$3:$A$731=$A84)*(Source_Evolution!$Q$3:$Q$731&gt;0))</f>
        <v/>
      </c>
    </row>
    <row r="85">
      <c r="A85" t="inlineStr">
        <is>
          <t>Company 173</t>
        </is>
      </c>
      <c r="B85" t="inlineStr">
        <is>
          <t>Software</t>
        </is>
      </c>
      <c r="C85" t="inlineStr">
        <is>
          <t>France</t>
        </is>
      </c>
      <c r="D85" t="n">
        <v>2014</v>
      </c>
      <c r="E85" s="17">
        <f>SUMIFS(Source_Evolution!$E$3:$E$731,Source_Evolution!$A$3:$A$731,$A85)</f>
        <v/>
      </c>
      <c r="F85" s="17">
        <f>SUMIFS(Source_Evolution!$F$3:$F$731,Source_Evolution!$A$3:$A$731,$A85)</f>
        <v/>
      </c>
      <c r="G85" s="17">
        <f>SUMIFS(Source_Evolution!$G$3:$G$731,Source_Evolution!$A$3:$A$731,$A85)</f>
        <v/>
      </c>
      <c r="H85" s="17">
        <f>SUMIFS(Source_Evolution!$H$3:$H$731,Source_Evolution!$A$3:$A$731,$A85)</f>
        <v/>
      </c>
      <c r="I85" s="17">
        <f>SUMIFS(Source_Evolution!$I$3:$I$731,Source_Evolution!$A$3:$A$731,$A85)</f>
        <v/>
      </c>
      <c r="J85" s="17">
        <f>SUMIFS(Source_Evolution!$J$3:$J$731,Source_Evolution!$A$3:$A$731,$A85)</f>
        <v/>
      </c>
      <c r="K85" s="17">
        <f>SUMIFS(Source_Evolution!$K$3:$K$731,Source_Evolution!$A$3:$A$731,$A85)</f>
        <v/>
      </c>
      <c r="L85" s="17">
        <f>SUMIFS(Source_Evolution!$L$3:$L$731,Source_Evolution!$A$3:$A$731,$A85)</f>
        <v/>
      </c>
      <c r="M85" s="17">
        <f>SUMIFS(Source_Evolution!$M$3:$M$731,Source_Evolution!$A$3:$A$731,$A85)</f>
        <v/>
      </c>
      <c r="N85" s="17">
        <f>SUMIFS(Source_Evolution!$N$3:$N$731,Source_Evolution!$A$3:$A$731,$A85)</f>
        <v/>
      </c>
      <c r="O85" s="17">
        <f>SUMIFS(Source_Evolution!$O$3:$O$731,Source_Evolution!$A$3:$A$731,$A85)</f>
        <v/>
      </c>
      <c r="P85" s="17">
        <f>SUMIFS(Source_Evolution!$P$3:$P$731,Source_Evolution!$A$3:$A$731,$A85)</f>
        <v/>
      </c>
      <c r="Q85" s="17">
        <f>SUMIFS(Source_Evolution!$Q$3:$Q$731,Source_Evolution!$A$3:$A$731,$A85)</f>
        <v/>
      </c>
      <c r="R85" s="17">
        <f>SUM(E85:Q85)</f>
        <v/>
      </c>
      <c r="S85" s="17">
        <f>Q85</f>
        <v/>
      </c>
      <c r="T85">
        <f>IF(B85="Software",1,0)</f>
        <v/>
      </c>
      <c r="U85" s="18">
        <f>SUMPRODUCT((Source_Evolution!$A$3:$A$731=$A85)*(Source_Evolution!$E$3:$E$731&gt;0))</f>
        <v/>
      </c>
      <c r="V85" s="18">
        <f>SUMPRODUCT((Source_Evolution!$A$3:$A$731=$A85)*(Source_Evolution!$F$3:$F$731&gt;0))</f>
        <v/>
      </c>
      <c r="W85" s="18">
        <f>SUMPRODUCT((Source_Evolution!$A$3:$A$731=$A85)*(Source_Evolution!$G$3:$G$731&gt;0))</f>
        <v/>
      </c>
      <c r="X85" s="18">
        <f>SUMPRODUCT((Source_Evolution!$A$3:$A$731=$A85)*(Source_Evolution!$H$3:$H$731&gt;0))</f>
        <v/>
      </c>
      <c r="Y85" s="18">
        <f>SUMPRODUCT((Source_Evolution!$A$3:$A$731=$A85)*(Source_Evolution!$I$3:$I$731&gt;0))</f>
        <v/>
      </c>
      <c r="Z85" s="18">
        <f>SUMPRODUCT((Source_Evolution!$A$3:$A$731=$A85)*(Source_Evolution!$J$3:$J$731&gt;0))</f>
        <v/>
      </c>
      <c r="AA85" s="18">
        <f>SUMPRODUCT((Source_Evolution!$A$3:$A$731=$A85)*(Source_Evolution!$K$3:$K$731&gt;0))</f>
        <v/>
      </c>
      <c r="AB85" s="18">
        <f>SUMPRODUCT((Source_Evolution!$A$3:$A$731=$A85)*(Source_Evolution!$L$3:$L$731&gt;0))</f>
        <v/>
      </c>
      <c r="AC85" s="18">
        <f>SUMPRODUCT((Source_Evolution!$A$3:$A$731=$A85)*(Source_Evolution!$M$3:$M$731&gt;0))</f>
        <v/>
      </c>
      <c r="AD85" s="18">
        <f>SUMPRODUCT((Source_Evolution!$A$3:$A$731=$A85)*(Source_Evolution!$N$3:$N$731&gt;0))</f>
        <v/>
      </c>
      <c r="AE85" s="18">
        <f>SUMPRODUCT((Source_Evolution!$A$3:$A$731=$A85)*(Source_Evolution!$O$3:$O$731&gt;0))</f>
        <v/>
      </c>
      <c r="AF85" s="18">
        <f>SUMPRODUCT((Source_Evolution!$A$3:$A$731=$A85)*(Source_Evolution!$P$3:$P$731&gt;0))</f>
        <v/>
      </c>
      <c r="AG85" s="18">
        <f>SUMPRODUCT((Source_Evolution!$A$3:$A$731=$A85)*(Source_Evolution!$Q$3:$Q$731&gt;0))</f>
        <v/>
      </c>
    </row>
    <row r="86">
      <c r="A86" t="inlineStr">
        <is>
          <t>Company 174</t>
        </is>
      </c>
      <c r="B86" t="inlineStr">
        <is>
          <t>Power</t>
        </is>
      </c>
      <c r="C86" t="inlineStr">
        <is>
          <t>Switzerland</t>
        </is>
      </c>
      <c r="D86" t="n">
        <v>2023</v>
      </c>
      <c r="E86" s="17">
        <f>SUMIFS(Source_Evolution!$E$3:$E$731,Source_Evolution!$A$3:$A$731,$A86)</f>
        <v/>
      </c>
      <c r="F86" s="17">
        <f>SUMIFS(Source_Evolution!$F$3:$F$731,Source_Evolution!$A$3:$A$731,$A86)</f>
        <v/>
      </c>
      <c r="G86" s="17">
        <f>SUMIFS(Source_Evolution!$G$3:$G$731,Source_Evolution!$A$3:$A$731,$A86)</f>
        <v/>
      </c>
      <c r="H86" s="17">
        <f>SUMIFS(Source_Evolution!$H$3:$H$731,Source_Evolution!$A$3:$A$731,$A86)</f>
        <v/>
      </c>
      <c r="I86" s="17">
        <f>SUMIFS(Source_Evolution!$I$3:$I$731,Source_Evolution!$A$3:$A$731,$A86)</f>
        <v/>
      </c>
      <c r="J86" s="17">
        <f>SUMIFS(Source_Evolution!$J$3:$J$731,Source_Evolution!$A$3:$A$731,$A86)</f>
        <v/>
      </c>
      <c r="K86" s="17">
        <f>SUMIFS(Source_Evolution!$K$3:$K$731,Source_Evolution!$A$3:$A$731,$A86)</f>
        <v/>
      </c>
      <c r="L86" s="17">
        <f>SUMIFS(Source_Evolution!$L$3:$L$731,Source_Evolution!$A$3:$A$731,$A86)</f>
        <v/>
      </c>
      <c r="M86" s="17">
        <f>SUMIFS(Source_Evolution!$M$3:$M$731,Source_Evolution!$A$3:$A$731,$A86)</f>
        <v/>
      </c>
      <c r="N86" s="17">
        <f>SUMIFS(Source_Evolution!$N$3:$N$731,Source_Evolution!$A$3:$A$731,$A86)</f>
        <v/>
      </c>
      <c r="O86" s="17">
        <f>SUMIFS(Source_Evolution!$O$3:$O$731,Source_Evolution!$A$3:$A$731,$A86)</f>
        <v/>
      </c>
      <c r="P86" s="17">
        <f>SUMIFS(Source_Evolution!$P$3:$P$731,Source_Evolution!$A$3:$A$731,$A86)</f>
        <v/>
      </c>
      <c r="Q86" s="17">
        <f>SUMIFS(Source_Evolution!$Q$3:$Q$731,Source_Evolution!$A$3:$A$731,$A86)</f>
        <v/>
      </c>
      <c r="R86" s="17">
        <f>SUM(E86:Q86)</f>
        <v/>
      </c>
      <c r="S86" s="17">
        <f>Q86</f>
        <v/>
      </c>
      <c r="T86">
        <f>IF(B86="Software",1,0)</f>
        <v/>
      </c>
      <c r="U86" s="18">
        <f>SUMPRODUCT((Source_Evolution!$A$3:$A$731=$A86)*(Source_Evolution!$E$3:$E$731&gt;0))</f>
        <v/>
      </c>
      <c r="V86" s="18">
        <f>SUMPRODUCT((Source_Evolution!$A$3:$A$731=$A86)*(Source_Evolution!$F$3:$F$731&gt;0))</f>
        <v/>
      </c>
      <c r="W86" s="18">
        <f>SUMPRODUCT((Source_Evolution!$A$3:$A$731=$A86)*(Source_Evolution!$G$3:$G$731&gt;0))</f>
        <v/>
      </c>
      <c r="X86" s="18">
        <f>SUMPRODUCT((Source_Evolution!$A$3:$A$731=$A86)*(Source_Evolution!$H$3:$H$731&gt;0))</f>
        <v/>
      </c>
      <c r="Y86" s="18">
        <f>SUMPRODUCT((Source_Evolution!$A$3:$A$731=$A86)*(Source_Evolution!$I$3:$I$731&gt;0))</f>
        <v/>
      </c>
      <c r="Z86" s="18">
        <f>SUMPRODUCT((Source_Evolution!$A$3:$A$731=$A86)*(Source_Evolution!$J$3:$J$731&gt;0))</f>
        <v/>
      </c>
      <c r="AA86" s="18">
        <f>SUMPRODUCT((Source_Evolution!$A$3:$A$731=$A86)*(Source_Evolution!$K$3:$K$731&gt;0))</f>
        <v/>
      </c>
      <c r="AB86" s="18">
        <f>SUMPRODUCT((Source_Evolution!$A$3:$A$731=$A86)*(Source_Evolution!$L$3:$L$731&gt;0))</f>
        <v/>
      </c>
      <c r="AC86" s="18">
        <f>SUMPRODUCT((Source_Evolution!$A$3:$A$731=$A86)*(Source_Evolution!$M$3:$M$731&gt;0))</f>
        <v/>
      </c>
      <c r="AD86" s="18">
        <f>SUMPRODUCT((Source_Evolution!$A$3:$A$731=$A86)*(Source_Evolution!$N$3:$N$731&gt;0))</f>
        <v/>
      </c>
      <c r="AE86" s="18">
        <f>SUMPRODUCT((Source_Evolution!$A$3:$A$731=$A86)*(Source_Evolution!$O$3:$O$731&gt;0))</f>
        <v/>
      </c>
      <c r="AF86" s="18">
        <f>SUMPRODUCT((Source_Evolution!$A$3:$A$731=$A86)*(Source_Evolution!$P$3:$P$731&gt;0))</f>
        <v/>
      </c>
      <c r="AG86" s="18">
        <f>SUMPRODUCT((Source_Evolution!$A$3:$A$731=$A86)*(Source_Evolution!$Q$3:$Q$731&gt;0))</f>
        <v/>
      </c>
    </row>
    <row r="87">
      <c r="A87" t="inlineStr">
        <is>
          <t>Company 175</t>
        </is>
      </c>
      <c r="B87" t="inlineStr">
        <is>
          <t>Software</t>
        </is>
      </c>
      <c r="C87" t="inlineStr">
        <is>
          <t>UK</t>
        </is>
      </c>
      <c r="D87" t="n">
        <v>2014</v>
      </c>
      <c r="E87" s="17">
        <f>SUMIFS(Source_Evolution!$E$3:$E$731,Source_Evolution!$A$3:$A$731,$A87)</f>
        <v/>
      </c>
      <c r="F87" s="17">
        <f>SUMIFS(Source_Evolution!$F$3:$F$731,Source_Evolution!$A$3:$A$731,$A87)</f>
        <v/>
      </c>
      <c r="G87" s="17">
        <f>SUMIFS(Source_Evolution!$G$3:$G$731,Source_Evolution!$A$3:$A$731,$A87)</f>
        <v/>
      </c>
      <c r="H87" s="17">
        <f>SUMIFS(Source_Evolution!$H$3:$H$731,Source_Evolution!$A$3:$A$731,$A87)</f>
        <v/>
      </c>
      <c r="I87" s="17">
        <f>SUMIFS(Source_Evolution!$I$3:$I$731,Source_Evolution!$A$3:$A$731,$A87)</f>
        <v/>
      </c>
      <c r="J87" s="17">
        <f>SUMIFS(Source_Evolution!$J$3:$J$731,Source_Evolution!$A$3:$A$731,$A87)</f>
        <v/>
      </c>
      <c r="K87" s="17">
        <f>SUMIFS(Source_Evolution!$K$3:$K$731,Source_Evolution!$A$3:$A$731,$A87)</f>
        <v/>
      </c>
      <c r="L87" s="17">
        <f>SUMIFS(Source_Evolution!$L$3:$L$731,Source_Evolution!$A$3:$A$731,$A87)</f>
        <v/>
      </c>
      <c r="M87" s="17">
        <f>SUMIFS(Source_Evolution!$M$3:$M$731,Source_Evolution!$A$3:$A$731,$A87)</f>
        <v/>
      </c>
      <c r="N87" s="17">
        <f>SUMIFS(Source_Evolution!$N$3:$N$731,Source_Evolution!$A$3:$A$731,$A87)</f>
        <v/>
      </c>
      <c r="O87" s="17">
        <f>SUMIFS(Source_Evolution!$O$3:$O$731,Source_Evolution!$A$3:$A$731,$A87)</f>
        <v/>
      </c>
      <c r="P87" s="17">
        <f>SUMIFS(Source_Evolution!$P$3:$P$731,Source_Evolution!$A$3:$A$731,$A87)</f>
        <v/>
      </c>
      <c r="Q87" s="17">
        <f>SUMIFS(Source_Evolution!$Q$3:$Q$731,Source_Evolution!$A$3:$A$731,$A87)</f>
        <v/>
      </c>
      <c r="R87" s="17">
        <f>SUM(E87:Q87)</f>
        <v/>
      </c>
      <c r="S87" s="17">
        <f>Q87</f>
        <v/>
      </c>
      <c r="T87">
        <f>IF(B87="Software",1,0)</f>
        <v/>
      </c>
      <c r="U87" s="18">
        <f>SUMPRODUCT((Source_Evolution!$A$3:$A$731=$A87)*(Source_Evolution!$E$3:$E$731&gt;0))</f>
        <v/>
      </c>
      <c r="V87" s="18">
        <f>SUMPRODUCT((Source_Evolution!$A$3:$A$731=$A87)*(Source_Evolution!$F$3:$F$731&gt;0))</f>
        <v/>
      </c>
      <c r="W87" s="18">
        <f>SUMPRODUCT((Source_Evolution!$A$3:$A$731=$A87)*(Source_Evolution!$G$3:$G$731&gt;0))</f>
        <v/>
      </c>
      <c r="X87" s="18">
        <f>SUMPRODUCT((Source_Evolution!$A$3:$A$731=$A87)*(Source_Evolution!$H$3:$H$731&gt;0))</f>
        <v/>
      </c>
      <c r="Y87" s="18">
        <f>SUMPRODUCT((Source_Evolution!$A$3:$A$731=$A87)*(Source_Evolution!$I$3:$I$731&gt;0))</f>
        <v/>
      </c>
      <c r="Z87" s="18">
        <f>SUMPRODUCT((Source_Evolution!$A$3:$A$731=$A87)*(Source_Evolution!$J$3:$J$731&gt;0))</f>
        <v/>
      </c>
      <c r="AA87" s="18">
        <f>SUMPRODUCT((Source_Evolution!$A$3:$A$731=$A87)*(Source_Evolution!$K$3:$K$731&gt;0))</f>
        <v/>
      </c>
      <c r="AB87" s="18">
        <f>SUMPRODUCT((Source_Evolution!$A$3:$A$731=$A87)*(Source_Evolution!$L$3:$L$731&gt;0))</f>
        <v/>
      </c>
      <c r="AC87" s="18">
        <f>SUMPRODUCT((Source_Evolution!$A$3:$A$731=$A87)*(Source_Evolution!$M$3:$M$731&gt;0))</f>
        <v/>
      </c>
      <c r="AD87" s="18">
        <f>SUMPRODUCT((Source_Evolution!$A$3:$A$731=$A87)*(Source_Evolution!$N$3:$N$731&gt;0))</f>
        <v/>
      </c>
      <c r="AE87" s="18">
        <f>SUMPRODUCT((Source_Evolution!$A$3:$A$731=$A87)*(Source_Evolution!$O$3:$O$731&gt;0))</f>
        <v/>
      </c>
      <c r="AF87" s="18">
        <f>SUMPRODUCT((Source_Evolution!$A$3:$A$731=$A87)*(Source_Evolution!$P$3:$P$731&gt;0))</f>
        <v/>
      </c>
      <c r="AG87" s="18">
        <f>SUMPRODUCT((Source_Evolution!$A$3:$A$731=$A87)*(Source_Evolution!$Q$3:$Q$731&gt;0))</f>
        <v/>
      </c>
    </row>
    <row r="88">
      <c r="A88" t="inlineStr">
        <is>
          <t>Company 176</t>
        </is>
      </c>
      <c r="B88" t="inlineStr">
        <is>
          <t>Software</t>
        </is>
      </c>
      <c r="C88" t="inlineStr">
        <is>
          <t>France</t>
        </is>
      </c>
      <c r="D88" t="n">
        <v>2022</v>
      </c>
      <c r="E88" s="17">
        <f>SUMIFS(Source_Evolution!$E$3:$E$731,Source_Evolution!$A$3:$A$731,$A88)</f>
        <v/>
      </c>
      <c r="F88" s="17">
        <f>SUMIFS(Source_Evolution!$F$3:$F$731,Source_Evolution!$A$3:$A$731,$A88)</f>
        <v/>
      </c>
      <c r="G88" s="17">
        <f>SUMIFS(Source_Evolution!$G$3:$G$731,Source_Evolution!$A$3:$A$731,$A88)</f>
        <v/>
      </c>
      <c r="H88" s="17">
        <f>SUMIFS(Source_Evolution!$H$3:$H$731,Source_Evolution!$A$3:$A$731,$A88)</f>
        <v/>
      </c>
      <c r="I88" s="17">
        <f>SUMIFS(Source_Evolution!$I$3:$I$731,Source_Evolution!$A$3:$A$731,$A88)</f>
        <v/>
      </c>
      <c r="J88" s="17">
        <f>SUMIFS(Source_Evolution!$J$3:$J$731,Source_Evolution!$A$3:$A$731,$A88)</f>
        <v/>
      </c>
      <c r="K88" s="17">
        <f>SUMIFS(Source_Evolution!$K$3:$K$731,Source_Evolution!$A$3:$A$731,$A88)</f>
        <v/>
      </c>
      <c r="L88" s="17">
        <f>SUMIFS(Source_Evolution!$L$3:$L$731,Source_Evolution!$A$3:$A$731,$A88)</f>
        <v/>
      </c>
      <c r="M88" s="17">
        <f>SUMIFS(Source_Evolution!$M$3:$M$731,Source_Evolution!$A$3:$A$731,$A88)</f>
        <v/>
      </c>
      <c r="N88" s="17">
        <f>SUMIFS(Source_Evolution!$N$3:$N$731,Source_Evolution!$A$3:$A$731,$A88)</f>
        <v/>
      </c>
      <c r="O88" s="17">
        <f>SUMIFS(Source_Evolution!$O$3:$O$731,Source_Evolution!$A$3:$A$731,$A88)</f>
        <v/>
      </c>
      <c r="P88" s="17">
        <f>SUMIFS(Source_Evolution!$P$3:$P$731,Source_Evolution!$A$3:$A$731,$A88)</f>
        <v/>
      </c>
      <c r="Q88" s="17">
        <f>SUMIFS(Source_Evolution!$Q$3:$Q$731,Source_Evolution!$A$3:$A$731,$A88)</f>
        <v/>
      </c>
      <c r="R88" s="17">
        <f>SUM(E88:Q88)</f>
        <v/>
      </c>
      <c r="S88" s="17">
        <f>Q88</f>
        <v/>
      </c>
      <c r="T88">
        <f>IF(B88="Software",1,0)</f>
        <v/>
      </c>
      <c r="U88" s="18">
        <f>SUMPRODUCT((Source_Evolution!$A$3:$A$731=$A88)*(Source_Evolution!$E$3:$E$731&gt;0))</f>
        <v/>
      </c>
      <c r="V88" s="18">
        <f>SUMPRODUCT((Source_Evolution!$A$3:$A$731=$A88)*(Source_Evolution!$F$3:$F$731&gt;0))</f>
        <v/>
      </c>
      <c r="W88" s="18">
        <f>SUMPRODUCT((Source_Evolution!$A$3:$A$731=$A88)*(Source_Evolution!$G$3:$G$731&gt;0))</f>
        <v/>
      </c>
      <c r="X88" s="18">
        <f>SUMPRODUCT((Source_Evolution!$A$3:$A$731=$A88)*(Source_Evolution!$H$3:$H$731&gt;0))</f>
        <v/>
      </c>
      <c r="Y88" s="18">
        <f>SUMPRODUCT((Source_Evolution!$A$3:$A$731=$A88)*(Source_Evolution!$I$3:$I$731&gt;0))</f>
        <v/>
      </c>
      <c r="Z88" s="18">
        <f>SUMPRODUCT((Source_Evolution!$A$3:$A$731=$A88)*(Source_Evolution!$J$3:$J$731&gt;0))</f>
        <v/>
      </c>
      <c r="AA88" s="18">
        <f>SUMPRODUCT((Source_Evolution!$A$3:$A$731=$A88)*(Source_Evolution!$K$3:$K$731&gt;0))</f>
        <v/>
      </c>
      <c r="AB88" s="18">
        <f>SUMPRODUCT((Source_Evolution!$A$3:$A$731=$A88)*(Source_Evolution!$L$3:$L$731&gt;0))</f>
        <v/>
      </c>
      <c r="AC88" s="18">
        <f>SUMPRODUCT((Source_Evolution!$A$3:$A$731=$A88)*(Source_Evolution!$M$3:$M$731&gt;0))</f>
        <v/>
      </c>
      <c r="AD88" s="18">
        <f>SUMPRODUCT((Source_Evolution!$A$3:$A$731=$A88)*(Source_Evolution!$N$3:$N$731&gt;0))</f>
        <v/>
      </c>
      <c r="AE88" s="18">
        <f>SUMPRODUCT((Source_Evolution!$A$3:$A$731=$A88)*(Source_Evolution!$O$3:$O$731&gt;0))</f>
        <v/>
      </c>
      <c r="AF88" s="18">
        <f>SUMPRODUCT((Source_Evolution!$A$3:$A$731=$A88)*(Source_Evolution!$P$3:$P$731&gt;0))</f>
        <v/>
      </c>
      <c r="AG88" s="18">
        <f>SUMPRODUCT((Source_Evolution!$A$3:$A$731=$A88)*(Source_Evolution!$Q$3:$Q$731&gt;0))</f>
        <v/>
      </c>
    </row>
    <row r="89">
      <c r="A89" t="inlineStr">
        <is>
          <t>Company 177</t>
        </is>
      </c>
      <c r="B89" t="inlineStr">
        <is>
          <t>Software</t>
        </is>
      </c>
      <c r="C89" t="inlineStr">
        <is>
          <t>Switzerland</t>
        </is>
      </c>
      <c r="D89" t="n">
        <v>2014</v>
      </c>
      <c r="E89" s="17">
        <f>SUMIFS(Source_Evolution!$E$3:$E$731,Source_Evolution!$A$3:$A$731,$A89)</f>
        <v/>
      </c>
      <c r="F89" s="17">
        <f>SUMIFS(Source_Evolution!$F$3:$F$731,Source_Evolution!$A$3:$A$731,$A89)</f>
        <v/>
      </c>
      <c r="G89" s="17">
        <f>SUMIFS(Source_Evolution!$G$3:$G$731,Source_Evolution!$A$3:$A$731,$A89)</f>
        <v/>
      </c>
      <c r="H89" s="17">
        <f>SUMIFS(Source_Evolution!$H$3:$H$731,Source_Evolution!$A$3:$A$731,$A89)</f>
        <v/>
      </c>
      <c r="I89" s="17">
        <f>SUMIFS(Source_Evolution!$I$3:$I$731,Source_Evolution!$A$3:$A$731,$A89)</f>
        <v/>
      </c>
      <c r="J89" s="17">
        <f>SUMIFS(Source_Evolution!$J$3:$J$731,Source_Evolution!$A$3:$A$731,$A89)</f>
        <v/>
      </c>
      <c r="K89" s="17">
        <f>SUMIFS(Source_Evolution!$K$3:$K$731,Source_Evolution!$A$3:$A$731,$A89)</f>
        <v/>
      </c>
      <c r="L89" s="17">
        <f>SUMIFS(Source_Evolution!$L$3:$L$731,Source_Evolution!$A$3:$A$731,$A89)</f>
        <v/>
      </c>
      <c r="M89" s="17">
        <f>SUMIFS(Source_Evolution!$M$3:$M$731,Source_Evolution!$A$3:$A$731,$A89)</f>
        <v/>
      </c>
      <c r="N89" s="17">
        <f>SUMIFS(Source_Evolution!$N$3:$N$731,Source_Evolution!$A$3:$A$731,$A89)</f>
        <v/>
      </c>
      <c r="O89" s="17">
        <f>SUMIFS(Source_Evolution!$O$3:$O$731,Source_Evolution!$A$3:$A$731,$A89)</f>
        <v/>
      </c>
      <c r="P89" s="17">
        <f>SUMIFS(Source_Evolution!$P$3:$P$731,Source_Evolution!$A$3:$A$731,$A89)</f>
        <v/>
      </c>
      <c r="Q89" s="17">
        <f>SUMIFS(Source_Evolution!$Q$3:$Q$731,Source_Evolution!$A$3:$A$731,$A89)</f>
        <v/>
      </c>
      <c r="R89" s="17">
        <f>SUM(E89:Q89)</f>
        <v/>
      </c>
      <c r="S89" s="17">
        <f>Q89</f>
        <v/>
      </c>
      <c r="T89">
        <f>IF(B89="Software",1,0)</f>
        <v/>
      </c>
      <c r="U89" s="18">
        <f>SUMPRODUCT((Source_Evolution!$A$3:$A$731=$A89)*(Source_Evolution!$E$3:$E$731&gt;0))</f>
        <v/>
      </c>
      <c r="V89" s="18">
        <f>SUMPRODUCT((Source_Evolution!$A$3:$A$731=$A89)*(Source_Evolution!$F$3:$F$731&gt;0))</f>
        <v/>
      </c>
      <c r="W89" s="18">
        <f>SUMPRODUCT((Source_Evolution!$A$3:$A$731=$A89)*(Source_Evolution!$G$3:$G$731&gt;0))</f>
        <v/>
      </c>
      <c r="X89" s="18">
        <f>SUMPRODUCT((Source_Evolution!$A$3:$A$731=$A89)*(Source_Evolution!$H$3:$H$731&gt;0))</f>
        <v/>
      </c>
      <c r="Y89" s="18">
        <f>SUMPRODUCT((Source_Evolution!$A$3:$A$731=$A89)*(Source_Evolution!$I$3:$I$731&gt;0))</f>
        <v/>
      </c>
      <c r="Z89" s="18">
        <f>SUMPRODUCT((Source_Evolution!$A$3:$A$731=$A89)*(Source_Evolution!$J$3:$J$731&gt;0))</f>
        <v/>
      </c>
      <c r="AA89" s="18">
        <f>SUMPRODUCT((Source_Evolution!$A$3:$A$731=$A89)*(Source_Evolution!$K$3:$K$731&gt;0))</f>
        <v/>
      </c>
      <c r="AB89" s="18">
        <f>SUMPRODUCT((Source_Evolution!$A$3:$A$731=$A89)*(Source_Evolution!$L$3:$L$731&gt;0))</f>
        <v/>
      </c>
      <c r="AC89" s="18">
        <f>SUMPRODUCT((Source_Evolution!$A$3:$A$731=$A89)*(Source_Evolution!$M$3:$M$731&gt;0))</f>
        <v/>
      </c>
      <c r="AD89" s="18">
        <f>SUMPRODUCT((Source_Evolution!$A$3:$A$731=$A89)*(Source_Evolution!$N$3:$N$731&gt;0))</f>
        <v/>
      </c>
      <c r="AE89" s="18">
        <f>SUMPRODUCT((Source_Evolution!$A$3:$A$731=$A89)*(Source_Evolution!$O$3:$O$731&gt;0))</f>
        <v/>
      </c>
      <c r="AF89" s="18">
        <f>SUMPRODUCT((Source_Evolution!$A$3:$A$731=$A89)*(Source_Evolution!$P$3:$P$731&gt;0))</f>
        <v/>
      </c>
      <c r="AG89" s="18">
        <f>SUMPRODUCT((Source_Evolution!$A$3:$A$731=$A89)*(Source_Evolution!$Q$3:$Q$731&gt;0))</f>
        <v/>
      </c>
    </row>
    <row r="90">
      <c r="A90" t="inlineStr">
        <is>
          <t>Company 178</t>
        </is>
      </c>
      <c r="B90" t="inlineStr">
        <is>
          <t>Operations</t>
        </is>
      </c>
      <c r="C90" t="inlineStr">
        <is>
          <t>Switzerland</t>
        </is>
      </c>
      <c r="D90" t="n">
        <v>2014</v>
      </c>
      <c r="E90" s="17">
        <f>SUMIFS(Source_Evolution!$E$3:$E$731,Source_Evolution!$A$3:$A$731,$A90)</f>
        <v/>
      </c>
      <c r="F90" s="17">
        <f>SUMIFS(Source_Evolution!$F$3:$F$731,Source_Evolution!$A$3:$A$731,$A90)</f>
        <v/>
      </c>
      <c r="G90" s="17">
        <f>SUMIFS(Source_Evolution!$G$3:$G$731,Source_Evolution!$A$3:$A$731,$A90)</f>
        <v/>
      </c>
      <c r="H90" s="17">
        <f>SUMIFS(Source_Evolution!$H$3:$H$731,Source_Evolution!$A$3:$A$731,$A90)</f>
        <v/>
      </c>
      <c r="I90" s="17">
        <f>SUMIFS(Source_Evolution!$I$3:$I$731,Source_Evolution!$A$3:$A$731,$A90)</f>
        <v/>
      </c>
      <c r="J90" s="17">
        <f>SUMIFS(Source_Evolution!$J$3:$J$731,Source_Evolution!$A$3:$A$731,$A90)</f>
        <v/>
      </c>
      <c r="K90" s="17">
        <f>SUMIFS(Source_Evolution!$K$3:$K$731,Source_Evolution!$A$3:$A$731,$A90)</f>
        <v/>
      </c>
      <c r="L90" s="17">
        <f>SUMIFS(Source_Evolution!$L$3:$L$731,Source_Evolution!$A$3:$A$731,$A90)</f>
        <v/>
      </c>
      <c r="M90" s="17">
        <f>SUMIFS(Source_Evolution!$M$3:$M$731,Source_Evolution!$A$3:$A$731,$A90)</f>
        <v/>
      </c>
      <c r="N90" s="17">
        <f>SUMIFS(Source_Evolution!$N$3:$N$731,Source_Evolution!$A$3:$A$731,$A90)</f>
        <v/>
      </c>
      <c r="O90" s="17">
        <f>SUMIFS(Source_Evolution!$O$3:$O$731,Source_Evolution!$A$3:$A$731,$A90)</f>
        <v/>
      </c>
      <c r="P90" s="17">
        <f>SUMIFS(Source_Evolution!$P$3:$P$731,Source_Evolution!$A$3:$A$731,$A90)</f>
        <v/>
      </c>
      <c r="Q90" s="17">
        <f>SUMIFS(Source_Evolution!$Q$3:$Q$731,Source_Evolution!$A$3:$A$731,$A90)</f>
        <v/>
      </c>
      <c r="R90" s="17">
        <f>SUM(E90:Q90)</f>
        <v/>
      </c>
      <c r="S90" s="17">
        <f>Q90</f>
        <v/>
      </c>
      <c r="T90">
        <f>IF(B90="Software",1,0)</f>
        <v/>
      </c>
      <c r="U90" s="18">
        <f>SUMPRODUCT((Source_Evolution!$A$3:$A$731=$A90)*(Source_Evolution!$E$3:$E$731&gt;0))</f>
        <v/>
      </c>
      <c r="V90" s="18">
        <f>SUMPRODUCT((Source_Evolution!$A$3:$A$731=$A90)*(Source_Evolution!$F$3:$F$731&gt;0))</f>
        <v/>
      </c>
      <c r="W90" s="18">
        <f>SUMPRODUCT((Source_Evolution!$A$3:$A$731=$A90)*(Source_Evolution!$G$3:$G$731&gt;0))</f>
        <v/>
      </c>
      <c r="X90" s="18">
        <f>SUMPRODUCT((Source_Evolution!$A$3:$A$731=$A90)*(Source_Evolution!$H$3:$H$731&gt;0))</f>
        <v/>
      </c>
      <c r="Y90" s="18">
        <f>SUMPRODUCT((Source_Evolution!$A$3:$A$731=$A90)*(Source_Evolution!$I$3:$I$731&gt;0))</f>
        <v/>
      </c>
      <c r="Z90" s="18">
        <f>SUMPRODUCT((Source_Evolution!$A$3:$A$731=$A90)*(Source_Evolution!$J$3:$J$731&gt;0))</f>
        <v/>
      </c>
      <c r="AA90" s="18">
        <f>SUMPRODUCT((Source_Evolution!$A$3:$A$731=$A90)*(Source_Evolution!$K$3:$K$731&gt;0))</f>
        <v/>
      </c>
      <c r="AB90" s="18">
        <f>SUMPRODUCT((Source_Evolution!$A$3:$A$731=$A90)*(Source_Evolution!$L$3:$L$731&gt;0))</f>
        <v/>
      </c>
      <c r="AC90" s="18">
        <f>SUMPRODUCT((Source_Evolution!$A$3:$A$731=$A90)*(Source_Evolution!$M$3:$M$731&gt;0))</f>
        <v/>
      </c>
      <c r="AD90" s="18">
        <f>SUMPRODUCT((Source_Evolution!$A$3:$A$731=$A90)*(Source_Evolution!$N$3:$N$731&gt;0))</f>
        <v/>
      </c>
      <c r="AE90" s="18">
        <f>SUMPRODUCT((Source_Evolution!$A$3:$A$731=$A90)*(Source_Evolution!$O$3:$O$731&gt;0))</f>
        <v/>
      </c>
      <c r="AF90" s="18">
        <f>SUMPRODUCT((Source_Evolution!$A$3:$A$731=$A90)*(Source_Evolution!$P$3:$P$731&gt;0))</f>
        <v/>
      </c>
      <c r="AG90" s="18">
        <f>SUMPRODUCT((Source_Evolution!$A$3:$A$731=$A90)*(Source_Evolution!$Q$3:$Q$731&gt;0))</f>
        <v/>
      </c>
    </row>
    <row r="91">
      <c r="A91" t="inlineStr">
        <is>
          <t>Company 179</t>
        </is>
      </c>
      <c r="B91" t="inlineStr">
        <is>
          <t>Operations</t>
        </is>
      </c>
      <c r="C91" t="inlineStr">
        <is>
          <t>UK</t>
        </is>
      </c>
      <c r="D91" t="n">
        <v>2014</v>
      </c>
      <c r="E91" s="17">
        <f>SUMIFS(Source_Evolution!$E$3:$E$731,Source_Evolution!$A$3:$A$731,$A91)</f>
        <v/>
      </c>
      <c r="F91" s="17">
        <f>SUMIFS(Source_Evolution!$F$3:$F$731,Source_Evolution!$A$3:$A$731,$A91)</f>
        <v/>
      </c>
      <c r="G91" s="17">
        <f>SUMIFS(Source_Evolution!$G$3:$G$731,Source_Evolution!$A$3:$A$731,$A91)</f>
        <v/>
      </c>
      <c r="H91" s="17">
        <f>SUMIFS(Source_Evolution!$H$3:$H$731,Source_Evolution!$A$3:$A$731,$A91)</f>
        <v/>
      </c>
      <c r="I91" s="17">
        <f>SUMIFS(Source_Evolution!$I$3:$I$731,Source_Evolution!$A$3:$A$731,$A91)</f>
        <v/>
      </c>
      <c r="J91" s="17">
        <f>SUMIFS(Source_Evolution!$J$3:$J$731,Source_Evolution!$A$3:$A$731,$A91)</f>
        <v/>
      </c>
      <c r="K91" s="17">
        <f>SUMIFS(Source_Evolution!$K$3:$K$731,Source_Evolution!$A$3:$A$731,$A91)</f>
        <v/>
      </c>
      <c r="L91" s="17">
        <f>SUMIFS(Source_Evolution!$L$3:$L$731,Source_Evolution!$A$3:$A$731,$A91)</f>
        <v/>
      </c>
      <c r="M91" s="17">
        <f>SUMIFS(Source_Evolution!$M$3:$M$731,Source_Evolution!$A$3:$A$731,$A91)</f>
        <v/>
      </c>
      <c r="N91" s="17">
        <f>SUMIFS(Source_Evolution!$N$3:$N$731,Source_Evolution!$A$3:$A$731,$A91)</f>
        <v/>
      </c>
      <c r="O91" s="17">
        <f>SUMIFS(Source_Evolution!$O$3:$O$731,Source_Evolution!$A$3:$A$731,$A91)</f>
        <v/>
      </c>
      <c r="P91" s="17">
        <f>SUMIFS(Source_Evolution!$P$3:$P$731,Source_Evolution!$A$3:$A$731,$A91)</f>
        <v/>
      </c>
      <c r="Q91" s="17">
        <f>SUMIFS(Source_Evolution!$Q$3:$Q$731,Source_Evolution!$A$3:$A$731,$A91)</f>
        <v/>
      </c>
      <c r="R91" s="17">
        <f>SUM(E91:Q91)</f>
        <v/>
      </c>
      <c r="S91" s="17">
        <f>Q91</f>
        <v/>
      </c>
      <c r="T91">
        <f>IF(B91="Software",1,0)</f>
        <v/>
      </c>
      <c r="U91" s="18">
        <f>SUMPRODUCT((Source_Evolution!$A$3:$A$731=$A91)*(Source_Evolution!$E$3:$E$731&gt;0))</f>
        <v/>
      </c>
      <c r="V91" s="18">
        <f>SUMPRODUCT((Source_Evolution!$A$3:$A$731=$A91)*(Source_Evolution!$F$3:$F$731&gt;0))</f>
        <v/>
      </c>
      <c r="W91" s="18">
        <f>SUMPRODUCT((Source_Evolution!$A$3:$A$731=$A91)*(Source_Evolution!$G$3:$G$731&gt;0))</f>
        <v/>
      </c>
      <c r="X91" s="18">
        <f>SUMPRODUCT((Source_Evolution!$A$3:$A$731=$A91)*(Source_Evolution!$H$3:$H$731&gt;0))</f>
        <v/>
      </c>
      <c r="Y91" s="18">
        <f>SUMPRODUCT((Source_Evolution!$A$3:$A$731=$A91)*(Source_Evolution!$I$3:$I$731&gt;0))</f>
        <v/>
      </c>
      <c r="Z91" s="18">
        <f>SUMPRODUCT((Source_Evolution!$A$3:$A$731=$A91)*(Source_Evolution!$J$3:$J$731&gt;0))</f>
        <v/>
      </c>
      <c r="AA91" s="18">
        <f>SUMPRODUCT((Source_Evolution!$A$3:$A$731=$A91)*(Source_Evolution!$K$3:$K$731&gt;0))</f>
        <v/>
      </c>
      <c r="AB91" s="18">
        <f>SUMPRODUCT((Source_Evolution!$A$3:$A$731=$A91)*(Source_Evolution!$L$3:$L$731&gt;0))</f>
        <v/>
      </c>
      <c r="AC91" s="18">
        <f>SUMPRODUCT((Source_Evolution!$A$3:$A$731=$A91)*(Source_Evolution!$M$3:$M$731&gt;0))</f>
        <v/>
      </c>
      <c r="AD91" s="18">
        <f>SUMPRODUCT((Source_Evolution!$A$3:$A$731=$A91)*(Source_Evolution!$N$3:$N$731&gt;0))</f>
        <v/>
      </c>
      <c r="AE91" s="18">
        <f>SUMPRODUCT((Source_Evolution!$A$3:$A$731=$A91)*(Source_Evolution!$O$3:$O$731&gt;0))</f>
        <v/>
      </c>
      <c r="AF91" s="18">
        <f>SUMPRODUCT((Source_Evolution!$A$3:$A$731=$A91)*(Source_Evolution!$P$3:$P$731&gt;0))</f>
        <v/>
      </c>
      <c r="AG91" s="18">
        <f>SUMPRODUCT((Source_Evolution!$A$3:$A$731=$A91)*(Source_Evolution!$Q$3:$Q$731&gt;0))</f>
        <v/>
      </c>
    </row>
    <row r="92">
      <c r="A92" t="inlineStr">
        <is>
          <t>Company 18</t>
        </is>
      </c>
      <c r="B92" t="inlineStr">
        <is>
          <t>Operations</t>
        </is>
      </c>
      <c r="C92" t="inlineStr">
        <is>
          <t>UK</t>
        </is>
      </c>
      <c r="D92" t="n">
        <v>2014</v>
      </c>
      <c r="E92" s="17">
        <f>SUMIFS(Source_Evolution!$E$3:$E$731,Source_Evolution!$A$3:$A$731,$A92)</f>
        <v/>
      </c>
      <c r="F92" s="17">
        <f>SUMIFS(Source_Evolution!$F$3:$F$731,Source_Evolution!$A$3:$A$731,$A92)</f>
        <v/>
      </c>
      <c r="G92" s="17">
        <f>SUMIFS(Source_Evolution!$G$3:$G$731,Source_Evolution!$A$3:$A$731,$A92)</f>
        <v/>
      </c>
      <c r="H92" s="17">
        <f>SUMIFS(Source_Evolution!$H$3:$H$731,Source_Evolution!$A$3:$A$731,$A92)</f>
        <v/>
      </c>
      <c r="I92" s="17">
        <f>SUMIFS(Source_Evolution!$I$3:$I$731,Source_Evolution!$A$3:$A$731,$A92)</f>
        <v/>
      </c>
      <c r="J92" s="17">
        <f>SUMIFS(Source_Evolution!$J$3:$J$731,Source_Evolution!$A$3:$A$731,$A92)</f>
        <v/>
      </c>
      <c r="K92" s="17">
        <f>SUMIFS(Source_Evolution!$K$3:$K$731,Source_Evolution!$A$3:$A$731,$A92)</f>
        <v/>
      </c>
      <c r="L92" s="17">
        <f>SUMIFS(Source_Evolution!$L$3:$L$731,Source_Evolution!$A$3:$A$731,$A92)</f>
        <v/>
      </c>
      <c r="M92" s="17">
        <f>SUMIFS(Source_Evolution!$M$3:$M$731,Source_Evolution!$A$3:$A$731,$A92)</f>
        <v/>
      </c>
      <c r="N92" s="17">
        <f>SUMIFS(Source_Evolution!$N$3:$N$731,Source_Evolution!$A$3:$A$731,$A92)</f>
        <v/>
      </c>
      <c r="O92" s="17">
        <f>SUMIFS(Source_Evolution!$O$3:$O$731,Source_Evolution!$A$3:$A$731,$A92)</f>
        <v/>
      </c>
      <c r="P92" s="17">
        <f>SUMIFS(Source_Evolution!$P$3:$P$731,Source_Evolution!$A$3:$A$731,$A92)</f>
        <v/>
      </c>
      <c r="Q92" s="17">
        <f>SUMIFS(Source_Evolution!$Q$3:$Q$731,Source_Evolution!$A$3:$A$731,$A92)</f>
        <v/>
      </c>
      <c r="R92" s="17">
        <f>SUM(E92:Q92)</f>
        <v/>
      </c>
      <c r="S92" s="17">
        <f>Q92</f>
        <v/>
      </c>
      <c r="T92">
        <f>IF(B92="Software",1,0)</f>
        <v/>
      </c>
      <c r="U92" s="18">
        <f>SUMPRODUCT((Source_Evolution!$A$3:$A$731=$A92)*(Source_Evolution!$E$3:$E$731&gt;0))</f>
        <v/>
      </c>
      <c r="V92" s="18">
        <f>SUMPRODUCT((Source_Evolution!$A$3:$A$731=$A92)*(Source_Evolution!$F$3:$F$731&gt;0))</f>
        <v/>
      </c>
      <c r="W92" s="18">
        <f>SUMPRODUCT((Source_Evolution!$A$3:$A$731=$A92)*(Source_Evolution!$G$3:$G$731&gt;0))</f>
        <v/>
      </c>
      <c r="X92" s="18">
        <f>SUMPRODUCT((Source_Evolution!$A$3:$A$731=$A92)*(Source_Evolution!$H$3:$H$731&gt;0))</f>
        <v/>
      </c>
      <c r="Y92" s="18">
        <f>SUMPRODUCT((Source_Evolution!$A$3:$A$731=$A92)*(Source_Evolution!$I$3:$I$731&gt;0))</f>
        <v/>
      </c>
      <c r="Z92" s="18">
        <f>SUMPRODUCT((Source_Evolution!$A$3:$A$731=$A92)*(Source_Evolution!$J$3:$J$731&gt;0))</f>
        <v/>
      </c>
      <c r="AA92" s="18">
        <f>SUMPRODUCT((Source_Evolution!$A$3:$A$731=$A92)*(Source_Evolution!$K$3:$K$731&gt;0))</f>
        <v/>
      </c>
      <c r="AB92" s="18">
        <f>SUMPRODUCT((Source_Evolution!$A$3:$A$731=$A92)*(Source_Evolution!$L$3:$L$731&gt;0))</f>
        <v/>
      </c>
      <c r="AC92" s="18">
        <f>SUMPRODUCT((Source_Evolution!$A$3:$A$731=$A92)*(Source_Evolution!$M$3:$M$731&gt;0))</f>
        <v/>
      </c>
      <c r="AD92" s="18">
        <f>SUMPRODUCT((Source_Evolution!$A$3:$A$731=$A92)*(Source_Evolution!$N$3:$N$731&gt;0))</f>
        <v/>
      </c>
      <c r="AE92" s="18">
        <f>SUMPRODUCT((Source_Evolution!$A$3:$A$731=$A92)*(Source_Evolution!$O$3:$O$731&gt;0))</f>
        <v/>
      </c>
      <c r="AF92" s="18">
        <f>SUMPRODUCT((Source_Evolution!$A$3:$A$731=$A92)*(Source_Evolution!$P$3:$P$731&gt;0))</f>
        <v/>
      </c>
      <c r="AG92" s="18">
        <f>SUMPRODUCT((Source_Evolution!$A$3:$A$731=$A92)*(Source_Evolution!$Q$3:$Q$731&gt;0))</f>
        <v/>
      </c>
    </row>
    <row r="93">
      <c r="A93" t="inlineStr">
        <is>
          <t>Company 180</t>
        </is>
      </c>
      <c r="B93" t="inlineStr">
        <is>
          <t>Operations</t>
        </is>
      </c>
      <c r="C93" t="inlineStr">
        <is>
          <t>Italy</t>
        </is>
      </c>
      <c r="D93" t="n">
        <v>2015</v>
      </c>
      <c r="E93" s="17">
        <f>SUMIFS(Source_Evolution!$E$3:$E$731,Source_Evolution!$A$3:$A$731,$A93)</f>
        <v/>
      </c>
      <c r="F93" s="17">
        <f>SUMIFS(Source_Evolution!$F$3:$F$731,Source_Evolution!$A$3:$A$731,$A93)</f>
        <v/>
      </c>
      <c r="G93" s="17">
        <f>SUMIFS(Source_Evolution!$G$3:$G$731,Source_Evolution!$A$3:$A$731,$A93)</f>
        <v/>
      </c>
      <c r="H93" s="17">
        <f>SUMIFS(Source_Evolution!$H$3:$H$731,Source_Evolution!$A$3:$A$731,$A93)</f>
        <v/>
      </c>
      <c r="I93" s="17">
        <f>SUMIFS(Source_Evolution!$I$3:$I$731,Source_Evolution!$A$3:$A$731,$A93)</f>
        <v/>
      </c>
      <c r="J93" s="17">
        <f>SUMIFS(Source_Evolution!$J$3:$J$731,Source_Evolution!$A$3:$A$731,$A93)</f>
        <v/>
      </c>
      <c r="K93" s="17">
        <f>SUMIFS(Source_Evolution!$K$3:$K$731,Source_Evolution!$A$3:$A$731,$A93)</f>
        <v/>
      </c>
      <c r="L93" s="17">
        <f>SUMIFS(Source_Evolution!$L$3:$L$731,Source_Evolution!$A$3:$A$731,$A93)</f>
        <v/>
      </c>
      <c r="M93" s="17">
        <f>SUMIFS(Source_Evolution!$M$3:$M$731,Source_Evolution!$A$3:$A$731,$A93)</f>
        <v/>
      </c>
      <c r="N93" s="17">
        <f>SUMIFS(Source_Evolution!$N$3:$N$731,Source_Evolution!$A$3:$A$731,$A93)</f>
        <v/>
      </c>
      <c r="O93" s="17">
        <f>SUMIFS(Source_Evolution!$O$3:$O$731,Source_Evolution!$A$3:$A$731,$A93)</f>
        <v/>
      </c>
      <c r="P93" s="17">
        <f>SUMIFS(Source_Evolution!$P$3:$P$731,Source_Evolution!$A$3:$A$731,$A93)</f>
        <v/>
      </c>
      <c r="Q93" s="17">
        <f>SUMIFS(Source_Evolution!$Q$3:$Q$731,Source_Evolution!$A$3:$A$731,$A93)</f>
        <v/>
      </c>
      <c r="R93" s="17">
        <f>SUM(E93:Q93)</f>
        <v/>
      </c>
      <c r="S93" s="17">
        <f>Q93</f>
        <v/>
      </c>
      <c r="T93">
        <f>IF(B93="Software",1,0)</f>
        <v/>
      </c>
      <c r="U93" s="18">
        <f>SUMPRODUCT((Source_Evolution!$A$3:$A$731=$A93)*(Source_Evolution!$E$3:$E$731&gt;0))</f>
        <v/>
      </c>
      <c r="V93" s="18">
        <f>SUMPRODUCT((Source_Evolution!$A$3:$A$731=$A93)*(Source_Evolution!$F$3:$F$731&gt;0))</f>
        <v/>
      </c>
      <c r="W93" s="18">
        <f>SUMPRODUCT((Source_Evolution!$A$3:$A$731=$A93)*(Source_Evolution!$G$3:$G$731&gt;0))</f>
        <v/>
      </c>
      <c r="X93" s="18">
        <f>SUMPRODUCT((Source_Evolution!$A$3:$A$731=$A93)*(Source_Evolution!$H$3:$H$731&gt;0))</f>
        <v/>
      </c>
      <c r="Y93" s="18">
        <f>SUMPRODUCT((Source_Evolution!$A$3:$A$731=$A93)*(Source_Evolution!$I$3:$I$731&gt;0))</f>
        <v/>
      </c>
      <c r="Z93" s="18">
        <f>SUMPRODUCT((Source_Evolution!$A$3:$A$731=$A93)*(Source_Evolution!$J$3:$J$731&gt;0))</f>
        <v/>
      </c>
      <c r="AA93" s="18">
        <f>SUMPRODUCT((Source_Evolution!$A$3:$A$731=$A93)*(Source_Evolution!$K$3:$K$731&gt;0))</f>
        <v/>
      </c>
      <c r="AB93" s="18">
        <f>SUMPRODUCT((Source_Evolution!$A$3:$A$731=$A93)*(Source_Evolution!$L$3:$L$731&gt;0))</f>
        <v/>
      </c>
      <c r="AC93" s="18">
        <f>SUMPRODUCT((Source_Evolution!$A$3:$A$731=$A93)*(Source_Evolution!$M$3:$M$731&gt;0))</f>
        <v/>
      </c>
      <c r="AD93" s="18">
        <f>SUMPRODUCT((Source_Evolution!$A$3:$A$731=$A93)*(Source_Evolution!$N$3:$N$731&gt;0))</f>
        <v/>
      </c>
      <c r="AE93" s="18">
        <f>SUMPRODUCT((Source_Evolution!$A$3:$A$731=$A93)*(Source_Evolution!$O$3:$O$731&gt;0))</f>
        <v/>
      </c>
      <c r="AF93" s="18">
        <f>SUMPRODUCT((Source_Evolution!$A$3:$A$731=$A93)*(Source_Evolution!$P$3:$P$731&gt;0))</f>
        <v/>
      </c>
      <c r="AG93" s="18">
        <f>SUMPRODUCT((Source_Evolution!$A$3:$A$731=$A93)*(Source_Evolution!$Q$3:$Q$731&gt;0))</f>
        <v/>
      </c>
    </row>
    <row r="94">
      <c r="A94" t="inlineStr">
        <is>
          <t>Company 181</t>
        </is>
      </c>
      <c r="B94" t="inlineStr">
        <is>
          <t>Operations</t>
        </is>
      </c>
      <c r="C94" t="inlineStr">
        <is>
          <t>UK</t>
        </is>
      </c>
      <c r="D94" t="n">
        <v>2014</v>
      </c>
      <c r="E94" s="17">
        <f>SUMIFS(Source_Evolution!$E$3:$E$731,Source_Evolution!$A$3:$A$731,$A94)</f>
        <v/>
      </c>
      <c r="F94" s="17">
        <f>SUMIFS(Source_Evolution!$F$3:$F$731,Source_Evolution!$A$3:$A$731,$A94)</f>
        <v/>
      </c>
      <c r="G94" s="17">
        <f>SUMIFS(Source_Evolution!$G$3:$G$731,Source_Evolution!$A$3:$A$731,$A94)</f>
        <v/>
      </c>
      <c r="H94" s="17">
        <f>SUMIFS(Source_Evolution!$H$3:$H$731,Source_Evolution!$A$3:$A$731,$A94)</f>
        <v/>
      </c>
      <c r="I94" s="17">
        <f>SUMIFS(Source_Evolution!$I$3:$I$731,Source_Evolution!$A$3:$A$731,$A94)</f>
        <v/>
      </c>
      <c r="J94" s="17">
        <f>SUMIFS(Source_Evolution!$J$3:$J$731,Source_Evolution!$A$3:$A$731,$A94)</f>
        <v/>
      </c>
      <c r="K94" s="17">
        <f>SUMIFS(Source_Evolution!$K$3:$K$731,Source_Evolution!$A$3:$A$731,$A94)</f>
        <v/>
      </c>
      <c r="L94" s="17">
        <f>SUMIFS(Source_Evolution!$L$3:$L$731,Source_Evolution!$A$3:$A$731,$A94)</f>
        <v/>
      </c>
      <c r="M94" s="17">
        <f>SUMIFS(Source_Evolution!$M$3:$M$731,Source_Evolution!$A$3:$A$731,$A94)</f>
        <v/>
      </c>
      <c r="N94" s="17">
        <f>SUMIFS(Source_Evolution!$N$3:$N$731,Source_Evolution!$A$3:$A$731,$A94)</f>
        <v/>
      </c>
      <c r="O94" s="17">
        <f>SUMIFS(Source_Evolution!$O$3:$O$731,Source_Evolution!$A$3:$A$731,$A94)</f>
        <v/>
      </c>
      <c r="P94" s="17">
        <f>SUMIFS(Source_Evolution!$P$3:$P$731,Source_Evolution!$A$3:$A$731,$A94)</f>
        <v/>
      </c>
      <c r="Q94" s="17">
        <f>SUMIFS(Source_Evolution!$Q$3:$Q$731,Source_Evolution!$A$3:$A$731,$A94)</f>
        <v/>
      </c>
      <c r="R94" s="17">
        <f>SUM(E94:Q94)</f>
        <v/>
      </c>
      <c r="S94" s="17">
        <f>Q94</f>
        <v/>
      </c>
      <c r="T94">
        <f>IF(B94="Software",1,0)</f>
        <v/>
      </c>
      <c r="U94" s="18">
        <f>SUMPRODUCT((Source_Evolution!$A$3:$A$731=$A94)*(Source_Evolution!$E$3:$E$731&gt;0))</f>
        <v/>
      </c>
      <c r="V94" s="18">
        <f>SUMPRODUCT((Source_Evolution!$A$3:$A$731=$A94)*(Source_Evolution!$F$3:$F$731&gt;0))</f>
        <v/>
      </c>
      <c r="W94" s="18">
        <f>SUMPRODUCT((Source_Evolution!$A$3:$A$731=$A94)*(Source_Evolution!$G$3:$G$731&gt;0))</f>
        <v/>
      </c>
      <c r="X94" s="18">
        <f>SUMPRODUCT((Source_Evolution!$A$3:$A$731=$A94)*(Source_Evolution!$H$3:$H$731&gt;0))</f>
        <v/>
      </c>
      <c r="Y94" s="18">
        <f>SUMPRODUCT((Source_Evolution!$A$3:$A$731=$A94)*(Source_Evolution!$I$3:$I$731&gt;0))</f>
        <v/>
      </c>
      <c r="Z94" s="18">
        <f>SUMPRODUCT((Source_Evolution!$A$3:$A$731=$A94)*(Source_Evolution!$J$3:$J$731&gt;0))</f>
        <v/>
      </c>
      <c r="AA94" s="18">
        <f>SUMPRODUCT((Source_Evolution!$A$3:$A$731=$A94)*(Source_Evolution!$K$3:$K$731&gt;0))</f>
        <v/>
      </c>
      <c r="AB94" s="18">
        <f>SUMPRODUCT((Source_Evolution!$A$3:$A$731=$A94)*(Source_Evolution!$L$3:$L$731&gt;0))</f>
        <v/>
      </c>
      <c r="AC94" s="18">
        <f>SUMPRODUCT((Source_Evolution!$A$3:$A$731=$A94)*(Source_Evolution!$M$3:$M$731&gt;0))</f>
        <v/>
      </c>
      <c r="AD94" s="18">
        <f>SUMPRODUCT((Source_Evolution!$A$3:$A$731=$A94)*(Source_Evolution!$N$3:$N$731&gt;0))</f>
        <v/>
      </c>
      <c r="AE94" s="18">
        <f>SUMPRODUCT((Source_Evolution!$A$3:$A$731=$A94)*(Source_Evolution!$O$3:$O$731&gt;0))</f>
        <v/>
      </c>
      <c r="AF94" s="18">
        <f>SUMPRODUCT((Source_Evolution!$A$3:$A$731=$A94)*(Source_Evolution!$P$3:$P$731&gt;0))</f>
        <v/>
      </c>
      <c r="AG94" s="18">
        <f>SUMPRODUCT((Source_Evolution!$A$3:$A$731=$A94)*(Source_Evolution!$Q$3:$Q$731&gt;0))</f>
        <v/>
      </c>
    </row>
    <row r="95">
      <c r="A95" t="inlineStr">
        <is>
          <t>Company 182</t>
        </is>
      </c>
      <c r="B95" t="inlineStr">
        <is>
          <t>Operations</t>
        </is>
      </c>
      <c r="C95" t="inlineStr">
        <is>
          <t>Germany</t>
        </is>
      </c>
      <c r="D95" t="n">
        <v>2026</v>
      </c>
      <c r="E95" s="17">
        <f>SUMIFS(Source_Evolution!$E$3:$E$731,Source_Evolution!$A$3:$A$731,$A95)</f>
        <v/>
      </c>
      <c r="F95" s="17">
        <f>SUMIFS(Source_Evolution!$F$3:$F$731,Source_Evolution!$A$3:$A$731,$A95)</f>
        <v/>
      </c>
      <c r="G95" s="17">
        <f>SUMIFS(Source_Evolution!$G$3:$G$731,Source_Evolution!$A$3:$A$731,$A95)</f>
        <v/>
      </c>
      <c r="H95" s="17">
        <f>SUMIFS(Source_Evolution!$H$3:$H$731,Source_Evolution!$A$3:$A$731,$A95)</f>
        <v/>
      </c>
      <c r="I95" s="17">
        <f>SUMIFS(Source_Evolution!$I$3:$I$731,Source_Evolution!$A$3:$A$731,$A95)</f>
        <v/>
      </c>
      <c r="J95" s="17">
        <f>SUMIFS(Source_Evolution!$J$3:$J$731,Source_Evolution!$A$3:$A$731,$A95)</f>
        <v/>
      </c>
      <c r="K95" s="17">
        <f>SUMIFS(Source_Evolution!$K$3:$K$731,Source_Evolution!$A$3:$A$731,$A95)</f>
        <v/>
      </c>
      <c r="L95" s="17">
        <f>SUMIFS(Source_Evolution!$L$3:$L$731,Source_Evolution!$A$3:$A$731,$A95)</f>
        <v/>
      </c>
      <c r="M95" s="17">
        <f>SUMIFS(Source_Evolution!$M$3:$M$731,Source_Evolution!$A$3:$A$731,$A95)</f>
        <v/>
      </c>
      <c r="N95" s="17">
        <f>SUMIFS(Source_Evolution!$N$3:$N$731,Source_Evolution!$A$3:$A$731,$A95)</f>
        <v/>
      </c>
      <c r="O95" s="17">
        <f>SUMIFS(Source_Evolution!$O$3:$O$731,Source_Evolution!$A$3:$A$731,$A95)</f>
        <v/>
      </c>
      <c r="P95" s="17">
        <f>SUMIFS(Source_Evolution!$P$3:$P$731,Source_Evolution!$A$3:$A$731,$A95)</f>
        <v/>
      </c>
      <c r="Q95" s="17">
        <f>SUMIFS(Source_Evolution!$Q$3:$Q$731,Source_Evolution!$A$3:$A$731,$A95)</f>
        <v/>
      </c>
      <c r="R95" s="17">
        <f>SUM(E95:Q95)</f>
        <v/>
      </c>
      <c r="S95" s="17">
        <f>Q95</f>
        <v/>
      </c>
      <c r="T95">
        <f>IF(B95="Software",1,0)</f>
        <v/>
      </c>
      <c r="U95" s="18">
        <f>SUMPRODUCT((Source_Evolution!$A$3:$A$731=$A95)*(Source_Evolution!$E$3:$E$731&gt;0))</f>
        <v/>
      </c>
      <c r="V95" s="18">
        <f>SUMPRODUCT((Source_Evolution!$A$3:$A$731=$A95)*(Source_Evolution!$F$3:$F$731&gt;0))</f>
        <v/>
      </c>
      <c r="W95" s="18">
        <f>SUMPRODUCT((Source_Evolution!$A$3:$A$731=$A95)*(Source_Evolution!$G$3:$G$731&gt;0))</f>
        <v/>
      </c>
      <c r="X95" s="18">
        <f>SUMPRODUCT((Source_Evolution!$A$3:$A$731=$A95)*(Source_Evolution!$H$3:$H$731&gt;0))</f>
        <v/>
      </c>
      <c r="Y95" s="18">
        <f>SUMPRODUCT((Source_Evolution!$A$3:$A$731=$A95)*(Source_Evolution!$I$3:$I$731&gt;0))</f>
        <v/>
      </c>
      <c r="Z95" s="18">
        <f>SUMPRODUCT((Source_Evolution!$A$3:$A$731=$A95)*(Source_Evolution!$J$3:$J$731&gt;0))</f>
        <v/>
      </c>
      <c r="AA95" s="18">
        <f>SUMPRODUCT((Source_Evolution!$A$3:$A$731=$A95)*(Source_Evolution!$K$3:$K$731&gt;0))</f>
        <v/>
      </c>
      <c r="AB95" s="18">
        <f>SUMPRODUCT((Source_Evolution!$A$3:$A$731=$A95)*(Source_Evolution!$L$3:$L$731&gt;0))</f>
        <v/>
      </c>
      <c r="AC95" s="18">
        <f>SUMPRODUCT((Source_Evolution!$A$3:$A$731=$A95)*(Source_Evolution!$M$3:$M$731&gt;0))</f>
        <v/>
      </c>
      <c r="AD95" s="18">
        <f>SUMPRODUCT((Source_Evolution!$A$3:$A$731=$A95)*(Source_Evolution!$N$3:$N$731&gt;0))</f>
        <v/>
      </c>
      <c r="AE95" s="18">
        <f>SUMPRODUCT((Source_Evolution!$A$3:$A$731=$A95)*(Source_Evolution!$O$3:$O$731&gt;0))</f>
        <v/>
      </c>
      <c r="AF95" s="18">
        <f>SUMPRODUCT((Source_Evolution!$A$3:$A$731=$A95)*(Source_Evolution!$P$3:$P$731&gt;0))</f>
        <v/>
      </c>
      <c r="AG95" s="18">
        <f>SUMPRODUCT((Source_Evolution!$A$3:$A$731=$A95)*(Source_Evolution!$Q$3:$Q$731&gt;0))</f>
        <v/>
      </c>
    </row>
    <row r="96">
      <c r="A96" t="inlineStr">
        <is>
          <t>Company 183</t>
        </is>
      </c>
      <c r="B96" t="inlineStr">
        <is>
          <t>Software</t>
        </is>
      </c>
      <c r="C96" t="inlineStr">
        <is>
          <t>Germany</t>
        </is>
      </c>
      <c r="D96" t="n">
        <v>2014</v>
      </c>
      <c r="E96" s="17">
        <f>SUMIFS(Source_Evolution!$E$3:$E$731,Source_Evolution!$A$3:$A$731,$A96)</f>
        <v/>
      </c>
      <c r="F96" s="17">
        <f>SUMIFS(Source_Evolution!$F$3:$F$731,Source_Evolution!$A$3:$A$731,$A96)</f>
        <v/>
      </c>
      <c r="G96" s="17">
        <f>SUMIFS(Source_Evolution!$G$3:$G$731,Source_Evolution!$A$3:$A$731,$A96)</f>
        <v/>
      </c>
      <c r="H96" s="17">
        <f>SUMIFS(Source_Evolution!$H$3:$H$731,Source_Evolution!$A$3:$A$731,$A96)</f>
        <v/>
      </c>
      <c r="I96" s="17">
        <f>SUMIFS(Source_Evolution!$I$3:$I$731,Source_Evolution!$A$3:$A$731,$A96)</f>
        <v/>
      </c>
      <c r="J96" s="17">
        <f>SUMIFS(Source_Evolution!$J$3:$J$731,Source_Evolution!$A$3:$A$731,$A96)</f>
        <v/>
      </c>
      <c r="K96" s="17">
        <f>SUMIFS(Source_Evolution!$K$3:$K$731,Source_Evolution!$A$3:$A$731,$A96)</f>
        <v/>
      </c>
      <c r="L96" s="17">
        <f>SUMIFS(Source_Evolution!$L$3:$L$731,Source_Evolution!$A$3:$A$731,$A96)</f>
        <v/>
      </c>
      <c r="M96" s="17">
        <f>SUMIFS(Source_Evolution!$M$3:$M$731,Source_Evolution!$A$3:$A$731,$A96)</f>
        <v/>
      </c>
      <c r="N96" s="17">
        <f>SUMIFS(Source_Evolution!$N$3:$N$731,Source_Evolution!$A$3:$A$731,$A96)</f>
        <v/>
      </c>
      <c r="O96" s="17">
        <f>SUMIFS(Source_Evolution!$O$3:$O$731,Source_Evolution!$A$3:$A$731,$A96)</f>
        <v/>
      </c>
      <c r="P96" s="17">
        <f>SUMIFS(Source_Evolution!$P$3:$P$731,Source_Evolution!$A$3:$A$731,$A96)</f>
        <v/>
      </c>
      <c r="Q96" s="17">
        <f>SUMIFS(Source_Evolution!$Q$3:$Q$731,Source_Evolution!$A$3:$A$731,$A96)</f>
        <v/>
      </c>
      <c r="R96" s="17">
        <f>SUM(E96:Q96)</f>
        <v/>
      </c>
      <c r="S96" s="17">
        <f>Q96</f>
        <v/>
      </c>
      <c r="T96">
        <f>IF(B96="Software",1,0)</f>
        <v/>
      </c>
      <c r="U96" s="18">
        <f>SUMPRODUCT((Source_Evolution!$A$3:$A$731=$A96)*(Source_Evolution!$E$3:$E$731&gt;0))</f>
        <v/>
      </c>
      <c r="V96" s="18">
        <f>SUMPRODUCT((Source_Evolution!$A$3:$A$731=$A96)*(Source_Evolution!$F$3:$F$731&gt;0))</f>
        <v/>
      </c>
      <c r="W96" s="18">
        <f>SUMPRODUCT((Source_Evolution!$A$3:$A$731=$A96)*(Source_Evolution!$G$3:$G$731&gt;0))</f>
        <v/>
      </c>
      <c r="X96" s="18">
        <f>SUMPRODUCT((Source_Evolution!$A$3:$A$731=$A96)*(Source_Evolution!$H$3:$H$731&gt;0))</f>
        <v/>
      </c>
      <c r="Y96" s="18">
        <f>SUMPRODUCT((Source_Evolution!$A$3:$A$731=$A96)*(Source_Evolution!$I$3:$I$731&gt;0))</f>
        <v/>
      </c>
      <c r="Z96" s="18">
        <f>SUMPRODUCT((Source_Evolution!$A$3:$A$731=$A96)*(Source_Evolution!$J$3:$J$731&gt;0))</f>
        <v/>
      </c>
      <c r="AA96" s="18">
        <f>SUMPRODUCT((Source_Evolution!$A$3:$A$731=$A96)*(Source_Evolution!$K$3:$K$731&gt;0))</f>
        <v/>
      </c>
      <c r="AB96" s="18">
        <f>SUMPRODUCT((Source_Evolution!$A$3:$A$731=$A96)*(Source_Evolution!$L$3:$L$731&gt;0))</f>
        <v/>
      </c>
      <c r="AC96" s="18">
        <f>SUMPRODUCT((Source_Evolution!$A$3:$A$731=$A96)*(Source_Evolution!$M$3:$M$731&gt;0))</f>
        <v/>
      </c>
      <c r="AD96" s="18">
        <f>SUMPRODUCT((Source_Evolution!$A$3:$A$731=$A96)*(Source_Evolution!$N$3:$N$731&gt;0))</f>
        <v/>
      </c>
      <c r="AE96" s="18">
        <f>SUMPRODUCT((Source_Evolution!$A$3:$A$731=$A96)*(Source_Evolution!$O$3:$O$731&gt;0))</f>
        <v/>
      </c>
      <c r="AF96" s="18">
        <f>SUMPRODUCT((Source_Evolution!$A$3:$A$731=$A96)*(Source_Evolution!$P$3:$P$731&gt;0))</f>
        <v/>
      </c>
      <c r="AG96" s="18">
        <f>SUMPRODUCT((Source_Evolution!$A$3:$A$731=$A96)*(Source_Evolution!$Q$3:$Q$731&gt;0))</f>
        <v/>
      </c>
    </row>
    <row r="97">
      <c r="A97" t="inlineStr">
        <is>
          <t>Company 184</t>
        </is>
      </c>
      <c r="B97" t="inlineStr">
        <is>
          <t>Software</t>
        </is>
      </c>
      <c r="C97" t="inlineStr">
        <is>
          <t>Germany</t>
        </is>
      </c>
      <c r="D97" t="n">
        <v>2014</v>
      </c>
      <c r="E97" s="17">
        <f>SUMIFS(Source_Evolution!$E$3:$E$731,Source_Evolution!$A$3:$A$731,$A97)</f>
        <v/>
      </c>
      <c r="F97" s="17">
        <f>SUMIFS(Source_Evolution!$F$3:$F$731,Source_Evolution!$A$3:$A$731,$A97)</f>
        <v/>
      </c>
      <c r="G97" s="17">
        <f>SUMIFS(Source_Evolution!$G$3:$G$731,Source_Evolution!$A$3:$A$731,$A97)</f>
        <v/>
      </c>
      <c r="H97" s="17">
        <f>SUMIFS(Source_Evolution!$H$3:$H$731,Source_Evolution!$A$3:$A$731,$A97)</f>
        <v/>
      </c>
      <c r="I97" s="17">
        <f>SUMIFS(Source_Evolution!$I$3:$I$731,Source_Evolution!$A$3:$A$731,$A97)</f>
        <v/>
      </c>
      <c r="J97" s="17">
        <f>SUMIFS(Source_Evolution!$J$3:$J$731,Source_Evolution!$A$3:$A$731,$A97)</f>
        <v/>
      </c>
      <c r="K97" s="17">
        <f>SUMIFS(Source_Evolution!$K$3:$K$731,Source_Evolution!$A$3:$A$731,$A97)</f>
        <v/>
      </c>
      <c r="L97" s="17">
        <f>SUMIFS(Source_Evolution!$L$3:$L$731,Source_Evolution!$A$3:$A$731,$A97)</f>
        <v/>
      </c>
      <c r="M97" s="17">
        <f>SUMIFS(Source_Evolution!$M$3:$M$731,Source_Evolution!$A$3:$A$731,$A97)</f>
        <v/>
      </c>
      <c r="N97" s="17">
        <f>SUMIFS(Source_Evolution!$N$3:$N$731,Source_Evolution!$A$3:$A$731,$A97)</f>
        <v/>
      </c>
      <c r="O97" s="17">
        <f>SUMIFS(Source_Evolution!$O$3:$O$731,Source_Evolution!$A$3:$A$731,$A97)</f>
        <v/>
      </c>
      <c r="P97" s="17">
        <f>SUMIFS(Source_Evolution!$P$3:$P$731,Source_Evolution!$A$3:$A$731,$A97)</f>
        <v/>
      </c>
      <c r="Q97" s="17">
        <f>SUMIFS(Source_Evolution!$Q$3:$Q$731,Source_Evolution!$A$3:$A$731,$A97)</f>
        <v/>
      </c>
      <c r="R97" s="17">
        <f>SUM(E97:Q97)</f>
        <v/>
      </c>
      <c r="S97" s="17">
        <f>Q97</f>
        <v/>
      </c>
      <c r="T97">
        <f>IF(B97="Software",1,0)</f>
        <v/>
      </c>
      <c r="U97" s="18">
        <f>SUMPRODUCT((Source_Evolution!$A$3:$A$731=$A97)*(Source_Evolution!$E$3:$E$731&gt;0))</f>
        <v/>
      </c>
      <c r="V97" s="18">
        <f>SUMPRODUCT((Source_Evolution!$A$3:$A$731=$A97)*(Source_Evolution!$F$3:$F$731&gt;0))</f>
        <v/>
      </c>
      <c r="W97" s="18">
        <f>SUMPRODUCT((Source_Evolution!$A$3:$A$731=$A97)*(Source_Evolution!$G$3:$G$731&gt;0))</f>
        <v/>
      </c>
      <c r="X97" s="18">
        <f>SUMPRODUCT((Source_Evolution!$A$3:$A$731=$A97)*(Source_Evolution!$H$3:$H$731&gt;0))</f>
        <v/>
      </c>
      <c r="Y97" s="18">
        <f>SUMPRODUCT((Source_Evolution!$A$3:$A$731=$A97)*(Source_Evolution!$I$3:$I$731&gt;0))</f>
        <v/>
      </c>
      <c r="Z97" s="18">
        <f>SUMPRODUCT((Source_Evolution!$A$3:$A$731=$A97)*(Source_Evolution!$J$3:$J$731&gt;0))</f>
        <v/>
      </c>
      <c r="AA97" s="18">
        <f>SUMPRODUCT((Source_Evolution!$A$3:$A$731=$A97)*(Source_Evolution!$K$3:$K$731&gt;0))</f>
        <v/>
      </c>
      <c r="AB97" s="18">
        <f>SUMPRODUCT((Source_Evolution!$A$3:$A$731=$A97)*(Source_Evolution!$L$3:$L$731&gt;0))</f>
        <v/>
      </c>
      <c r="AC97" s="18">
        <f>SUMPRODUCT((Source_Evolution!$A$3:$A$731=$A97)*(Source_Evolution!$M$3:$M$731&gt;0))</f>
        <v/>
      </c>
      <c r="AD97" s="18">
        <f>SUMPRODUCT((Source_Evolution!$A$3:$A$731=$A97)*(Source_Evolution!$N$3:$N$731&gt;0))</f>
        <v/>
      </c>
      <c r="AE97" s="18">
        <f>SUMPRODUCT((Source_Evolution!$A$3:$A$731=$A97)*(Source_Evolution!$O$3:$O$731&gt;0))</f>
        <v/>
      </c>
      <c r="AF97" s="18">
        <f>SUMPRODUCT((Source_Evolution!$A$3:$A$731=$A97)*(Source_Evolution!$P$3:$P$731&gt;0))</f>
        <v/>
      </c>
      <c r="AG97" s="18">
        <f>SUMPRODUCT((Source_Evolution!$A$3:$A$731=$A97)*(Source_Evolution!$Q$3:$Q$731&gt;0))</f>
        <v/>
      </c>
    </row>
    <row r="98">
      <c r="A98" t="inlineStr">
        <is>
          <t>Company 185</t>
        </is>
      </c>
      <c r="B98" t="inlineStr">
        <is>
          <t>Operations</t>
        </is>
      </c>
      <c r="C98" t="inlineStr">
        <is>
          <t>Norway</t>
        </is>
      </c>
      <c r="D98" t="n">
        <v>2014</v>
      </c>
      <c r="E98" s="17">
        <f>SUMIFS(Source_Evolution!$E$3:$E$731,Source_Evolution!$A$3:$A$731,$A98)</f>
        <v/>
      </c>
      <c r="F98" s="17">
        <f>SUMIFS(Source_Evolution!$F$3:$F$731,Source_Evolution!$A$3:$A$731,$A98)</f>
        <v/>
      </c>
      <c r="G98" s="17">
        <f>SUMIFS(Source_Evolution!$G$3:$G$731,Source_Evolution!$A$3:$A$731,$A98)</f>
        <v/>
      </c>
      <c r="H98" s="17">
        <f>SUMIFS(Source_Evolution!$H$3:$H$731,Source_Evolution!$A$3:$A$731,$A98)</f>
        <v/>
      </c>
      <c r="I98" s="17">
        <f>SUMIFS(Source_Evolution!$I$3:$I$731,Source_Evolution!$A$3:$A$731,$A98)</f>
        <v/>
      </c>
      <c r="J98" s="17">
        <f>SUMIFS(Source_Evolution!$J$3:$J$731,Source_Evolution!$A$3:$A$731,$A98)</f>
        <v/>
      </c>
      <c r="K98" s="17">
        <f>SUMIFS(Source_Evolution!$K$3:$K$731,Source_Evolution!$A$3:$A$731,$A98)</f>
        <v/>
      </c>
      <c r="L98" s="17">
        <f>SUMIFS(Source_Evolution!$L$3:$L$731,Source_Evolution!$A$3:$A$731,$A98)</f>
        <v/>
      </c>
      <c r="M98" s="17">
        <f>SUMIFS(Source_Evolution!$M$3:$M$731,Source_Evolution!$A$3:$A$731,$A98)</f>
        <v/>
      </c>
      <c r="N98" s="17">
        <f>SUMIFS(Source_Evolution!$N$3:$N$731,Source_Evolution!$A$3:$A$731,$A98)</f>
        <v/>
      </c>
      <c r="O98" s="17">
        <f>SUMIFS(Source_Evolution!$O$3:$O$731,Source_Evolution!$A$3:$A$731,$A98)</f>
        <v/>
      </c>
      <c r="P98" s="17">
        <f>SUMIFS(Source_Evolution!$P$3:$P$731,Source_Evolution!$A$3:$A$731,$A98)</f>
        <v/>
      </c>
      <c r="Q98" s="17">
        <f>SUMIFS(Source_Evolution!$Q$3:$Q$731,Source_Evolution!$A$3:$A$731,$A98)</f>
        <v/>
      </c>
      <c r="R98" s="17">
        <f>SUM(E98:Q98)</f>
        <v/>
      </c>
      <c r="S98" s="17">
        <f>Q98</f>
        <v/>
      </c>
      <c r="T98">
        <f>IF(B98="Software",1,0)</f>
        <v/>
      </c>
      <c r="U98" s="18">
        <f>SUMPRODUCT((Source_Evolution!$A$3:$A$731=$A98)*(Source_Evolution!$E$3:$E$731&gt;0))</f>
        <v/>
      </c>
      <c r="V98" s="18">
        <f>SUMPRODUCT((Source_Evolution!$A$3:$A$731=$A98)*(Source_Evolution!$F$3:$F$731&gt;0))</f>
        <v/>
      </c>
      <c r="W98" s="18">
        <f>SUMPRODUCT((Source_Evolution!$A$3:$A$731=$A98)*(Source_Evolution!$G$3:$G$731&gt;0))</f>
        <v/>
      </c>
      <c r="X98" s="18">
        <f>SUMPRODUCT((Source_Evolution!$A$3:$A$731=$A98)*(Source_Evolution!$H$3:$H$731&gt;0))</f>
        <v/>
      </c>
      <c r="Y98" s="18">
        <f>SUMPRODUCT((Source_Evolution!$A$3:$A$731=$A98)*(Source_Evolution!$I$3:$I$731&gt;0))</f>
        <v/>
      </c>
      <c r="Z98" s="18">
        <f>SUMPRODUCT((Source_Evolution!$A$3:$A$731=$A98)*(Source_Evolution!$J$3:$J$731&gt;0))</f>
        <v/>
      </c>
      <c r="AA98" s="18">
        <f>SUMPRODUCT((Source_Evolution!$A$3:$A$731=$A98)*(Source_Evolution!$K$3:$K$731&gt;0))</f>
        <v/>
      </c>
      <c r="AB98" s="18">
        <f>SUMPRODUCT((Source_Evolution!$A$3:$A$731=$A98)*(Source_Evolution!$L$3:$L$731&gt;0))</f>
        <v/>
      </c>
      <c r="AC98" s="18">
        <f>SUMPRODUCT((Source_Evolution!$A$3:$A$731=$A98)*(Source_Evolution!$M$3:$M$731&gt;0))</f>
        <v/>
      </c>
      <c r="AD98" s="18">
        <f>SUMPRODUCT((Source_Evolution!$A$3:$A$731=$A98)*(Source_Evolution!$N$3:$N$731&gt;0))</f>
        <v/>
      </c>
      <c r="AE98" s="18">
        <f>SUMPRODUCT((Source_Evolution!$A$3:$A$731=$A98)*(Source_Evolution!$O$3:$O$731&gt;0))</f>
        <v/>
      </c>
      <c r="AF98" s="18">
        <f>SUMPRODUCT((Source_Evolution!$A$3:$A$731=$A98)*(Source_Evolution!$P$3:$P$731&gt;0))</f>
        <v/>
      </c>
      <c r="AG98" s="18">
        <f>SUMPRODUCT((Source_Evolution!$A$3:$A$731=$A98)*(Source_Evolution!$Q$3:$Q$731&gt;0))</f>
        <v/>
      </c>
    </row>
    <row r="99">
      <c r="A99" t="inlineStr">
        <is>
          <t>Company 186</t>
        </is>
      </c>
      <c r="B99" t="inlineStr">
        <is>
          <t>Software</t>
        </is>
      </c>
      <c r="C99" t="inlineStr">
        <is>
          <t>UK</t>
        </is>
      </c>
      <c r="D99" t="n">
        <v>2014</v>
      </c>
      <c r="E99" s="17">
        <f>SUMIFS(Source_Evolution!$E$3:$E$731,Source_Evolution!$A$3:$A$731,$A99)</f>
        <v/>
      </c>
      <c r="F99" s="17">
        <f>SUMIFS(Source_Evolution!$F$3:$F$731,Source_Evolution!$A$3:$A$731,$A99)</f>
        <v/>
      </c>
      <c r="G99" s="17">
        <f>SUMIFS(Source_Evolution!$G$3:$G$731,Source_Evolution!$A$3:$A$731,$A99)</f>
        <v/>
      </c>
      <c r="H99" s="17">
        <f>SUMIFS(Source_Evolution!$H$3:$H$731,Source_Evolution!$A$3:$A$731,$A99)</f>
        <v/>
      </c>
      <c r="I99" s="17">
        <f>SUMIFS(Source_Evolution!$I$3:$I$731,Source_Evolution!$A$3:$A$731,$A99)</f>
        <v/>
      </c>
      <c r="J99" s="17">
        <f>SUMIFS(Source_Evolution!$J$3:$J$731,Source_Evolution!$A$3:$A$731,$A99)</f>
        <v/>
      </c>
      <c r="K99" s="17">
        <f>SUMIFS(Source_Evolution!$K$3:$K$731,Source_Evolution!$A$3:$A$731,$A99)</f>
        <v/>
      </c>
      <c r="L99" s="17">
        <f>SUMIFS(Source_Evolution!$L$3:$L$731,Source_Evolution!$A$3:$A$731,$A99)</f>
        <v/>
      </c>
      <c r="M99" s="17">
        <f>SUMIFS(Source_Evolution!$M$3:$M$731,Source_Evolution!$A$3:$A$731,$A99)</f>
        <v/>
      </c>
      <c r="N99" s="17">
        <f>SUMIFS(Source_Evolution!$N$3:$N$731,Source_Evolution!$A$3:$A$731,$A99)</f>
        <v/>
      </c>
      <c r="O99" s="17">
        <f>SUMIFS(Source_Evolution!$O$3:$O$731,Source_Evolution!$A$3:$A$731,$A99)</f>
        <v/>
      </c>
      <c r="P99" s="17">
        <f>SUMIFS(Source_Evolution!$P$3:$P$731,Source_Evolution!$A$3:$A$731,$A99)</f>
        <v/>
      </c>
      <c r="Q99" s="17">
        <f>SUMIFS(Source_Evolution!$Q$3:$Q$731,Source_Evolution!$A$3:$A$731,$A99)</f>
        <v/>
      </c>
      <c r="R99" s="17">
        <f>SUM(E99:Q99)</f>
        <v/>
      </c>
      <c r="S99" s="17">
        <f>Q99</f>
        <v/>
      </c>
      <c r="T99">
        <f>IF(B99="Software",1,0)</f>
        <v/>
      </c>
      <c r="U99" s="18">
        <f>SUMPRODUCT((Source_Evolution!$A$3:$A$731=$A99)*(Source_Evolution!$E$3:$E$731&gt;0))</f>
        <v/>
      </c>
      <c r="V99" s="18">
        <f>SUMPRODUCT((Source_Evolution!$A$3:$A$731=$A99)*(Source_Evolution!$F$3:$F$731&gt;0))</f>
        <v/>
      </c>
      <c r="W99" s="18">
        <f>SUMPRODUCT((Source_Evolution!$A$3:$A$731=$A99)*(Source_Evolution!$G$3:$G$731&gt;0))</f>
        <v/>
      </c>
      <c r="X99" s="18">
        <f>SUMPRODUCT((Source_Evolution!$A$3:$A$731=$A99)*(Source_Evolution!$H$3:$H$731&gt;0))</f>
        <v/>
      </c>
      <c r="Y99" s="18">
        <f>SUMPRODUCT((Source_Evolution!$A$3:$A$731=$A99)*(Source_Evolution!$I$3:$I$731&gt;0))</f>
        <v/>
      </c>
      <c r="Z99" s="18">
        <f>SUMPRODUCT((Source_Evolution!$A$3:$A$731=$A99)*(Source_Evolution!$J$3:$J$731&gt;0))</f>
        <v/>
      </c>
      <c r="AA99" s="18">
        <f>SUMPRODUCT((Source_Evolution!$A$3:$A$731=$A99)*(Source_Evolution!$K$3:$K$731&gt;0))</f>
        <v/>
      </c>
      <c r="AB99" s="18">
        <f>SUMPRODUCT((Source_Evolution!$A$3:$A$731=$A99)*(Source_Evolution!$L$3:$L$731&gt;0))</f>
        <v/>
      </c>
      <c r="AC99" s="18">
        <f>SUMPRODUCT((Source_Evolution!$A$3:$A$731=$A99)*(Source_Evolution!$M$3:$M$731&gt;0))</f>
        <v/>
      </c>
      <c r="AD99" s="18">
        <f>SUMPRODUCT((Source_Evolution!$A$3:$A$731=$A99)*(Source_Evolution!$N$3:$N$731&gt;0))</f>
        <v/>
      </c>
      <c r="AE99" s="18">
        <f>SUMPRODUCT((Source_Evolution!$A$3:$A$731=$A99)*(Source_Evolution!$O$3:$O$731&gt;0))</f>
        <v/>
      </c>
      <c r="AF99" s="18">
        <f>SUMPRODUCT((Source_Evolution!$A$3:$A$731=$A99)*(Source_Evolution!$P$3:$P$731&gt;0))</f>
        <v/>
      </c>
      <c r="AG99" s="18">
        <f>SUMPRODUCT((Source_Evolution!$A$3:$A$731=$A99)*(Source_Evolution!$Q$3:$Q$731&gt;0))</f>
        <v/>
      </c>
    </row>
    <row r="100">
      <c r="A100" t="inlineStr">
        <is>
          <t>Company 187</t>
        </is>
      </c>
      <c r="B100" t="inlineStr">
        <is>
          <t>Operations</t>
        </is>
      </c>
      <c r="C100" t="inlineStr">
        <is>
          <t>UK</t>
        </is>
      </c>
      <c r="D100" t="n">
        <v>2014</v>
      </c>
      <c r="E100" s="17">
        <f>SUMIFS(Source_Evolution!$E$3:$E$731,Source_Evolution!$A$3:$A$731,$A100)</f>
        <v/>
      </c>
      <c r="F100" s="17">
        <f>SUMIFS(Source_Evolution!$F$3:$F$731,Source_Evolution!$A$3:$A$731,$A100)</f>
        <v/>
      </c>
      <c r="G100" s="17">
        <f>SUMIFS(Source_Evolution!$G$3:$G$731,Source_Evolution!$A$3:$A$731,$A100)</f>
        <v/>
      </c>
      <c r="H100" s="17">
        <f>SUMIFS(Source_Evolution!$H$3:$H$731,Source_Evolution!$A$3:$A$731,$A100)</f>
        <v/>
      </c>
      <c r="I100" s="17">
        <f>SUMIFS(Source_Evolution!$I$3:$I$731,Source_Evolution!$A$3:$A$731,$A100)</f>
        <v/>
      </c>
      <c r="J100" s="17">
        <f>SUMIFS(Source_Evolution!$J$3:$J$731,Source_Evolution!$A$3:$A$731,$A100)</f>
        <v/>
      </c>
      <c r="K100" s="17">
        <f>SUMIFS(Source_Evolution!$K$3:$K$731,Source_Evolution!$A$3:$A$731,$A100)</f>
        <v/>
      </c>
      <c r="L100" s="17">
        <f>SUMIFS(Source_Evolution!$L$3:$L$731,Source_Evolution!$A$3:$A$731,$A100)</f>
        <v/>
      </c>
      <c r="M100" s="17">
        <f>SUMIFS(Source_Evolution!$M$3:$M$731,Source_Evolution!$A$3:$A$731,$A100)</f>
        <v/>
      </c>
      <c r="N100" s="17">
        <f>SUMIFS(Source_Evolution!$N$3:$N$731,Source_Evolution!$A$3:$A$731,$A100)</f>
        <v/>
      </c>
      <c r="O100" s="17">
        <f>SUMIFS(Source_Evolution!$O$3:$O$731,Source_Evolution!$A$3:$A$731,$A100)</f>
        <v/>
      </c>
      <c r="P100" s="17">
        <f>SUMIFS(Source_Evolution!$P$3:$P$731,Source_Evolution!$A$3:$A$731,$A100)</f>
        <v/>
      </c>
      <c r="Q100" s="17">
        <f>SUMIFS(Source_Evolution!$Q$3:$Q$731,Source_Evolution!$A$3:$A$731,$A100)</f>
        <v/>
      </c>
      <c r="R100" s="17">
        <f>SUM(E100:Q100)</f>
        <v/>
      </c>
      <c r="S100" s="17">
        <f>Q100</f>
        <v/>
      </c>
      <c r="T100">
        <f>IF(B100="Software",1,0)</f>
        <v/>
      </c>
      <c r="U100" s="18">
        <f>SUMPRODUCT((Source_Evolution!$A$3:$A$731=$A100)*(Source_Evolution!$E$3:$E$731&gt;0))</f>
        <v/>
      </c>
      <c r="V100" s="18">
        <f>SUMPRODUCT((Source_Evolution!$A$3:$A$731=$A100)*(Source_Evolution!$F$3:$F$731&gt;0))</f>
        <v/>
      </c>
      <c r="W100" s="18">
        <f>SUMPRODUCT((Source_Evolution!$A$3:$A$731=$A100)*(Source_Evolution!$G$3:$G$731&gt;0))</f>
        <v/>
      </c>
      <c r="X100" s="18">
        <f>SUMPRODUCT((Source_Evolution!$A$3:$A$731=$A100)*(Source_Evolution!$H$3:$H$731&gt;0))</f>
        <v/>
      </c>
      <c r="Y100" s="18">
        <f>SUMPRODUCT((Source_Evolution!$A$3:$A$731=$A100)*(Source_Evolution!$I$3:$I$731&gt;0))</f>
        <v/>
      </c>
      <c r="Z100" s="18">
        <f>SUMPRODUCT((Source_Evolution!$A$3:$A$731=$A100)*(Source_Evolution!$J$3:$J$731&gt;0))</f>
        <v/>
      </c>
      <c r="AA100" s="18">
        <f>SUMPRODUCT((Source_Evolution!$A$3:$A$731=$A100)*(Source_Evolution!$K$3:$K$731&gt;0))</f>
        <v/>
      </c>
      <c r="AB100" s="18">
        <f>SUMPRODUCT((Source_Evolution!$A$3:$A$731=$A100)*(Source_Evolution!$L$3:$L$731&gt;0))</f>
        <v/>
      </c>
      <c r="AC100" s="18">
        <f>SUMPRODUCT((Source_Evolution!$A$3:$A$731=$A100)*(Source_Evolution!$M$3:$M$731&gt;0))</f>
        <v/>
      </c>
      <c r="AD100" s="18">
        <f>SUMPRODUCT((Source_Evolution!$A$3:$A$731=$A100)*(Source_Evolution!$N$3:$N$731&gt;0))</f>
        <v/>
      </c>
      <c r="AE100" s="18">
        <f>SUMPRODUCT((Source_Evolution!$A$3:$A$731=$A100)*(Source_Evolution!$O$3:$O$731&gt;0))</f>
        <v/>
      </c>
      <c r="AF100" s="18">
        <f>SUMPRODUCT((Source_Evolution!$A$3:$A$731=$A100)*(Source_Evolution!$P$3:$P$731&gt;0))</f>
        <v/>
      </c>
      <c r="AG100" s="18">
        <f>SUMPRODUCT((Source_Evolution!$A$3:$A$731=$A100)*(Source_Evolution!$Q$3:$Q$731&gt;0))</f>
        <v/>
      </c>
    </row>
    <row r="101">
      <c r="A101" t="inlineStr">
        <is>
          <t>Company 188</t>
        </is>
      </c>
      <c r="B101" t="inlineStr">
        <is>
          <t>Software</t>
        </is>
      </c>
      <c r="C101" t="inlineStr">
        <is>
          <t>UK</t>
        </is>
      </c>
      <c r="D101" t="n">
        <v>2014</v>
      </c>
      <c r="E101" s="17">
        <f>SUMIFS(Source_Evolution!$E$3:$E$731,Source_Evolution!$A$3:$A$731,$A101)</f>
        <v/>
      </c>
      <c r="F101" s="17">
        <f>SUMIFS(Source_Evolution!$F$3:$F$731,Source_Evolution!$A$3:$A$731,$A101)</f>
        <v/>
      </c>
      <c r="G101" s="17">
        <f>SUMIFS(Source_Evolution!$G$3:$G$731,Source_Evolution!$A$3:$A$731,$A101)</f>
        <v/>
      </c>
      <c r="H101" s="17">
        <f>SUMIFS(Source_Evolution!$H$3:$H$731,Source_Evolution!$A$3:$A$731,$A101)</f>
        <v/>
      </c>
      <c r="I101" s="17">
        <f>SUMIFS(Source_Evolution!$I$3:$I$731,Source_Evolution!$A$3:$A$731,$A101)</f>
        <v/>
      </c>
      <c r="J101" s="17">
        <f>SUMIFS(Source_Evolution!$J$3:$J$731,Source_Evolution!$A$3:$A$731,$A101)</f>
        <v/>
      </c>
      <c r="K101" s="17">
        <f>SUMIFS(Source_Evolution!$K$3:$K$731,Source_Evolution!$A$3:$A$731,$A101)</f>
        <v/>
      </c>
      <c r="L101" s="17">
        <f>SUMIFS(Source_Evolution!$L$3:$L$731,Source_Evolution!$A$3:$A$731,$A101)</f>
        <v/>
      </c>
      <c r="M101" s="17">
        <f>SUMIFS(Source_Evolution!$M$3:$M$731,Source_Evolution!$A$3:$A$731,$A101)</f>
        <v/>
      </c>
      <c r="N101" s="17">
        <f>SUMIFS(Source_Evolution!$N$3:$N$731,Source_Evolution!$A$3:$A$731,$A101)</f>
        <v/>
      </c>
      <c r="O101" s="17">
        <f>SUMIFS(Source_Evolution!$O$3:$O$731,Source_Evolution!$A$3:$A$731,$A101)</f>
        <v/>
      </c>
      <c r="P101" s="17">
        <f>SUMIFS(Source_Evolution!$P$3:$P$731,Source_Evolution!$A$3:$A$731,$A101)</f>
        <v/>
      </c>
      <c r="Q101" s="17">
        <f>SUMIFS(Source_Evolution!$Q$3:$Q$731,Source_Evolution!$A$3:$A$731,$A101)</f>
        <v/>
      </c>
      <c r="R101" s="17">
        <f>SUM(E101:Q101)</f>
        <v/>
      </c>
      <c r="S101" s="17">
        <f>Q101</f>
        <v/>
      </c>
      <c r="T101">
        <f>IF(B101="Software",1,0)</f>
        <v/>
      </c>
      <c r="U101" s="18">
        <f>SUMPRODUCT((Source_Evolution!$A$3:$A$731=$A101)*(Source_Evolution!$E$3:$E$731&gt;0))</f>
        <v/>
      </c>
      <c r="V101" s="18">
        <f>SUMPRODUCT((Source_Evolution!$A$3:$A$731=$A101)*(Source_Evolution!$F$3:$F$731&gt;0))</f>
        <v/>
      </c>
      <c r="W101" s="18">
        <f>SUMPRODUCT((Source_Evolution!$A$3:$A$731=$A101)*(Source_Evolution!$G$3:$G$731&gt;0))</f>
        <v/>
      </c>
      <c r="X101" s="18">
        <f>SUMPRODUCT((Source_Evolution!$A$3:$A$731=$A101)*(Source_Evolution!$H$3:$H$731&gt;0))</f>
        <v/>
      </c>
      <c r="Y101" s="18">
        <f>SUMPRODUCT((Source_Evolution!$A$3:$A$731=$A101)*(Source_Evolution!$I$3:$I$731&gt;0))</f>
        <v/>
      </c>
      <c r="Z101" s="18">
        <f>SUMPRODUCT((Source_Evolution!$A$3:$A$731=$A101)*(Source_Evolution!$J$3:$J$731&gt;0))</f>
        <v/>
      </c>
      <c r="AA101" s="18">
        <f>SUMPRODUCT((Source_Evolution!$A$3:$A$731=$A101)*(Source_Evolution!$K$3:$K$731&gt;0))</f>
        <v/>
      </c>
      <c r="AB101" s="18">
        <f>SUMPRODUCT((Source_Evolution!$A$3:$A$731=$A101)*(Source_Evolution!$L$3:$L$731&gt;0))</f>
        <v/>
      </c>
      <c r="AC101" s="18">
        <f>SUMPRODUCT((Source_Evolution!$A$3:$A$731=$A101)*(Source_Evolution!$M$3:$M$731&gt;0))</f>
        <v/>
      </c>
      <c r="AD101" s="18">
        <f>SUMPRODUCT((Source_Evolution!$A$3:$A$731=$A101)*(Source_Evolution!$N$3:$N$731&gt;0))</f>
        <v/>
      </c>
      <c r="AE101" s="18">
        <f>SUMPRODUCT((Source_Evolution!$A$3:$A$731=$A101)*(Source_Evolution!$O$3:$O$731&gt;0))</f>
        <v/>
      </c>
      <c r="AF101" s="18">
        <f>SUMPRODUCT((Source_Evolution!$A$3:$A$731=$A101)*(Source_Evolution!$P$3:$P$731&gt;0))</f>
        <v/>
      </c>
      <c r="AG101" s="18">
        <f>SUMPRODUCT((Source_Evolution!$A$3:$A$731=$A101)*(Source_Evolution!$Q$3:$Q$731&gt;0))</f>
        <v/>
      </c>
    </row>
    <row r="102">
      <c r="A102" t="inlineStr">
        <is>
          <t>Company 189</t>
        </is>
      </c>
      <c r="B102" t="inlineStr">
        <is>
          <t>Operations</t>
        </is>
      </c>
      <c r="C102" t="inlineStr">
        <is>
          <t>Singapore</t>
        </is>
      </c>
      <c r="D102" t="n">
        <v>2014</v>
      </c>
      <c r="E102" s="17">
        <f>SUMIFS(Source_Evolution!$E$3:$E$731,Source_Evolution!$A$3:$A$731,$A102)</f>
        <v/>
      </c>
      <c r="F102" s="17">
        <f>SUMIFS(Source_Evolution!$F$3:$F$731,Source_Evolution!$A$3:$A$731,$A102)</f>
        <v/>
      </c>
      <c r="G102" s="17">
        <f>SUMIFS(Source_Evolution!$G$3:$G$731,Source_Evolution!$A$3:$A$731,$A102)</f>
        <v/>
      </c>
      <c r="H102" s="17">
        <f>SUMIFS(Source_Evolution!$H$3:$H$731,Source_Evolution!$A$3:$A$731,$A102)</f>
        <v/>
      </c>
      <c r="I102" s="17">
        <f>SUMIFS(Source_Evolution!$I$3:$I$731,Source_Evolution!$A$3:$A$731,$A102)</f>
        <v/>
      </c>
      <c r="J102" s="17">
        <f>SUMIFS(Source_Evolution!$J$3:$J$731,Source_Evolution!$A$3:$A$731,$A102)</f>
        <v/>
      </c>
      <c r="K102" s="17">
        <f>SUMIFS(Source_Evolution!$K$3:$K$731,Source_Evolution!$A$3:$A$731,$A102)</f>
        <v/>
      </c>
      <c r="L102" s="17">
        <f>SUMIFS(Source_Evolution!$L$3:$L$731,Source_Evolution!$A$3:$A$731,$A102)</f>
        <v/>
      </c>
      <c r="M102" s="17">
        <f>SUMIFS(Source_Evolution!$M$3:$M$731,Source_Evolution!$A$3:$A$731,$A102)</f>
        <v/>
      </c>
      <c r="N102" s="17">
        <f>SUMIFS(Source_Evolution!$N$3:$N$731,Source_Evolution!$A$3:$A$731,$A102)</f>
        <v/>
      </c>
      <c r="O102" s="17">
        <f>SUMIFS(Source_Evolution!$O$3:$O$731,Source_Evolution!$A$3:$A$731,$A102)</f>
        <v/>
      </c>
      <c r="P102" s="17">
        <f>SUMIFS(Source_Evolution!$P$3:$P$731,Source_Evolution!$A$3:$A$731,$A102)</f>
        <v/>
      </c>
      <c r="Q102" s="17">
        <f>SUMIFS(Source_Evolution!$Q$3:$Q$731,Source_Evolution!$A$3:$A$731,$A102)</f>
        <v/>
      </c>
      <c r="R102" s="17">
        <f>SUM(E102:Q102)</f>
        <v/>
      </c>
      <c r="S102" s="17">
        <f>Q102</f>
        <v/>
      </c>
      <c r="T102">
        <f>IF(B102="Software",1,0)</f>
        <v/>
      </c>
      <c r="U102" s="18">
        <f>SUMPRODUCT((Source_Evolution!$A$3:$A$731=$A102)*(Source_Evolution!$E$3:$E$731&gt;0))</f>
        <v/>
      </c>
      <c r="V102" s="18">
        <f>SUMPRODUCT((Source_Evolution!$A$3:$A$731=$A102)*(Source_Evolution!$F$3:$F$731&gt;0))</f>
        <v/>
      </c>
      <c r="W102" s="18">
        <f>SUMPRODUCT((Source_Evolution!$A$3:$A$731=$A102)*(Source_Evolution!$G$3:$G$731&gt;0))</f>
        <v/>
      </c>
      <c r="X102" s="18">
        <f>SUMPRODUCT((Source_Evolution!$A$3:$A$731=$A102)*(Source_Evolution!$H$3:$H$731&gt;0))</f>
        <v/>
      </c>
      <c r="Y102" s="18">
        <f>SUMPRODUCT((Source_Evolution!$A$3:$A$731=$A102)*(Source_Evolution!$I$3:$I$731&gt;0))</f>
        <v/>
      </c>
      <c r="Z102" s="18">
        <f>SUMPRODUCT((Source_Evolution!$A$3:$A$731=$A102)*(Source_Evolution!$J$3:$J$731&gt;0))</f>
        <v/>
      </c>
      <c r="AA102" s="18">
        <f>SUMPRODUCT((Source_Evolution!$A$3:$A$731=$A102)*(Source_Evolution!$K$3:$K$731&gt;0))</f>
        <v/>
      </c>
      <c r="AB102" s="18">
        <f>SUMPRODUCT((Source_Evolution!$A$3:$A$731=$A102)*(Source_Evolution!$L$3:$L$731&gt;0))</f>
        <v/>
      </c>
      <c r="AC102" s="18">
        <f>SUMPRODUCT((Source_Evolution!$A$3:$A$731=$A102)*(Source_Evolution!$M$3:$M$731&gt;0))</f>
        <v/>
      </c>
      <c r="AD102" s="18">
        <f>SUMPRODUCT((Source_Evolution!$A$3:$A$731=$A102)*(Source_Evolution!$N$3:$N$731&gt;0))</f>
        <v/>
      </c>
      <c r="AE102" s="18">
        <f>SUMPRODUCT((Source_Evolution!$A$3:$A$731=$A102)*(Source_Evolution!$O$3:$O$731&gt;0))</f>
        <v/>
      </c>
      <c r="AF102" s="18">
        <f>SUMPRODUCT((Source_Evolution!$A$3:$A$731=$A102)*(Source_Evolution!$P$3:$P$731&gt;0))</f>
        <v/>
      </c>
      <c r="AG102" s="18">
        <f>SUMPRODUCT((Source_Evolution!$A$3:$A$731=$A102)*(Source_Evolution!$Q$3:$Q$731&gt;0))</f>
        <v/>
      </c>
    </row>
    <row r="103">
      <c r="A103" t="inlineStr">
        <is>
          <t>Company 19</t>
        </is>
      </c>
      <c r="B103" t="inlineStr">
        <is>
          <t>Software</t>
        </is>
      </c>
      <c r="C103" t="inlineStr">
        <is>
          <t>Ireland</t>
        </is>
      </c>
      <c r="D103" t="n">
        <v>2014</v>
      </c>
      <c r="E103" s="17">
        <f>SUMIFS(Source_Evolution!$E$3:$E$731,Source_Evolution!$A$3:$A$731,$A103)</f>
        <v/>
      </c>
      <c r="F103" s="17">
        <f>SUMIFS(Source_Evolution!$F$3:$F$731,Source_Evolution!$A$3:$A$731,$A103)</f>
        <v/>
      </c>
      <c r="G103" s="17">
        <f>SUMIFS(Source_Evolution!$G$3:$G$731,Source_Evolution!$A$3:$A$731,$A103)</f>
        <v/>
      </c>
      <c r="H103" s="17">
        <f>SUMIFS(Source_Evolution!$H$3:$H$731,Source_Evolution!$A$3:$A$731,$A103)</f>
        <v/>
      </c>
      <c r="I103" s="17">
        <f>SUMIFS(Source_Evolution!$I$3:$I$731,Source_Evolution!$A$3:$A$731,$A103)</f>
        <v/>
      </c>
      <c r="J103" s="17">
        <f>SUMIFS(Source_Evolution!$J$3:$J$731,Source_Evolution!$A$3:$A$731,$A103)</f>
        <v/>
      </c>
      <c r="K103" s="17">
        <f>SUMIFS(Source_Evolution!$K$3:$K$731,Source_Evolution!$A$3:$A$731,$A103)</f>
        <v/>
      </c>
      <c r="L103" s="17">
        <f>SUMIFS(Source_Evolution!$L$3:$L$731,Source_Evolution!$A$3:$A$731,$A103)</f>
        <v/>
      </c>
      <c r="M103" s="17">
        <f>SUMIFS(Source_Evolution!$M$3:$M$731,Source_Evolution!$A$3:$A$731,$A103)</f>
        <v/>
      </c>
      <c r="N103" s="17">
        <f>SUMIFS(Source_Evolution!$N$3:$N$731,Source_Evolution!$A$3:$A$731,$A103)</f>
        <v/>
      </c>
      <c r="O103" s="17">
        <f>SUMIFS(Source_Evolution!$O$3:$O$731,Source_Evolution!$A$3:$A$731,$A103)</f>
        <v/>
      </c>
      <c r="P103" s="17">
        <f>SUMIFS(Source_Evolution!$P$3:$P$731,Source_Evolution!$A$3:$A$731,$A103)</f>
        <v/>
      </c>
      <c r="Q103" s="17">
        <f>SUMIFS(Source_Evolution!$Q$3:$Q$731,Source_Evolution!$A$3:$A$731,$A103)</f>
        <v/>
      </c>
      <c r="R103" s="17">
        <f>SUM(E103:Q103)</f>
        <v/>
      </c>
      <c r="S103" s="17">
        <f>Q103</f>
        <v/>
      </c>
      <c r="T103">
        <f>IF(B103="Software",1,0)</f>
        <v/>
      </c>
      <c r="U103" s="18">
        <f>SUMPRODUCT((Source_Evolution!$A$3:$A$731=$A103)*(Source_Evolution!$E$3:$E$731&gt;0))</f>
        <v/>
      </c>
      <c r="V103" s="18">
        <f>SUMPRODUCT((Source_Evolution!$A$3:$A$731=$A103)*(Source_Evolution!$F$3:$F$731&gt;0))</f>
        <v/>
      </c>
      <c r="W103" s="18">
        <f>SUMPRODUCT((Source_Evolution!$A$3:$A$731=$A103)*(Source_Evolution!$G$3:$G$731&gt;0))</f>
        <v/>
      </c>
      <c r="X103" s="18">
        <f>SUMPRODUCT((Source_Evolution!$A$3:$A$731=$A103)*(Source_Evolution!$H$3:$H$731&gt;0))</f>
        <v/>
      </c>
      <c r="Y103" s="18">
        <f>SUMPRODUCT((Source_Evolution!$A$3:$A$731=$A103)*(Source_Evolution!$I$3:$I$731&gt;0))</f>
        <v/>
      </c>
      <c r="Z103" s="18">
        <f>SUMPRODUCT((Source_Evolution!$A$3:$A$731=$A103)*(Source_Evolution!$J$3:$J$731&gt;0))</f>
        <v/>
      </c>
      <c r="AA103" s="18">
        <f>SUMPRODUCT((Source_Evolution!$A$3:$A$731=$A103)*(Source_Evolution!$K$3:$K$731&gt;0))</f>
        <v/>
      </c>
      <c r="AB103" s="18">
        <f>SUMPRODUCT((Source_Evolution!$A$3:$A$731=$A103)*(Source_Evolution!$L$3:$L$731&gt;0))</f>
        <v/>
      </c>
      <c r="AC103" s="18">
        <f>SUMPRODUCT((Source_Evolution!$A$3:$A$731=$A103)*(Source_Evolution!$M$3:$M$731&gt;0))</f>
        <v/>
      </c>
      <c r="AD103" s="18">
        <f>SUMPRODUCT((Source_Evolution!$A$3:$A$731=$A103)*(Source_Evolution!$N$3:$N$731&gt;0))</f>
        <v/>
      </c>
      <c r="AE103" s="18">
        <f>SUMPRODUCT((Source_Evolution!$A$3:$A$731=$A103)*(Source_Evolution!$O$3:$O$731&gt;0))</f>
        <v/>
      </c>
      <c r="AF103" s="18">
        <f>SUMPRODUCT((Source_Evolution!$A$3:$A$731=$A103)*(Source_Evolution!$P$3:$P$731&gt;0))</f>
        <v/>
      </c>
      <c r="AG103" s="18">
        <f>SUMPRODUCT((Source_Evolution!$A$3:$A$731=$A103)*(Source_Evolution!$Q$3:$Q$731&gt;0))</f>
        <v/>
      </c>
    </row>
    <row r="104">
      <c r="A104" t="inlineStr">
        <is>
          <t>Company 190</t>
        </is>
      </c>
      <c r="B104" t="inlineStr">
        <is>
          <t>Operations</t>
        </is>
      </c>
      <c r="C104" t="inlineStr">
        <is>
          <t>UK</t>
        </is>
      </c>
      <c r="D104" t="n">
        <v>2019</v>
      </c>
      <c r="E104" s="17">
        <f>SUMIFS(Source_Evolution!$E$3:$E$731,Source_Evolution!$A$3:$A$731,$A104)</f>
        <v/>
      </c>
      <c r="F104" s="17">
        <f>SUMIFS(Source_Evolution!$F$3:$F$731,Source_Evolution!$A$3:$A$731,$A104)</f>
        <v/>
      </c>
      <c r="G104" s="17">
        <f>SUMIFS(Source_Evolution!$G$3:$G$731,Source_Evolution!$A$3:$A$731,$A104)</f>
        <v/>
      </c>
      <c r="H104" s="17">
        <f>SUMIFS(Source_Evolution!$H$3:$H$731,Source_Evolution!$A$3:$A$731,$A104)</f>
        <v/>
      </c>
      <c r="I104" s="17">
        <f>SUMIFS(Source_Evolution!$I$3:$I$731,Source_Evolution!$A$3:$A$731,$A104)</f>
        <v/>
      </c>
      <c r="J104" s="17">
        <f>SUMIFS(Source_Evolution!$J$3:$J$731,Source_Evolution!$A$3:$A$731,$A104)</f>
        <v/>
      </c>
      <c r="K104" s="17">
        <f>SUMIFS(Source_Evolution!$K$3:$K$731,Source_Evolution!$A$3:$A$731,$A104)</f>
        <v/>
      </c>
      <c r="L104" s="17">
        <f>SUMIFS(Source_Evolution!$L$3:$L$731,Source_Evolution!$A$3:$A$731,$A104)</f>
        <v/>
      </c>
      <c r="M104" s="17">
        <f>SUMIFS(Source_Evolution!$M$3:$M$731,Source_Evolution!$A$3:$A$731,$A104)</f>
        <v/>
      </c>
      <c r="N104" s="17">
        <f>SUMIFS(Source_Evolution!$N$3:$N$731,Source_Evolution!$A$3:$A$731,$A104)</f>
        <v/>
      </c>
      <c r="O104" s="17">
        <f>SUMIFS(Source_Evolution!$O$3:$O$731,Source_Evolution!$A$3:$A$731,$A104)</f>
        <v/>
      </c>
      <c r="P104" s="17">
        <f>SUMIFS(Source_Evolution!$P$3:$P$731,Source_Evolution!$A$3:$A$731,$A104)</f>
        <v/>
      </c>
      <c r="Q104" s="17">
        <f>SUMIFS(Source_Evolution!$Q$3:$Q$731,Source_Evolution!$A$3:$A$731,$A104)</f>
        <v/>
      </c>
      <c r="R104" s="17">
        <f>SUM(E104:Q104)</f>
        <v/>
      </c>
      <c r="S104" s="17">
        <f>Q104</f>
        <v/>
      </c>
      <c r="T104">
        <f>IF(B104="Software",1,0)</f>
        <v/>
      </c>
      <c r="U104" s="18">
        <f>SUMPRODUCT((Source_Evolution!$A$3:$A$731=$A104)*(Source_Evolution!$E$3:$E$731&gt;0))</f>
        <v/>
      </c>
      <c r="V104" s="18">
        <f>SUMPRODUCT((Source_Evolution!$A$3:$A$731=$A104)*(Source_Evolution!$F$3:$F$731&gt;0))</f>
        <v/>
      </c>
      <c r="W104" s="18">
        <f>SUMPRODUCT((Source_Evolution!$A$3:$A$731=$A104)*(Source_Evolution!$G$3:$G$731&gt;0))</f>
        <v/>
      </c>
      <c r="X104" s="18">
        <f>SUMPRODUCT((Source_Evolution!$A$3:$A$731=$A104)*(Source_Evolution!$H$3:$H$731&gt;0))</f>
        <v/>
      </c>
      <c r="Y104" s="18">
        <f>SUMPRODUCT((Source_Evolution!$A$3:$A$731=$A104)*(Source_Evolution!$I$3:$I$731&gt;0))</f>
        <v/>
      </c>
      <c r="Z104" s="18">
        <f>SUMPRODUCT((Source_Evolution!$A$3:$A$731=$A104)*(Source_Evolution!$J$3:$J$731&gt;0))</f>
        <v/>
      </c>
      <c r="AA104" s="18">
        <f>SUMPRODUCT((Source_Evolution!$A$3:$A$731=$A104)*(Source_Evolution!$K$3:$K$731&gt;0))</f>
        <v/>
      </c>
      <c r="AB104" s="18">
        <f>SUMPRODUCT((Source_Evolution!$A$3:$A$731=$A104)*(Source_Evolution!$L$3:$L$731&gt;0))</f>
        <v/>
      </c>
      <c r="AC104" s="18">
        <f>SUMPRODUCT((Source_Evolution!$A$3:$A$731=$A104)*(Source_Evolution!$M$3:$M$731&gt;0))</f>
        <v/>
      </c>
      <c r="AD104" s="18">
        <f>SUMPRODUCT((Source_Evolution!$A$3:$A$731=$A104)*(Source_Evolution!$N$3:$N$731&gt;0))</f>
        <v/>
      </c>
      <c r="AE104" s="18">
        <f>SUMPRODUCT((Source_Evolution!$A$3:$A$731=$A104)*(Source_Evolution!$O$3:$O$731&gt;0))</f>
        <v/>
      </c>
      <c r="AF104" s="18">
        <f>SUMPRODUCT((Source_Evolution!$A$3:$A$731=$A104)*(Source_Evolution!$P$3:$P$731&gt;0))</f>
        <v/>
      </c>
      <c r="AG104" s="18">
        <f>SUMPRODUCT((Source_Evolution!$A$3:$A$731=$A104)*(Source_Evolution!$Q$3:$Q$731&gt;0))</f>
        <v/>
      </c>
    </row>
    <row r="105">
      <c r="A105" t="inlineStr">
        <is>
          <t>Company 191</t>
        </is>
      </c>
      <c r="B105" t="inlineStr">
        <is>
          <t>Software</t>
        </is>
      </c>
      <c r="C105" t="inlineStr">
        <is>
          <t>Ireland</t>
        </is>
      </c>
      <c r="D105" t="n">
        <v>2015</v>
      </c>
      <c r="E105" s="17">
        <f>SUMIFS(Source_Evolution!$E$3:$E$731,Source_Evolution!$A$3:$A$731,$A105)</f>
        <v/>
      </c>
      <c r="F105" s="17">
        <f>SUMIFS(Source_Evolution!$F$3:$F$731,Source_Evolution!$A$3:$A$731,$A105)</f>
        <v/>
      </c>
      <c r="G105" s="17">
        <f>SUMIFS(Source_Evolution!$G$3:$G$731,Source_Evolution!$A$3:$A$731,$A105)</f>
        <v/>
      </c>
      <c r="H105" s="17">
        <f>SUMIFS(Source_Evolution!$H$3:$H$731,Source_Evolution!$A$3:$A$731,$A105)</f>
        <v/>
      </c>
      <c r="I105" s="17">
        <f>SUMIFS(Source_Evolution!$I$3:$I$731,Source_Evolution!$A$3:$A$731,$A105)</f>
        <v/>
      </c>
      <c r="J105" s="17">
        <f>SUMIFS(Source_Evolution!$J$3:$J$731,Source_Evolution!$A$3:$A$731,$A105)</f>
        <v/>
      </c>
      <c r="K105" s="17">
        <f>SUMIFS(Source_Evolution!$K$3:$K$731,Source_Evolution!$A$3:$A$731,$A105)</f>
        <v/>
      </c>
      <c r="L105" s="17">
        <f>SUMIFS(Source_Evolution!$L$3:$L$731,Source_Evolution!$A$3:$A$731,$A105)</f>
        <v/>
      </c>
      <c r="M105" s="17">
        <f>SUMIFS(Source_Evolution!$M$3:$M$731,Source_Evolution!$A$3:$A$731,$A105)</f>
        <v/>
      </c>
      <c r="N105" s="17">
        <f>SUMIFS(Source_Evolution!$N$3:$N$731,Source_Evolution!$A$3:$A$731,$A105)</f>
        <v/>
      </c>
      <c r="O105" s="17">
        <f>SUMIFS(Source_Evolution!$O$3:$O$731,Source_Evolution!$A$3:$A$731,$A105)</f>
        <v/>
      </c>
      <c r="P105" s="17">
        <f>SUMIFS(Source_Evolution!$P$3:$P$731,Source_Evolution!$A$3:$A$731,$A105)</f>
        <v/>
      </c>
      <c r="Q105" s="17">
        <f>SUMIFS(Source_Evolution!$Q$3:$Q$731,Source_Evolution!$A$3:$A$731,$A105)</f>
        <v/>
      </c>
      <c r="R105" s="17">
        <f>SUM(E105:Q105)</f>
        <v/>
      </c>
      <c r="S105" s="17">
        <f>Q105</f>
        <v/>
      </c>
      <c r="T105">
        <f>IF(B105="Software",1,0)</f>
        <v/>
      </c>
      <c r="U105" s="18">
        <f>SUMPRODUCT((Source_Evolution!$A$3:$A$731=$A105)*(Source_Evolution!$E$3:$E$731&gt;0))</f>
        <v/>
      </c>
      <c r="V105" s="18">
        <f>SUMPRODUCT((Source_Evolution!$A$3:$A$731=$A105)*(Source_Evolution!$F$3:$F$731&gt;0))</f>
        <v/>
      </c>
      <c r="W105" s="18">
        <f>SUMPRODUCT((Source_Evolution!$A$3:$A$731=$A105)*(Source_Evolution!$G$3:$G$731&gt;0))</f>
        <v/>
      </c>
      <c r="X105" s="18">
        <f>SUMPRODUCT((Source_Evolution!$A$3:$A$731=$A105)*(Source_Evolution!$H$3:$H$731&gt;0))</f>
        <v/>
      </c>
      <c r="Y105" s="18">
        <f>SUMPRODUCT((Source_Evolution!$A$3:$A$731=$A105)*(Source_Evolution!$I$3:$I$731&gt;0))</f>
        <v/>
      </c>
      <c r="Z105" s="18">
        <f>SUMPRODUCT((Source_Evolution!$A$3:$A$731=$A105)*(Source_Evolution!$J$3:$J$731&gt;0))</f>
        <v/>
      </c>
      <c r="AA105" s="18">
        <f>SUMPRODUCT((Source_Evolution!$A$3:$A$731=$A105)*(Source_Evolution!$K$3:$K$731&gt;0))</f>
        <v/>
      </c>
      <c r="AB105" s="18">
        <f>SUMPRODUCT((Source_Evolution!$A$3:$A$731=$A105)*(Source_Evolution!$L$3:$L$731&gt;0))</f>
        <v/>
      </c>
      <c r="AC105" s="18">
        <f>SUMPRODUCT((Source_Evolution!$A$3:$A$731=$A105)*(Source_Evolution!$M$3:$M$731&gt;0))</f>
        <v/>
      </c>
      <c r="AD105" s="18">
        <f>SUMPRODUCT((Source_Evolution!$A$3:$A$731=$A105)*(Source_Evolution!$N$3:$N$731&gt;0))</f>
        <v/>
      </c>
      <c r="AE105" s="18">
        <f>SUMPRODUCT((Source_Evolution!$A$3:$A$731=$A105)*(Source_Evolution!$O$3:$O$731&gt;0))</f>
        <v/>
      </c>
      <c r="AF105" s="18">
        <f>SUMPRODUCT((Source_Evolution!$A$3:$A$731=$A105)*(Source_Evolution!$P$3:$P$731&gt;0))</f>
        <v/>
      </c>
      <c r="AG105" s="18">
        <f>SUMPRODUCT((Source_Evolution!$A$3:$A$731=$A105)*(Source_Evolution!$Q$3:$Q$731&gt;0))</f>
        <v/>
      </c>
    </row>
    <row r="106">
      <c r="A106" t="inlineStr">
        <is>
          <t>Company 192</t>
        </is>
      </c>
      <c r="B106" t="inlineStr">
        <is>
          <t>Software</t>
        </is>
      </c>
      <c r="C106" t="inlineStr">
        <is>
          <t>UK</t>
        </is>
      </c>
      <c r="D106" t="n">
        <v>2014</v>
      </c>
      <c r="E106" s="17">
        <f>SUMIFS(Source_Evolution!$E$3:$E$731,Source_Evolution!$A$3:$A$731,$A106)</f>
        <v/>
      </c>
      <c r="F106" s="17">
        <f>SUMIFS(Source_Evolution!$F$3:$F$731,Source_Evolution!$A$3:$A$731,$A106)</f>
        <v/>
      </c>
      <c r="G106" s="17">
        <f>SUMIFS(Source_Evolution!$G$3:$G$731,Source_Evolution!$A$3:$A$731,$A106)</f>
        <v/>
      </c>
      <c r="H106" s="17">
        <f>SUMIFS(Source_Evolution!$H$3:$H$731,Source_Evolution!$A$3:$A$731,$A106)</f>
        <v/>
      </c>
      <c r="I106" s="17">
        <f>SUMIFS(Source_Evolution!$I$3:$I$731,Source_Evolution!$A$3:$A$731,$A106)</f>
        <v/>
      </c>
      <c r="J106" s="17">
        <f>SUMIFS(Source_Evolution!$J$3:$J$731,Source_Evolution!$A$3:$A$731,$A106)</f>
        <v/>
      </c>
      <c r="K106" s="17">
        <f>SUMIFS(Source_Evolution!$K$3:$K$731,Source_Evolution!$A$3:$A$731,$A106)</f>
        <v/>
      </c>
      <c r="L106" s="17">
        <f>SUMIFS(Source_Evolution!$L$3:$L$731,Source_Evolution!$A$3:$A$731,$A106)</f>
        <v/>
      </c>
      <c r="M106" s="17">
        <f>SUMIFS(Source_Evolution!$M$3:$M$731,Source_Evolution!$A$3:$A$731,$A106)</f>
        <v/>
      </c>
      <c r="N106" s="17">
        <f>SUMIFS(Source_Evolution!$N$3:$N$731,Source_Evolution!$A$3:$A$731,$A106)</f>
        <v/>
      </c>
      <c r="O106" s="17">
        <f>SUMIFS(Source_Evolution!$O$3:$O$731,Source_Evolution!$A$3:$A$731,$A106)</f>
        <v/>
      </c>
      <c r="P106" s="17">
        <f>SUMIFS(Source_Evolution!$P$3:$P$731,Source_Evolution!$A$3:$A$731,$A106)</f>
        <v/>
      </c>
      <c r="Q106" s="17">
        <f>SUMIFS(Source_Evolution!$Q$3:$Q$731,Source_Evolution!$A$3:$A$731,$A106)</f>
        <v/>
      </c>
      <c r="R106" s="17">
        <f>SUM(E106:Q106)</f>
        <v/>
      </c>
      <c r="S106" s="17">
        <f>Q106</f>
        <v/>
      </c>
      <c r="T106">
        <f>IF(B106="Software",1,0)</f>
        <v/>
      </c>
      <c r="U106" s="18">
        <f>SUMPRODUCT((Source_Evolution!$A$3:$A$731=$A106)*(Source_Evolution!$E$3:$E$731&gt;0))</f>
        <v/>
      </c>
      <c r="V106" s="18">
        <f>SUMPRODUCT((Source_Evolution!$A$3:$A$731=$A106)*(Source_Evolution!$F$3:$F$731&gt;0))</f>
        <v/>
      </c>
      <c r="W106" s="18">
        <f>SUMPRODUCT((Source_Evolution!$A$3:$A$731=$A106)*(Source_Evolution!$G$3:$G$731&gt;0))</f>
        <v/>
      </c>
      <c r="X106" s="18">
        <f>SUMPRODUCT((Source_Evolution!$A$3:$A$731=$A106)*(Source_Evolution!$H$3:$H$731&gt;0))</f>
        <v/>
      </c>
      <c r="Y106" s="18">
        <f>SUMPRODUCT((Source_Evolution!$A$3:$A$731=$A106)*(Source_Evolution!$I$3:$I$731&gt;0))</f>
        <v/>
      </c>
      <c r="Z106" s="18">
        <f>SUMPRODUCT((Source_Evolution!$A$3:$A$731=$A106)*(Source_Evolution!$J$3:$J$731&gt;0))</f>
        <v/>
      </c>
      <c r="AA106" s="18">
        <f>SUMPRODUCT((Source_Evolution!$A$3:$A$731=$A106)*(Source_Evolution!$K$3:$K$731&gt;0))</f>
        <v/>
      </c>
      <c r="AB106" s="18">
        <f>SUMPRODUCT((Source_Evolution!$A$3:$A$731=$A106)*(Source_Evolution!$L$3:$L$731&gt;0))</f>
        <v/>
      </c>
      <c r="AC106" s="18">
        <f>SUMPRODUCT((Source_Evolution!$A$3:$A$731=$A106)*(Source_Evolution!$M$3:$M$731&gt;0))</f>
        <v/>
      </c>
      <c r="AD106" s="18">
        <f>SUMPRODUCT((Source_Evolution!$A$3:$A$731=$A106)*(Source_Evolution!$N$3:$N$731&gt;0))</f>
        <v/>
      </c>
      <c r="AE106" s="18">
        <f>SUMPRODUCT((Source_Evolution!$A$3:$A$731=$A106)*(Source_Evolution!$O$3:$O$731&gt;0))</f>
        <v/>
      </c>
      <c r="AF106" s="18">
        <f>SUMPRODUCT((Source_Evolution!$A$3:$A$731=$A106)*(Source_Evolution!$P$3:$P$731&gt;0))</f>
        <v/>
      </c>
      <c r="AG106" s="18">
        <f>SUMPRODUCT((Source_Evolution!$A$3:$A$731=$A106)*(Source_Evolution!$Q$3:$Q$731&gt;0))</f>
        <v/>
      </c>
    </row>
    <row r="107">
      <c r="A107" t="inlineStr">
        <is>
          <t>Company 193</t>
        </is>
      </c>
      <c r="B107" t="inlineStr">
        <is>
          <t>Software</t>
        </is>
      </c>
      <c r="C107" t="inlineStr">
        <is>
          <t>UK</t>
        </is>
      </c>
      <c r="D107" t="n">
        <v>2020</v>
      </c>
      <c r="E107" s="17">
        <f>SUMIFS(Source_Evolution!$E$3:$E$731,Source_Evolution!$A$3:$A$731,$A107)</f>
        <v/>
      </c>
      <c r="F107" s="17">
        <f>SUMIFS(Source_Evolution!$F$3:$F$731,Source_Evolution!$A$3:$A$731,$A107)</f>
        <v/>
      </c>
      <c r="G107" s="17">
        <f>SUMIFS(Source_Evolution!$G$3:$G$731,Source_Evolution!$A$3:$A$731,$A107)</f>
        <v/>
      </c>
      <c r="H107" s="17">
        <f>SUMIFS(Source_Evolution!$H$3:$H$731,Source_Evolution!$A$3:$A$731,$A107)</f>
        <v/>
      </c>
      <c r="I107" s="17">
        <f>SUMIFS(Source_Evolution!$I$3:$I$731,Source_Evolution!$A$3:$A$731,$A107)</f>
        <v/>
      </c>
      <c r="J107" s="17">
        <f>SUMIFS(Source_Evolution!$J$3:$J$731,Source_Evolution!$A$3:$A$731,$A107)</f>
        <v/>
      </c>
      <c r="K107" s="17">
        <f>SUMIFS(Source_Evolution!$K$3:$K$731,Source_Evolution!$A$3:$A$731,$A107)</f>
        <v/>
      </c>
      <c r="L107" s="17">
        <f>SUMIFS(Source_Evolution!$L$3:$L$731,Source_Evolution!$A$3:$A$731,$A107)</f>
        <v/>
      </c>
      <c r="M107" s="17">
        <f>SUMIFS(Source_Evolution!$M$3:$M$731,Source_Evolution!$A$3:$A$731,$A107)</f>
        <v/>
      </c>
      <c r="N107" s="17">
        <f>SUMIFS(Source_Evolution!$N$3:$N$731,Source_Evolution!$A$3:$A$731,$A107)</f>
        <v/>
      </c>
      <c r="O107" s="17">
        <f>SUMIFS(Source_Evolution!$O$3:$O$731,Source_Evolution!$A$3:$A$731,$A107)</f>
        <v/>
      </c>
      <c r="P107" s="17">
        <f>SUMIFS(Source_Evolution!$P$3:$P$731,Source_Evolution!$A$3:$A$731,$A107)</f>
        <v/>
      </c>
      <c r="Q107" s="17">
        <f>SUMIFS(Source_Evolution!$Q$3:$Q$731,Source_Evolution!$A$3:$A$731,$A107)</f>
        <v/>
      </c>
      <c r="R107" s="17">
        <f>SUM(E107:Q107)</f>
        <v/>
      </c>
      <c r="S107" s="17">
        <f>Q107</f>
        <v/>
      </c>
      <c r="T107">
        <f>IF(B107="Software",1,0)</f>
        <v/>
      </c>
      <c r="U107" s="18">
        <f>SUMPRODUCT((Source_Evolution!$A$3:$A$731=$A107)*(Source_Evolution!$E$3:$E$731&gt;0))</f>
        <v/>
      </c>
      <c r="V107" s="18">
        <f>SUMPRODUCT((Source_Evolution!$A$3:$A$731=$A107)*(Source_Evolution!$F$3:$F$731&gt;0))</f>
        <v/>
      </c>
      <c r="W107" s="18">
        <f>SUMPRODUCT((Source_Evolution!$A$3:$A$731=$A107)*(Source_Evolution!$G$3:$G$731&gt;0))</f>
        <v/>
      </c>
      <c r="X107" s="18">
        <f>SUMPRODUCT((Source_Evolution!$A$3:$A$731=$A107)*(Source_Evolution!$H$3:$H$731&gt;0))</f>
        <v/>
      </c>
      <c r="Y107" s="18">
        <f>SUMPRODUCT((Source_Evolution!$A$3:$A$731=$A107)*(Source_Evolution!$I$3:$I$731&gt;0))</f>
        <v/>
      </c>
      <c r="Z107" s="18">
        <f>SUMPRODUCT((Source_Evolution!$A$3:$A$731=$A107)*(Source_Evolution!$J$3:$J$731&gt;0))</f>
        <v/>
      </c>
      <c r="AA107" s="18">
        <f>SUMPRODUCT((Source_Evolution!$A$3:$A$731=$A107)*(Source_Evolution!$K$3:$K$731&gt;0))</f>
        <v/>
      </c>
      <c r="AB107" s="18">
        <f>SUMPRODUCT((Source_Evolution!$A$3:$A$731=$A107)*(Source_Evolution!$L$3:$L$731&gt;0))</f>
        <v/>
      </c>
      <c r="AC107" s="18">
        <f>SUMPRODUCT((Source_Evolution!$A$3:$A$731=$A107)*(Source_Evolution!$M$3:$M$731&gt;0))</f>
        <v/>
      </c>
      <c r="AD107" s="18">
        <f>SUMPRODUCT((Source_Evolution!$A$3:$A$731=$A107)*(Source_Evolution!$N$3:$N$731&gt;0))</f>
        <v/>
      </c>
      <c r="AE107" s="18">
        <f>SUMPRODUCT((Source_Evolution!$A$3:$A$731=$A107)*(Source_Evolution!$O$3:$O$731&gt;0))</f>
        <v/>
      </c>
      <c r="AF107" s="18">
        <f>SUMPRODUCT((Source_Evolution!$A$3:$A$731=$A107)*(Source_Evolution!$P$3:$P$731&gt;0))</f>
        <v/>
      </c>
      <c r="AG107" s="18">
        <f>SUMPRODUCT((Source_Evolution!$A$3:$A$731=$A107)*(Source_Evolution!$Q$3:$Q$731&gt;0))</f>
        <v/>
      </c>
    </row>
    <row r="108">
      <c r="A108" t="inlineStr">
        <is>
          <t>Company 194</t>
        </is>
      </c>
      <c r="B108" t="inlineStr">
        <is>
          <t>Software</t>
        </is>
      </c>
      <c r="C108" t="inlineStr">
        <is>
          <t>UK</t>
        </is>
      </c>
      <c r="D108" t="n">
        <v>2015</v>
      </c>
      <c r="E108" s="17">
        <f>SUMIFS(Source_Evolution!$E$3:$E$731,Source_Evolution!$A$3:$A$731,$A108)</f>
        <v/>
      </c>
      <c r="F108" s="17">
        <f>SUMIFS(Source_Evolution!$F$3:$F$731,Source_Evolution!$A$3:$A$731,$A108)</f>
        <v/>
      </c>
      <c r="G108" s="17">
        <f>SUMIFS(Source_Evolution!$G$3:$G$731,Source_Evolution!$A$3:$A$731,$A108)</f>
        <v/>
      </c>
      <c r="H108" s="17">
        <f>SUMIFS(Source_Evolution!$H$3:$H$731,Source_Evolution!$A$3:$A$731,$A108)</f>
        <v/>
      </c>
      <c r="I108" s="17">
        <f>SUMIFS(Source_Evolution!$I$3:$I$731,Source_Evolution!$A$3:$A$731,$A108)</f>
        <v/>
      </c>
      <c r="J108" s="17">
        <f>SUMIFS(Source_Evolution!$J$3:$J$731,Source_Evolution!$A$3:$A$731,$A108)</f>
        <v/>
      </c>
      <c r="K108" s="17">
        <f>SUMIFS(Source_Evolution!$K$3:$K$731,Source_Evolution!$A$3:$A$731,$A108)</f>
        <v/>
      </c>
      <c r="L108" s="17">
        <f>SUMIFS(Source_Evolution!$L$3:$L$731,Source_Evolution!$A$3:$A$731,$A108)</f>
        <v/>
      </c>
      <c r="M108" s="17">
        <f>SUMIFS(Source_Evolution!$M$3:$M$731,Source_Evolution!$A$3:$A$731,$A108)</f>
        <v/>
      </c>
      <c r="N108" s="17">
        <f>SUMIFS(Source_Evolution!$N$3:$N$731,Source_Evolution!$A$3:$A$731,$A108)</f>
        <v/>
      </c>
      <c r="O108" s="17">
        <f>SUMIFS(Source_Evolution!$O$3:$O$731,Source_Evolution!$A$3:$A$731,$A108)</f>
        <v/>
      </c>
      <c r="P108" s="17">
        <f>SUMIFS(Source_Evolution!$P$3:$P$731,Source_Evolution!$A$3:$A$731,$A108)</f>
        <v/>
      </c>
      <c r="Q108" s="17">
        <f>SUMIFS(Source_Evolution!$Q$3:$Q$731,Source_Evolution!$A$3:$A$731,$A108)</f>
        <v/>
      </c>
      <c r="R108" s="17">
        <f>SUM(E108:Q108)</f>
        <v/>
      </c>
      <c r="S108" s="17">
        <f>Q108</f>
        <v/>
      </c>
      <c r="T108">
        <f>IF(B108="Software",1,0)</f>
        <v/>
      </c>
      <c r="U108" s="18">
        <f>SUMPRODUCT((Source_Evolution!$A$3:$A$731=$A108)*(Source_Evolution!$E$3:$E$731&gt;0))</f>
        <v/>
      </c>
      <c r="V108" s="18">
        <f>SUMPRODUCT((Source_Evolution!$A$3:$A$731=$A108)*(Source_Evolution!$F$3:$F$731&gt;0))</f>
        <v/>
      </c>
      <c r="W108" s="18">
        <f>SUMPRODUCT((Source_Evolution!$A$3:$A$731=$A108)*(Source_Evolution!$G$3:$G$731&gt;0))</f>
        <v/>
      </c>
      <c r="X108" s="18">
        <f>SUMPRODUCT((Source_Evolution!$A$3:$A$731=$A108)*(Source_Evolution!$H$3:$H$731&gt;0))</f>
        <v/>
      </c>
      <c r="Y108" s="18">
        <f>SUMPRODUCT((Source_Evolution!$A$3:$A$731=$A108)*(Source_Evolution!$I$3:$I$731&gt;0))</f>
        <v/>
      </c>
      <c r="Z108" s="18">
        <f>SUMPRODUCT((Source_Evolution!$A$3:$A$731=$A108)*(Source_Evolution!$J$3:$J$731&gt;0))</f>
        <v/>
      </c>
      <c r="AA108" s="18">
        <f>SUMPRODUCT((Source_Evolution!$A$3:$A$731=$A108)*(Source_Evolution!$K$3:$K$731&gt;0))</f>
        <v/>
      </c>
      <c r="AB108" s="18">
        <f>SUMPRODUCT((Source_Evolution!$A$3:$A$731=$A108)*(Source_Evolution!$L$3:$L$731&gt;0))</f>
        <v/>
      </c>
      <c r="AC108" s="18">
        <f>SUMPRODUCT((Source_Evolution!$A$3:$A$731=$A108)*(Source_Evolution!$M$3:$M$731&gt;0))</f>
        <v/>
      </c>
      <c r="AD108" s="18">
        <f>SUMPRODUCT((Source_Evolution!$A$3:$A$731=$A108)*(Source_Evolution!$N$3:$N$731&gt;0))</f>
        <v/>
      </c>
      <c r="AE108" s="18">
        <f>SUMPRODUCT((Source_Evolution!$A$3:$A$731=$A108)*(Source_Evolution!$O$3:$O$731&gt;0))</f>
        <v/>
      </c>
      <c r="AF108" s="18">
        <f>SUMPRODUCT((Source_Evolution!$A$3:$A$731=$A108)*(Source_Evolution!$P$3:$P$731&gt;0))</f>
        <v/>
      </c>
      <c r="AG108" s="18">
        <f>SUMPRODUCT((Source_Evolution!$A$3:$A$731=$A108)*(Source_Evolution!$Q$3:$Q$731&gt;0))</f>
        <v/>
      </c>
    </row>
    <row r="109">
      <c r="A109" t="inlineStr">
        <is>
          <t>Company 195</t>
        </is>
      </c>
      <c r="B109" t="inlineStr">
        <is>
          <t>Software</t>
        </is>
      </c>
      <c r="C109" t="inlineStr">
        <is>
          <t>UK</t>
        </is>
      </c>
      <c r="D109" t="n">
        <v>2014</v>
      </c>
      <c r="E109" s="17">
        <f>SUMIFS(Source_Evolution!$E$3:$E$731,Source_Evolution!$A$3:$A$731,$A109)</f>
        <v/>
      </c>
      <c r="F109" s="17">
        <f>SUMIFS(Source_Evolution!$F$3:$F$731,Source_Evolution!$A$3:$A$731,$A109)</f>
        <v/>
      </c>
      <c r="G109" s="17">
        <f>SUMIFS(Source_Evolution!$G$3:$G$731,Source_Evolution!$A$3:$A$731,$A109)</f>
        <v/>
      </c>
      <c r="H109" s="17">
        <f>SUMIFS(Source_Evolution!$H$3:$H$731,Source_Evolution!$A$3:$A$731,$A109)</f>
        <v/>
      </c>
      <c r="I109" s="17">
        <f>SUMIFS(Source_Evolution!$I$3:$I$731,Source_Evolution!$A$3:$A$731,$A109)</f>
        <v/>
      </c>
      <c r="J109" s="17">
        <f>SUMIFS(Source_Evolution!$J$3:$J$731,Source_Evolution!$A$3:$A$731,$A109)</f>
        <v/>
      </c>
      <c r="K109" s="17">
        <f>SUMIFS(Source_Evolution!$K$3:$K$731,Source_Evolution!$A$3:$A$731,$A109)</f>
        <v/>
      </c>
      <c r="L109" s="17">
        <f>SUMIFS(Source_Evolution!$L$3:$L$731,Source_Evolution!$A$3:$A$731,$A109)</f>
        <v/>
      </c>
      <c r="M109" s="17">
        <f>SUMIFS(Source_Evolution!$M$3:$M$731,Source_Evolution!$A$3:$A$731,$A109)</f>
        <v/>
      </c>
      <c r="N109" s="17">
        <f>SUMIFS(Source_Evolution!$N$3:$N$731,Source_Evolution!$A$3:$A$731,$A109)</f>
        <v/>
      </c>
      <c r="O109" s="17">
        <f>SUMIFS(Source_Evolution!$O$3:$O$731,Source_Evolution!$A$3:$A$731,$A109)</f>
        <v/>
      </c>
      <c r="P109" s="17">
        <f>SUMIFS(Source_Evolution!$P$3:$P$731,Source_Evolution!$A$3:$A$731,$A109)</f>
        <v/>
      </c>
      <c r="Q109" s="17">
        <f>SUMIFS(Source_Evolution!$Q$3:$Q$731,Source_Evolution!$A$3:$A$731,$A109)</f>
        <v/>
      </c>
      <c r="R109" s="17">
        <f>SUM(E109:Q109)</f>
        <v/>
      </c>
      <c r="S109" s="17">
        <f>Q109</f>
        <v/>
      </c>
      <c r="T109">
        <f>IF(B109="Software",1,0)</f>
        <v/>
      </c>
      <c r="U109" s="18">
        <f>SUMPRODUCT((Source_Evolution!$A$3:$A$731=$A109)*(Source_Evolution!$E$3:$E$731&gt;0))</f>
        <v/>
      </c>
      <c r="V109" s="18">
        <f>SUMPRODUCT((Source_Evolution!$A$3:$A$731=$A109)*(Source_Evolution!$F$3:$F$731&gt;0))</f>
        <v/>
      </c>
      <c r="W109" s="18">
        <f>SUMPRODUCT((Source_Evolution!$A$3:$A$731=$A109)*(Source_Evolution!$G$3:$G$731&gt;0))</f>
        <v/>
      </c>
      <c r="X109" s="18">
        <f>SUMPRODUCT((Source_Evolution!$A$3:$A$731=$A109)*(Source_Evolution!$H$3:$H$731&gt;0))</f>
        <v/>
      </c>
      <c r="Y109" s="18">
        <f>SUMPRODUCT((Source_Evolution!$A$3:$A$731=$A109)*(Source_Evolution!$I$3:$I$731&gt;0))</f>
        <v/>
      </c>
      <c r="Z109" s="18">
        <f>SUMPRODUCT((Source_Evolution!$A$3:$A$731=$A109)*(Source_Evolution!$J$3:$J$731&gt;0))</f>
        <v/>
      </c>
      <c r="AA109" s="18">
        <f>SUMPRODUCT((Source_Evolution!$A$3:$A$731=$A109)*(Source_Evolution!$K$3:$K$731&gt;0))</f>
        <v/>
      </c>
      <c r="AB109" s="18">
        <f>SUMPRODUCT((Source_Evolution!$A$3:$A$731=$A109)*(Source_Evolution!$L$3:$L$731&gt;0))</f>
        <v/>
      </c>
      <c r="AC109" s="18">
        <f>SUMPRODUCT((Source_Evolution!$A$3:$A$731=$A109)*(Source_Evolution!$M$3:$M$731&gt;0))</f>
        <v/>
      </c>
      <c r="AD109" s="18">
        <f>SUMPRODUCT((Source_Evolution!$A$3:$A$731=$A109)*(Source_Evolution!$N$3:$N$731&gt;0))</f>
        <v/>
      </c>
      <c r="AE109" s="18">
        <f>SUMPRODUCT((Source_Evolution!$A$3:$A$731=$A109)*(Source_Evolution!$O$3:$O$731&gt;0))</f>
        <v/>
      </c>
      <c r="AF109" s="18">
        <f>SUMPRODUCT((Source_Evolution!$A$3:$A$731=$A109)*(Source_Evolution!$P$3:$P$731&gt;0))</f>
        <v/>
      </c>
      <c r="AG109" s="18">
        <f>SUMPRODUCT((Source_Evolution!$A$3:$A$731=$A109)*(Source_Evolution!$Q$3:$Q$731&gt;0))</f>
        <v/>
      </c>
    </row>
    <row r="110">
      <c r="A110" t="inlineStr">
        <is>
          <t>Company 196</t>
        </is>
      </c>
      <c r="B110" t="inlineStr">
        <is>
          <t>Power</t>
        </is>
      </c>
      <c r="C110" t="inlineStr">
        <is>
          <t>UK</t>
        </is>
      </c>
      <c r="D110" t="n">
        <v>2014</v>
      </c>
      <c r="E110" s="17">
        <f>SUMIFS(Source_Evolution!$E$3:$E$731,Source_Evolution!$A$3:$A$731,$A110)</f>
        <v/>
      </c>
      <c r="F110" s="17">
        <f>SUMIFS(Source_Evolution!$F$3:$F$731,Source_Evolution!$A$3:$A$731,$A110)</f>
        <v/>
      </c>
      <c r="G110" s="17">
        <f>SUMIFS(Source_Evolution!$G$3:$G$731,Source_Evolution!$A$3:$A$731,$A110)</f>
        <v/>
      </c>
      <c r="H110" s="17">
        <f>SUMIFS(Source_Evolution!$H$3:$H$731,Source_Evolution!$A$3:$A$731,$A110)</f>
        <v/>
      </c>
      <c r="I110" s="17">
        <f>SUMIFS(Source_Evolution!$I$3:$I$731,Source_Evolution!$A$3:$A$731,$A110)</f>
        <v/>
      </c>
      <c r="J110" s="17">
        <f>SUMIFS(Source_Evolution!$J$3:$J$731,Source_Evolution!$A$3:$A$731,$A110)</f>
        <v/>
      </c>
      <c r="K110" s="17">
        <f>SUMIFS(Source_Evolution!$K$3:$K$731,Source_Evolution!$A$3:$A$731,$A110)</f>
        <v/>
      </c>
      <c r="L110" s="17">
        <f>SUMIFS(Source_Evolution!$L$3:$L$731,Source_Evolution!$A$3:$A$731,$A110)</f>
        <v/>
      </c>
      <c r="M110" s="17">
        <f>SUMIFS(Source_Evolution!$M$3:$M$731,Source_Evolution!$A$3:$A$731,$A110)</f>
        <v/>
      </c>
      <c r="N110" s="17">
        <f>SUMIFS(Source_Evolution!$N$3:$N$731,Source_Evolution!$A$3:$A$731,$A110)</f>
        <v/>
      </c>
      <c r="O110" s="17">
        <f>SUMIFS(Source_Evolution!$O$3:$O$731,Source_Evolution!$A$3:$A$731,$A110)</f>
        <v/>
      </c>
      <c r="P110" s="17">
        <f>SUMIFS(Source_Evolution!$P$3:$P$731,Source_Evolution!$A$3:$A$731,$A110)</f>
        <v/>
      </c>
      <c r="Q110" s="17">
        <f>SUMIFS(Source_Evolution!$Q$3:$Q$731,Source_Evolution!$A$3:$A$731,$A110)</f>
        <v/>
      </c>
      <c r="R110" s="17">
        <f>SUM(E110:Q110)</f>
        <v/>
      </c>
      <c r="S110" s="17">
        <f>Q110</f>
        <v/>
      </c>
      <c r="T110">
        <f>IF(B110="Software",1,0)</f>
        <v/>
      </c>
      <c r="U110" s="18">
        <f>SUMPRODUCT((Source_Evolution!$A$3:$A$731=$A110)*(Source_Evolution!$E$3:$E$731&gt;0))</f>
        <v/>
      </c>
      <c r="V110" s="18">
        <f>SUMPRODUCT((Source_Evolution!$A$3:$A$731=$A110)*(Source_Evolution!$F$3:$F$731&gt;0))</f>
        <v/>
      </c>
      <c r="W110" s="18">
        <f>SUMPRODUCT((Source_Evolution!$A$3:$A$731=$A110)*(Source_Evolution!$G$3:$G$731&gt;0))</f>
        <v/>
      </c>
      <c r="X110" s="18">
        <f>SUMPRODUCT((Source_Evolution!$A$3:$A$731=$A110)*(Source_Evolution!$H$3:$H$731&gt;0))</f>
        <v/>
      </c>
      <c r="Y110" s="18">
        <f>SUMPRODUCT((Source_Evolution!$A$3:$A$731=$A110)*(Source_Evolution!$I$3:$I$731&gt;0))</f>
        <v/>
      </c>
      <c r="Z110" s="18">
        <f>SUMPRODUCT((Source_Evolution!$A$3:$A$731=$A110)*(Source_Evolution!$J$3:$J$731&gt;0))</f>
        <v/>
      </c>
      <c r="AA110" s="18">
        <f>SUMPRODUCT((Source_Evolution!$A$3:$A$731=$A110)*(Source_Evolution!$K$3:$K$731&gt;0))</f>
        <v/>
      </c>
      <c r="AB110" s="18">
        <f>SUMPRODUCT((Source_Evolution!$A$3:$A$731=$A110)*(Source_Evolution!$L$3:$L$731&gt;0))</f>
        <v/>
      </c>
      <c r="AC110" s="18">
        <f>SUMPRODUCT((Source_Evolution!$A$3:$A$731=$A110)*(Source_Evolution!$M$3:$M$731&gt;0))</f>
        <v/>
      </c>
      <c r="AD110" s="18">
        <f>SUMPRODUCT((Source_Evolution!$A$3:$A$731=$A110)*(Source_Evolution!$N$3:$N$731&gt;0))</f>
        <v/>
      </c>
      <c r="AE110" s="18">
        <f>SUMPRODUCT((Source_Evolution!$A$3:$A$731=$A110)*(Source_Evolution!$O$3:$O$731&gt;0))</f>
        <v/>
      </c>
      <c r="AF110" s="18">
        <f>SUMPRODUCT((Source_Evolution!$A$3:$A$731=$A110)*(Source_Evolution!$P$3:$P$731&gt;0))</f>
        <v/>
      </c>
      <c r="AG110" s="18">
        <f>SUMPRODUCT((Source_Evolution!$A$3:$A$731=$A110)*(Source_Evolution!$Q$3:$Q$731&gt;0))</f>
        <v/>
      </c>
    </row>
    <row r="111">
      <c r="A111" t="inlineStr">
        <is>
          <t>Company 197</t>
        </is>
      </c>
      <c r="B111" t="inlineStr">
        <is>
          <t>Operations</t>
        </is>
      </c>
      <c r="C111" t="inlineStr">
        <is>
          <t>UK</t>
        </is>
      </c>
      <c r="D111" t="n">
        <v>2014</v>
      </c>
      <c r="E111" s="17">
        <f>SUMIFS(Source_Evolution!$E$3:$E$731,Source_Evolution!$A$3:$A$731,$A111)</f>
        <v/>
      </c>
      <c r="F111" s="17">
        <f>SUMIFS(Source_Evolution!$F$3:$F$731,Source_Evolution!$A$3:$A$731,$A111)</f>
        <v/>
      </c>
      <c r="G111" s="17">
        <f>SUMIFS(Source_Evolution!$G$3:$G$731,Source_Evolution!$A$3:$A$731,$A111)</f>
        <v/>
      </c>
      <c r="H111" s="17">
        <f>SUMIFS(Source_Evolution!$H$3:$H$731,Source_Evolution!$A$3:$A$731,$A111)</f>
        <v/>
      </c>
      <c r="I111" s="17">
        <f>SUMIFS(Source_Evolution!$I$3:$I$731,Source_Evolution!$A$3:$A$731,$A111)</f>
        <v/>
      </c>
      <c r="J111" s="17">
        <f>SUMIFS(Source_Evolution!$J$3:$J$731,Source_Evolution!$A$3:$A$731,$A111)</f>
        <v/>
      </c>
      <c r="K111" s="17">
        <f>SUMIFS(Source_Evolution!$K$3:$K$731,Source_Evolution!$A$3:$A$731,$A111)</f>
        <v/>
      </c>
      <c r="L111" s="17">
        <f>SUMIFS(Source_Evolution!$L$3:$L$731,Source_Evolution!$A$3:$A$731,$A111)</f>
        <v/>
      </c>
      <c r="M111" s="17">
        <f>SUMIFS(Source_Evolution!$M$3:$M$731,Source_Evolution!$A$3:$A$731,$A111)</f>
        <v/>
      </c>
      <c r="N111" s="17">
        <f>SUMIFS(Source_Evolution!$N$3:$N$731,Source_Evolution!$A$3:$A$731,$A111)</f>
        <v/>
      </c>
      <c r="O111" s="17">
        <f>SUMIFS(Source_Evolution!$O$3:$O$731,Source_Evolution!$A$3:$A$731,$A111)</f>
        <v/>
      </c>
      <c r="P111" s="17">
        <f>SUMIFS(Source_Evolution!$P$3:$P$731,Source_Evolution!$A$3:$A$731,$A111)</f>
        <v/>
      </c>
      <c r="Q111" s="17">
        <f>SUMIFS(Source_Evolution!$Q$3:$Q$731,Source_Evolution!$A$3:$A$731,$A111)</f>
        <v/>
      </c>
      <c r="R111" s="17">
        <f>SUM(E111:Q111)</f>
        <v/>
      </c>
      <c r="S111" s="17">
        <f>Q111</f>
        <v/>
      </c>
      <c r="T111">
        <f>IF(B111="Software",1,0)</f>
        <v/>
      </c>
      <c r="U111" s="18">
        <f>SUMPRODUCT((Source_Evolution!$A$3:$A$731=$A111)*(Source_Evolution!$E$3:$E$731&gt;0))</f>
        <v/>
      </c>
      <c r="V111" s="18">
        <f>SUMPRODUCT((Source_Evolution!$A$3:$A$731=$A111)*(Source_Evolution!$F$3:$F$731&gt;0))</f>
        <v/>
      </c>
      <c r="W111" s="18">
        <f>SUMPRODUCT((Source_Evolution!$A$3:$A$731=$A111)*(Source_Evolution!$G$3:$G$731&gt;0))</f>
        <v/>
      </c>
      <c r="X111" s="18">
        <f>SUMPRODUCT((Source_Evolution!$A$3:$A$731=$A111)*(Source_Evolution!$H$3:$H$731&gt;0))</f>
        <v/>
      </c>
      <c r="Y111" s="18">
        <f>SUMPRODUCT((Source_Evolution!$A$3:$A$731=$A111)*(Source_Evolution!$I$3:$I$731&gt;0))</f>
        <v/>
      </c>
      <c r="Z111" s="18">
        <f>SUMPRODUCT((Source_Evolution!$A$3:$A$731=$A111)*(Source_Evolution!$J$3:$J$731&gt;0))</f>
        <v/>
      </c>
      <c r="AA111" s="18">
        <f>SUMPRODUCT((Source_Evolution!$A$3:$A$731=$A111)*(Source_Evolution!$K$3:$K$731&gt;0))</f>
        <v/>
      </c>
      <c r="AB111" s="18">
        <f>SUMPRODUCT((Source_Evolution!$A$3:$A$731=$A111)*(Source_Evolution!$L$3:$L$731&gt;0))</f>
        <v/>
      </c>
      <c r="AC111" s="18">
        <f>SUMPRODUCT((Source_Evolution!$A$3:$A$731=$A111)*(Source_Evolution!$M$3:$M$731&gt;0))</f>
        <v/>
      </c>
      <c r="AD111" s="18">
        <f>SUMPRODUCT((Source_Evolution!$A$3:$A$731=$A111)*(Source_Evolution!$N$3:$N$731&gt;0))</f>
        <v/>
      </c>
      <c r="AE111" s="18">
        <f>SUMPRODUCT((Source_Evolution!$A$3:$A$731=$A111)*(Source_Evolution!$O$3:$O$731&gt;0))</f>
        <v/>
      </c>
      <c r="AF111" s="18">
        <f>SUMPRODUCT((Source_Evolution!$A$3:$A$731=$A111)*(Source_Evolution!$P$3:$P$731&gt;0))</f>
        <v/>
      </c>
      <c r="AG111" s="18">
        <f>SUMPRODUCT((Source_Evolution!$A$3:$A$731=$A111)*(Source_Evolution!$Q$3:$Q$731&gt;0))</f>
        <v/>
      </c>
    </row>
    <row r="112">
      <c r="A112" t="inlineStr">
        <is>
          <t>Company 198</t>
        </is>
      </c>
      <c r="B112" t="inlineStr">
        <is>
          <t>Software</t>
        </is>
      </c>
      <c r="C112" t="inlineStr">
        <is>
          <t>UK</t>
        </is>
      </c>
      <c r="D112" t="n">
        <v>2014</v>
      </c>
      <c r="E112" s="17">
        <f>SUMIFS(Source_Evolution!$E$3:$E$731,Source_Evolution!$A$3:$A$731,$A112)</f>
        <v/>
      </c>
      <c r="F112" s="17">
        <f>SUMIFS(Source_Evolution!$F$3:$F$731,Source_Evolution!$A$3:$A$731,$A112)</f>
        <v/>
      </c>
      <c r="G112" s="17">
        <f>SUMIFS(Source_Evolution!$G$3:$G$731,Source_Evolution!$A$3:$A$731,$A112)</f>
        <v/>
      </c>
      <c r="H112" s="17">
        <f>SUMIFS(Source_Evolution!$H$3:$H$731,Source_Evolution!$A$3:$A$731,$A112)</f>
        <v/>
      </c>
      <c r="I112" s="17">
        <f>SUMIFS(Source_Evolution!$I$3:$I$731,Source_Evolution!$A$3:$A$731,$A112)</f>
        <v/>
      </c>
      <c r="J112" s="17">
        <f>SUMIFS(Source_Evolution!$J$3:$J$731,Source_Evolution!$A$3:$A$731,$A112)</f>
        <v/>
      </c>
      <c r="K112" s="17">
        <f>SUMIFS(Source_Evolution!$K$3:$K$731,Source_Evolution!$A$3:$A$731,$A112)</f>
        <v/>
      </c>
      <c r="L112" s="17">
        <f>SUMIFS(Source_Evolution!$L$3:$L$731,Source_Evolution!$A$3:$A$731,$A112)</f>
        <v/>
      </c>
      <c r="M112" s="17">
        <f>SUMIFS(Source_Evolution!$M$3:$M$731,Source_Evolution!$A$3:$A$731,$A112)</f>
        <v/>
      </c>
      <c r="N112" s="17">
        <f>SUMIFS(Source_Evolution!$N$3:$N$731,Source_Evolution!$A$3:$A$731,$A112)</f>
        <v/>
      </c>
      <c r="O112" s="17">
        <f>SUMIFS(Source_Evolution!$O$3:$O$731,Source_Evolution!$A$3:$A$731,$A112)</f>
        <v/>
      </c>
      <c r="P112" s="17">
        <f>SUMIFS(Source_Evolution!$P$3:$P$731,Source_Evolution!$A$3:$A$731,$A112)</f>
        <v/>
      </c>
      <c r="Q112" s="17">
        <f>SUMIFS(Source_Evolution!$Q$3:$Q$731,Source_Evolution!$A$3:$A$731,$A112)</f>
        <v/>
      </c>
      <c r="R112" s="17">
        <f>SUM(E112:Q112)</f>
        <v/>
      </c>
      <c r="S112" s="17">
        <f>Q112</f>
        <v/>
      </c>
      <c r="T112">
        <f>IF(B112="Software",1,0)</f>
        <v/>
      </c>
      <c r="U112" s="18">
        <f>SUMPRODUCT((Source_Evolution!$A$3:$A$731=$A112)*(Source_Evolution!$E$3:$E$731&gt;0))</f>
        <v/>
      </c>
      <c r="V112" s="18">
        <f>SUMPRODUCT((Source_Evolution!$A$3:$A$731=$A112)*(Source_Evolution!$F$3:$F$731&gt;0))</f>
        <v/>
      </c>
      <c r="W112" s="18">
        <f>SUMPRODUCT((Source_Evolution!$A$3:$A$731=$A112)*(Source_Evolution!$G$3:$G$731&gt;0))</f>
        <v/>
      </c>
      <c r="X112" s="18">
        <f>SUMPRODUCT((Source_Evolution!$A$3:$A$731=$A112)*(Source_Evolution!$H$3:$H$731&gt;0))</f>
        <v/>
      </c>
      <c r="Y112" s="18">
        <f>SUMPRODUCT((Source_Evolution!$A$3:$A$731=$A112)*(Source_Evolution!$I$3:$I$731&gt;0))</f>
        <v/>
      </c>
      <c r="Z112" s="18">
        <f>SUMPRODUCT((Source_Evolution!$A$3:$A$731=$A112)*(Source_Evolution!$J$3:$J$731&gt;0))</f>
        <v/>
      </c>
      <c r="AA112" s="18">
        <f>SUMPRODUCT((Source_Evolution!$A$3:$A$731=$A112)*(Source_Evolution!$K$3:$K$731&gt;0))</f>
        <v/>
      </c>
      <c r="AB112" s="18">
        <f>SUMPRODUCT((Source_Evolution!$A$3:$A$731=$A112)*(Source_Evolution!$L$3:$L$731&gt;0))</f>
        <v/>
      </c>
      <c r="AC112" s="18">
        <f>SUMPRODUCT((Source_Evolution!$A$3:$A$731=$A112)*(Source_Evolution!$M$3:$M$731&gt;0))</f>
        <v/>
      </c>
      <c r="AD112" s="18">
        <f>SUMPRODUCT((Source_Evolution!$A$3:$A$731=$A112)*(Source_Evolution!$N$3:$N$731&gt;0))</f>
        <v/>
      </c>
      <c r="AE112" s="18">
        <f>SUMPRODUCT((Source_Evolution!$A$3:$A$731=$A112)*(Source_Evolution!$O$3:$O$731&gt;0))</f>
        <v/>
      </c>
      <c r="AF112" s="18">
        <f>SUMPRODUCT((Source_Evolution!$A$3:$A$731=$A112)*(Source_Evolution!$P$3:$P$731&gt;0))</f>
        <v/>
      </c>
      <c r="AG112" s="18">
        <f>SUMPRODUCT((Source_Evolution!$A$3:$A$731=$A112)*(Source_Evolution!$Q$3:$Q$731&gt;0))</f>
        <v/>
      </c>
    </row>
    <row r="113">
      <c r="A113" t="inlineStr">
        <is>
          <t>Company 199</t>
        </is>
      </c>
      <c r="B113" t="inlineStr">
        <is>
          <t>Software</t>
        </is>
      </c>
      <c r="C113" t="inlineStr">
        <is>
          <t>UK</t>
        </is>
      </c>
      <c r="D113" t="n">
        <v>2014</v>
      </c>
      <c r="E113" s="17">
        <f>SUMIFS(Source_Evolution!$E$3:$E$731,Source_Evolution!$A$3:$A$731,$A113)</f>
        <v/>
      </c>
      <c r="F113" s="17">
        <f>SUMIFS(Source_Evolution!$F$3:$F$731,Source_Evolution!$A$3:$A$731,$A113)</f>
        <v/>
      </c>
      <c r="G113" s="17">
        <f>SUMIFS(Source_Evolution!$G$3:$G$731,Source_Evolution!$A$3:$A$731,$A113)</f>
        <v/>
      </c>
      <c r="H113" s="17">
        <f>SUMIFS(Source_Evolution!$H$3:$H$731,Source_Evolution!$A$3:$A$731,$A113)</f>
        <v/>
      </c>
      <c r="I113" s="17">
        <f>SUMIFS(Source_Evolution!$I$3:$I$731,Source_Evolution!$A$3:$A$731,$A113)</f>
        <v/>
      </c>
      <c r="J113" s="17">
        <f>SUMIFS(Source_Evolution!$J$3:$J$731,Source_Evolution!$A$3:$A$731,$A113)</f>
        <v/>
      </c>
      <c r="K113" s="17">
        <f>SUMIFS(Source_Evolution!$K$3:$K$731,Source_Evolution!$A$3:$A$731,$A113)</f>
        <v/>
      </c>
      <c r="L113" s="17">
        <f>SUMIFS(Source_Evolution!$L$3:$L$731,Source_Evolution!$A$3:$A$731,$A113)</f>
        <v/>
      </c>
      <c r="M113" s="17">
        <f>SUMIFS(Source_Evolution!$M$3:$M$731,Source_Evolution!$A$3:$A$731,$A113)</f>
        <v/>
      </c>
      <c r="N113" s="17">
        <f>SUMIFS(Source_Evolution!$N$3:$N$731,Source_Evolution!$A$3:$A$731,$A113)</f>
        <v/>
      </c>
      <c r="O113" s="17">
        <f>SUMIFS(Source_Evolution!$O$3:$O$731,Source_Evolution!$A$3:$A$731,$A113)</f>
        <v/>
      </c>
      <c r="P113" s="17">
        <f>SUMIFS(Source_Evolution!$P$3:$P$731,Source_Evolution!$A$3:$A$731,$A113)</f>
        <v/>
      </c>
      <c r="Q113" s="17">
        <f>SUMIFS(Source_Evolution!$Q$3:$Q$731,Source_Evolution!$A$3:$A$731,$A113)</f>
        <v/>
      </c>
      <c r="R113" s="17">
        <f>SUM(E113:Q113)</f>
        <v/>
      </c>
      <c r="S113" s="17">
        <f>Q113</f>
        <v/>
      </c>
      <c r="T113">
        <f>IF(B113="Software",1,0)</f>
        <v/>
      </c>
      <c r="U113" s="18">
        <f>SUMPRODUCT((Source_Evolution!$A$3:$A$731=$A113)*(Source_Evolution!$E$3:$E$731&gt;0))</f>
        <v/>
      </c>
      <c r="V113" s="18">
        <f>SUMPRODUCT((Source_Evolution!$A$3:$A$731=$A113)*(Source_Evolution!$F$3:$F$731&gt;0))</f>
        <v/>
      </c>
      <c r="W113" s="18">
        <f>SUMPRODUCT((Source_Evolution!$A$3:$A$731=$A113)*(Source_Evolution!$G$3:$G$731&gt;0))</f>
        <v/>
      </c>
      <c r="X113" s="18">
        <f>SUMPRODUCT((Source_Evolution!$A$3:$A$731=$A113)*(Source_Evolution!$H$3:$H$731&gt;0))</f>
        <v/>
      </c>
      <c r="Y113" s="18">
        <f>SUMPRODUCT((Source_Evolution!$A$3:$A$731=$A113)*(Source_Evolution!$I$3:$I$731&gt;0))</f>
        <v/>
      </c>
      <c r="Z113" s="18">
        <f>SUMPRODUCT((Source_Evolution!$A$3:$A$731=$A113)*(Source_Evolution!$J$3:$J$731&gt;0))</f>
        <v/>
      </c>
      <c r="AA113" s="18">
        <f>SUMPRODUCT((Source_Evolution!$A$3:$A$731=$A113)*(Source_Evolution!$K$3:$K$731&gt;0))</f>
        <v/>
      </c>
      <c r="AB113" s="18">
        <f>SUMPRODUCT((Source_Evolution!$A$3:$A$731=$A113)*(Source_Evolution!$L$3:$L$731&gt;0))</f>
        <v/>
      </c>
      <c r="AC113" s="18">
        <f>SUMPRODUCT((Source_Evolution!$A$3:$A$731=$A113)*(Source_Evolution!$M$3:$M$731&gt;0))</f>
        <v/>
      </c>
      <c r="AD113" s="18">
        <f>SUMPRODUCT((Source_Evolution!$A$3:$A$731=$A113)*(Source_Evolution!$N$3:$N$731&gt;0))</f>
        <v/>
      </c>
      <c r="AE113" s="18">
        <f>SUMPRODUCT((Source_Evolution!$A$3:$A$731=$A113)*(Source_Evolution!$O$3:$O$731&gt;0))</f>
        <v/>
      </c>
      <c r="AF113" s="18">
        <f>SUMPRODUCT((Source_Evolution!$A$3:$A$731=$A113)*(Source_Evolution!$P$3:$P$731&gt;0))</f>
        <v/>
      </c>
      <c r="AG113" s="18">
        <f>SUMPRODUCT((Source_Evolution!$A$3:$A$731=$A113)*(Source_Evolution!$Q$3:$Q$731&gt;0))</f>
        <v/>
      </c>
    </row>
    <row r="114">
      <c r="A114" t="inlineStr">
        <is>
          <t>Company 2</t>
        </is>
      </c>
      <c r="B114" t="inlineStr">
        <is>
          <t>Software</t>
        </is>
      </c>
      <c r="C114" t="inlineStr">
        <is>
          <t>Switzerland</t>
        </is>
      </c>
      <c r="D114" t="n">
        <v>2014</v>
      </c>
      <c r="E114" s="17">
        <f>SUMIFS(Source_Evolution!$E$3:$E$731,Source_Evolution!$A$3:$A$731,$A114)</f>
        <v/>
      </c>
      <c r="F114" s="17">
        <f>SUMIFS(Source_Evolution!$F$3:$F$731,Source_Evolution!$A$3:$A$731,$A114)</f>
        <v/>
      </c>
      <c r="G114" s="17">
        <f>SUMIFS(Source_Evolution!$G$3:$G$731,Source_Evolution!$A$3:$A$731,$A114)</f>
        <v/>
      </c>
      <c r="H114" s="17">
        <f>SUMIFS(Source_Evolution!$H$3:$H$731,Source_Evolution!$A$3:$A$731,$A114)</f>
        <v/>
      </c>
      <c r="I114" s="17">
        <f>SUMIFS(Source_Evolution!$I$3:$I$731,Source_Evolution!$A$3:$A$731,$A114)</f>
        <v/>
      </c>
      <c r="J114" s="17">
        <f>SUMIFS(Source_Evolution!$J$3:$J$731,Source_Evolution!$A$3:$A$731,$A114)</f>
        <v/>
      </c>
      <c r="K114" s="17">
        <f>SUMIFS(Source_Evolution!$K$3:$K$731,Source_Evolution!$A$3:$A$731,$A114)</f>
        <v/>
      </c>
      <c r="L114" s="17">
        <f>SUMIFS(Source_Evolution!$L$3:$L$731,Source_Evolution!$A$3:$A$731,$A114)</f>
        <v/>
      </c>
      <c r="M114" s="17">
        <f>SUMIFS(Source_Evolution!$M$3:$M$731,Source_Evolution!$A$3:$A$731,$A114)</f>
        <v/>
      </c>
      <c r="N114" s="17">
        <f>SUMIFS(Source_Evolution!$N$3:$N$731,Source_Evolution!$A$3:$A$731,$A114)</f>
        <v/>
      </c>
      <c r="O114" s="17">
        <f>SUMIFS(Source_Evolution!$O$3:$O$731,Source_Evolution!$A$3:$A$731,$A114)</f>
        <v/>
      </c>
      <c r="P114" s="17">
        <f>SUMIFS(Source_Evolution!$P$3:$P$731,Source_Evolution!$A$3:$A$731,$A114)</f>
        <v/>
      </c>
      <c r="Q114" s="17">
        <f>SUMIFS(Source_Evolution!$Q$3:$Q$731,Source_Evolution!$A$3:$A$731,$A114)</f>
        <v/>
      </c>
      <c r="R114" s="17">
        <f>SUM(E114:Q114)</f>
        <v/>
      </c>
      <c r="S114" s="17">
        <f>Q114</f>
        <v/>
      </c>
      <c r="T114">
        <f>IF(B114="Software",1,0)</f>
        <v/>
      </c>
      <c r="U114" s="18">
        <f>SUMPRODUCT((Source_Evolution!$A$3:$A$731=$A114)*(Source_Evolution!$E$3:$E$731&gt;0))</f>
        <v/>
      </c>
      <c r="V114" s="18">
        <f>SUMPRODUCT((Source_Evolution!$A$3:$A$731=$A114)*(Source_Evolution!$F$3:$F$731&gt;0))</f>
        <v/>
      </c>
      <c r="W114" s="18">
        <f>SUMPRODUCT((Source_Evolution!$A$3:$A$731=$A114)*(Source_Evolution!$G$3:$G$731&gt;0))</f>
        <v/>
      </c>
      <c r="X114" s="18">
        <f>SUMPRODUCT((Source_Evolution!$A$3:$A$731=$A114)*(Source_Evolution!$H$3:$H$731&gt;0))</f>
        <v/>
      </c>
      <c r="Y114" s="18">
        <f>SUMPRODUCT((Source_Evolution!$A$3:$A$731=$A114)*(Source_Evolution!$I$3:$I$731&gt;0))</f>
        <v/>
      </c>
      <c r="Z114" s="18">
        <f>SUMPRODUCT((Source_Evolution!$A$3:$A$731=$A114)*(Source_Evolution!$J$3:$J$731&gt;0))</f>
        <v/>
      </c>
      <c r="AA114" s="18">
        <f>SUMPRODUCT((Source_Evolution!$A$3:$A$731=$A114)*(Source_Evolution!$K$3:$K$731&gt;0))</f>
        <v/>
      </c>
      <c r="AB114" s="18">
        <f>SUMPRODUCT((Source_Evolution!$A$3:$A$731=$A114)*(Source_Evolution!$L$3:$L$731&gt;0))</f>
        <v/>
      </c>
      <c r="AC114" s="18">
        <f>SUMPRODUCT((Source_Evolution!$A$3:$A$731=$A114)*(Source_Evolution!$M$3:$M$731&gt;0))</f>
        <v/>
      </c>
      <c r="AD114" s="18">
        <f>SUMPRODUCT((Source_Evolution!$A$3:$A$731=$A114)*(Source_Evolution!$N$3:$N$731&gt;0))</f>
        <v/>
      </c>
      <c r="AE114" s="18">
        <f>SUMPRODUCT((Source_Evolution!$A$3:$A$731=$A114)*(Source_Evolution!$O$3:$O$731&gt;0))</f>
        <v/>
      </c>
      <c r="AF114" s="18">
        <f>SUMPRODUCT((Source_Evolution!$A$3:$A$731=$A114)*(Source_Evolution!$P$3:$P$731&gt;0))</f>
        <v/>
      </c>
      <c r="AG114" s="18">
        <f>SUMPRODUCT((Source_Evolution!$A$3:$A$731=$A114)*(Source_Evolution!$Q$3:$Q$731&gt;0))</f>
        <v/>
      </c>
    </row>
    <row r="115">
      <c r="A115" t="inlineStr">
        <is>
          <t>Company 20</t>
        </is>
      </c>
      <c r="B115" t="inlineStr">
        <is>
          <t>Operations</t>
        </is>
      </c>
      <c r="C115" t="inlineStr">
        <is>
          <t>UK</t>
        </is>
      </c>
      <c r="D115" t="n">
        <v>2014</v>
      </c>
      <c r="E115" s="17">
        <f>SUMIFS(Source_Evolution!$E$3:$E$731,Source_Evolution!$A$3:$A$731,$A115)</f>
        <v/>
      </c>
      <c r="F115" s="17">
        <f>SUMIFS(Source_Evolution!$F$3:$F$731,Source_Evolution!$A$3:$A$731,$A115)</f>
        <v/>
      </c>
      <c r="G115" s="17">
        <f>SUMIFS(Source_Evolution!$G$3:$G$731,Source_Evolution!$A$3:$A$731,$A115)</f>
        <v/>
      </c>
      <c r="H115" s="17">
        <f>SUMIFS(Source_Evolution!$H$3:$H$731,Source_Evolution!$A$3:$A$731,$A115)</f>
        <v/>
      </c>
      <c r="I115" s="17">
        <f>SUMIFS(Source_Evolution!$I$3:$I$731,Source_Evolution!$A$3:$A$731,$A115)</f>
        <v/>
      </c>
      <c r="J115" s="17">
        <f>SUMIFS(Source_Evolution!$J$3:$J$731,Source_Evolution!$A$3:$A$731,$A115)</f>
        <v/>
      </c>
      <c r="K115" s="17">
        <f>SUMIFS(Source_Evolution!$K$3:$K$731,Source_Evolution!$A$3:$A$731,$A115)</f>
        <v/>
      </c>
      <c r="L115" s="17">
        <f>SUMIFS(Source_Evolution!$L$3:$L$731,Source_Evolution!$A$3:$A$731,$A115)</f>
        <v/>
      </c>
      <c r="M115" s="17">
        <f>SUMIFS(Source_Evolution!$M$3:$M$731,Source_Evolution!$A$3:$A$731,$A115)</f>
        <v/>
      </c>
      <c r="N115" s="17">
        <f>SUMIFS(Source_Evolution!$N$3:$N$731,Source_Evolution!$A$3:$A$731,$A115)</f>
        <v/>
      </c>
      <c r="O115" s="17">
        <f>SUMIFS(Source_Evolution!$O$3:$O$731,Source_Evolution!$A$3:$A$731,$A115)</f>
        <v/>
      </c>
      <c r="P115" s="17">
        <f>SUMIFS(Source_Evolution!$P$3:$P$731,Source_Evolution!$A$3:$A$731,$A115)</f>
        <v/>
      </c>
      <c r="Q115" s="17">
        <f>SUMIFS(Source_Evolution!$Q$3:$Q$731,Source_Evolution!$A$3:$A$731,$A115)</f>
        <v/>
      </c>
      <c r="R115" s="17">
        <f>SUM(E115:Q115)</f>
        <v/>
      </c>
      <c r="S115" s="17">
        <f>Q115</f>
        <v/>
      </c>
      <c r="T115">
        <f>IF(B115="Software",1,0)</f>
        <v/>
      </c>
      <c r="U115" s="18">
        <f>SUMPRODUCT((Source_Evolution!$A$3:$A$731=$A115)*(Source_Evolution!$E$3:$E$731&gt;0))</f>
        <v/>
      </c>
      <c r="V115" s="18">
        <f>SUMPRODUCT((Source_Evolution!$A$3:$A$731=$A115)*(Source_Evolution!$F$3:$F$731&gt;0))</f>
        <v/>
      </c>
      <c r="W115" s="18">
        <f>SUMPRODUCT((Source_Evolution!$A$3:$A$731=$A115)*(Source_Evolution!$G$3:$G$731&gt;0))</f>
        <v/>
      </c>
      <c r="X115" s="18">
        <f>SUMPRODUCT((Source_Evolution!$A$3:$A$731=$A115)*(Source_Evolution!$H$3:$H$731&gt;0))</f>
        <v/>
      </c>
      <c r="Y115" s="18">
        <f>SUMPRODUCT((Source_Evolution!$A$3:$A$731=$A115)*(Source_Evolution!$I$3:$I$731&gt;0))</f>
        <v/>
      </c>
      <c r="Z115" s="18">
        <f>SUMPRODUCT((Source_Evolution!$A$3:$A$731=$A115)*(Source_Evolution!$J$3:$J$731&gt;0))</f>
        <v/>
      </c>
      <c r="AA115" s="18">
        <f>SUMPRODUCT((Source_Evolution!$A$3:$A$731=$A115)*(Source_Evolution!$K$3:$K$731&gt;0))</f>
        <v/>
      </c>
      <c r="AB115" s="18">
        <f>SUMPRODUCT((Source_Evolution!$A$3:$A$731=$A115)*(Source_Evolution!$L$3:$L$731&gt;0))</f>
        <v/>
      </c>
      <c r="AC115" s="18">
        <f>SUMPRODUCT((Source_Evolution!$A$3:$A$731=$A115)*(Source_Evolution!$M$3:$M$731&gt;0))</f>
        <v/>
      </c>
      <c r="AD115" s="18">
        <f>SUMPRODUCT((Source_Evolution!$A$3:$A$731=$A115)*(Source_Evolution!$N$3:$N$731&gt;0))</f>
        <v/>
      </c>
      <c r="AE115" s="18">
        <f>SUMPRODUCT((Source_Evolution!$A$3:$A$731=$A115)*(Source_Evolution!$O$3:$O$731&gt;0))</f>
        <v/>
      </c>
      <c r="AF115" s="18">
        <f>SUMPRODUCT((Source_Evolution!$A$3:$A$731=$A115)*(Source_Evolution!$P$3:$P$731&gt;0))</f>
        <v/>
      </c>
      <c r="AG115" s="18">
        <f>SUMPRODUCT((Source_Evolution!$A$3:$A$731=$A115)*(Source_Evolution!$Q$3:$Q$731&gt;0))</f>
        <v/>
      </c>
    </row>
    <row r="116">
      <c r="A116" t="inlineStr">
        <is>
          <t>Company 200</t>
        </is>
      </c>
      <c r="B116" t="inlineStr">
        <is>
          <t>Software</t>
        </is>
      </c>
      <c r="C116" t="inlineStr">
        <is>
          <t>Czech Republic</t>
        </is>
      </c>
      <c r="D116" t="n">
        <v>2014</v>
      </c>
      <c r="E116" s="17">
        <f>SUMIFS(Source_Evolution!$E$3:$E$731,Source_Evolution!$A$3:$A$731,$A116)</f>
        <v/>
      </c>
      <c r="F116" s="17">
        <f>SUMIFS(Source_Evolution!$F$3:$F$731,Source_Evolution!$A$3:$A$731,$A116)</f>
        <v/>
      </c>
      <c r="G116" s="17">
        <f>SUMIFS(Source_Evolution!$G$3:$G$731,Source_Evolution!$A$3:$A$731,$A116)</f>
        <v/>
      </c>
      <c r="H116" s="17">
        <f>SUMIFS(Source_Evolution!$H$3:$H$731,Source_Evolution!$A$3:$A$731,$A116)</f>
        <v/>
      </c>
      <c r="I116" s="17">
        <f>SUMIFS(Source_Evolution!$I$3:$I$731,Source_Evolution!$A$3:$A$731,$A116)</f>
        <v/>
      </c>
      <c r="J116" s="17">
        <f>SUMIFS(Source_Evolution!$J$3:$J$731,Source_Evolution!$A$3:$A$731,$A116)</f>
        <v/>
      </c>
      <c r="K116" s="17">
        <f>SUMIFS(Source_Evolution!$K$3:$K$731,Source_Evolution!$A$3:$A$731,$A116)</f>
        <v/>
      </c>
      <c r="L116" s="17">
        <f>SUMIFS(Source_Evolution!$L$3:$L$731,Source_Evolution!$A$3:$A$731,$A116)</f>
        <v/>
      </c>
      <c r="M116" s="17">
        <f>SUMIFS(Source_Evolution!$M$3:$M$731,Source_Evolution!$A$3:$A$731,$A116)</f>
        <v/>
      </c>
      <c r="N116" s="17">
        <f>SUMIFS(Source_Evolution!$N$3:$N$731,Source_Evolution!$A$3:$A$731,$A116)</f>
        <v/>
      </c>
      <c r="O116" s="17">
        <f>SUMIFS(Source_Evolution!$O$3:$O$731,Source_Evolution!$A$3:$A$731,$A116)</f>
        <v/>
      </c>
      <c r="P116" s="17">
        <f>SUMIFS(Source_Evolution!$P$3:$P$731,Source_Evolution!$A$3:$A$731,$A116)</f>
        <v/>
      </c>
      <c r="Q116" s="17">
        <f>SUMIFS(Source_Evolution!$Q$3:$Q$731,Source_Evolution!$A$3:$A$731,$A116)</f>
        <v/>
      </c>
      <c r="R116" s="17">
        <f>SUM(E116:Q116)</f>
        <v/>
      </c>
      <c r="S116" s="17">
        <f>Q116</f>
        <v/>
      </c>
      <c r="T116">
        <f>IF(B116="Software",1,0)</f>
        <v/>
      </c>
      <c r="U116" s="18">
        <f>SUMPRODUCT((Source_Evolution!$A$3:$A$731=$A116)*(Source_Evolution!$E$3:$E$731&gt;0))</f>
        <v/>
      </c>
      <c r="V116" s="18">
        <f>SUMPRODUCT((Source_Evolution!$A$3:$A$731=$A116)*(Source_Evolution!$F$3:$F$731&gt;0))</f>
        <v/>
      </c>
      <c r="W116" s="18">
        <f>SUMPRODUCT((Source_Evolution!$A$3:$A$731=$A116)*(Source_Evolution!$G$3:$G$731&gt;0))</f>
        <v/>
      </c>
      <c r="X116" s="18">
        <f>SUMPRODUCT((Source_Evolution!$A$3:$A$731=$A116)*(Source_Evolution!$H$3:$H$731&gt;0))</f>
        <v/>
      </c>
      <c r="Y116" s="18">
        <f>SUMPRODUCT((Source_Evolution!$A$3:$A$731=$A116)*(Source_Evolution!$I$3:$I$731&gt;0))</f>
        <v/>
      </c>
      <c r="Z116" s="18">
        <f>SUMPRODUCT((Source_Evolution!$A$3:$A$731=$A116)*(Source_Evolution!$J$3:$J$731&gt;0))</f>
        <v/>
      </c>
      <c r="AA116" s="18">
        <f>SUMPRODUCT((Source_Evolution!$A$3:$A$731=$A116)*(Source_Evolution!$K$3:$K$731&gt;0))</f>
        <v/>
      </c>
      <c r="AB116" s="18">
        <f>SUMPRODUCT((Source_Evolution!$A$3:$A$731=$A116)*(Source_Evolution!$L$3:$L$731&gt;0))</f>
        <v/>
      </c>
      <c r="AC116" s="18">
        <f>SUMPRODUCT((Source_Evolution!$A$3:$A$731=$A116)*(Source_Evolution!$M$3:$M$731&gt;0))</f>
        <v/>
      </c>
      <c r="AD116" s="18">
        <f>SUMPRODUCT((Source_Evolution!$A$3:$A$731=$A116)*(Source_Evolution!$N$3:$N$731&gt;0))</f>
        <v/>
      </c>
      <c r="AE116" s="18">
        <f>SUMPRODUCT((Source_Evolution!$A$3:$A$731=$A116)*(Source_Evolution!$O$3:$O$731&gt;0))</f>
        <v/>
      </c>
      <c r="AF116" s="18">
        <f>SUMPRODUCT((Source_Evolution!$A$3:$A$731=$A116)*(Source_Evolution!$P$3:$P$731&gt;0))</f>
        <v/>
      </c>
      <c r="AG116" s="18">
        <f>SUMPRODUCT((Source_Evolution!$A$3:$A$731=$A116)*(Source_Evolution!$Q$3:$Q$731&gt;0))</f>
        <v/>
      </c>
    </row>
    <row r="117">
      <c r="A117" t="inlineStr">
        <is>
          <t>Company 201</t>
        </is>
      </c>
      <c r="B117" t="inlineStr">
        <is>
          <t>Software</t>
        </is>
      </c>
      <c r="C117" t="inlineStr">
        <is>
          <t>UK</t>
        </is>
      </c>
      <c r="D117" t="n">
        <v>2016</v>
      </c>
      <c r="E117" s="17">
        <f>SUMIFS(Source_Evolution!$E$3:$E$731,Source_Evolution!$A$3:$A$731,$A117)</f>
        <v/>
      </c>
      <c r="F117" s="17">
        <f>SUMIFS(Source_Evolution!$F$3:$F$731,Source_Evolution!$A$3:$A$731,$A117)</f>
        <v/>
      </c>
      <c r="G117" s="17">
        <f>SUMIFS(Source_Evolution!$G$3:$G$731,Source_Evolution!$A$3:$A$731,$A117)</f>
        <v/>
      </c>
      <c r="H117" s="17">
        <f>SUMIFS(Source_Evolution!$H$3:$H$731,Source_Evolution!$A$3:$A$731,$A117)</f>
        <v/>
      </c>
      <c r="I117" s="17">
        <f>SUMIFS(Source_Evolution!$I$3:$I$731,Source_Evolution!$A$3:$A$731,$A117)</f>
        <v/>
      </c>
      <c r="J117" s="17">
        <f>SUMIFS(Source_Evolution!$J$3:$J$731,Source_Evolution!$A$3:$A$731,$A117)</f>
        <v/>
      </c>
      <c r="K117" s="17">
        <f>SUMIFS(Source_Evolution!$K$3:$K$731,Source_Evolution!$A$3:$A$731,$A117)</f>
        <v/>
      </c>
      <c r="L117" s="17">
        <f>SUMIFS(Source_Evolution!$L$3:$L$731,Source_Evolution!$A$3:$A$731,$A117)</f>
        <v/>
      </c>
      <c r="M117" s="17">
        <f>SUMIFS(Source_Evolution!$M$3:$M$731,Source_Evolution!$A$3:$A$731,$A117)</f>
        <v/>
      </c>
      <c r="N117" s="17">
        <f>SUMIFS(Source_Evolution!$N$3:$N$731,Source_Evolution!$A$3:$A$731,$A117)</f>
        <v/>
      </c>
      <c r="O117" s="17">
        <f>SUMIFS(Source_Evolution!$O$3:$O$731,Source_Evolution!$A$3:$A$731,$A117)</f>
        <v/>
      </c>
      <c r="P117" s="17">
        <f>SUMIFS(Source_Evolution!$P$3:$P$731,Source_Evolution!$A$3:$A$731,$A117)</f>
        <v/>
      </c>
      <c r="Q117" s="17">
        <f>SUMIFS(Source_Evolution!$Q$3:$Q$731,Source_Evolution!$A$3:$A$731,$A117)</f>
        <v/>
      </c>
      <c r="R117" s="17">
        <f>SUM(E117:Q117)</f>
        <v/>
      </c>
      <c r="S117" s="17">
        <f>Q117</f>
        <v/>
      </c>
      <c r="T117">
        <f>IF(B117="Software",1,0)</f>
        <v/>
      </c>
      <c r="U117" s="18">
        <f>SUMPRODUCT((Source_Evolution!$A$3:$A$731=$A117)*(Source_Evolution!$E$3:$E$731&gt;0))</f>
        <v/>
      </c>
      <c r="V117" s="18">
        <f>SUMPRODUCT((Source_Evolution!$A$3:$A$731=$A117)*(Source_Evolution!$F$3:$F$731&gt;0))</f>
        <v/>
      </c>
      <c r="W117" s="18">
        <f>SUMPRODUCT((Source_Evolution!$A$3:$A$731=$A117)*(Source_Evolution!$G$3:$G$731&gt;0))</f>
        <v/>
      </c>
      <c r="X117" s="18">
        <f>SUMPRODUCT((Source_Evolution!$A$3:$A$731=$A117)*(Source_Evolution!$H$3:$H$731&gt;0))</f>
        <v/>
      </c>
      <c r="Y117" s="18">
        <f>SUMPRODUCT((Source_Evolution!$A$3:$A$731=$A117)*(Source_Evolution!$I$3:$I$731&gt;0))</f>
        <v/>
      </c>
      <c r="Z117" s="18">
        <f>SUMPRODUCT((Source_Evolution!$A$3:$A$731=$A117)*(Source_Evolution!$J$3:$J$731&gt;0))</f>
        <v/>
      </c>
      <c r="AA117" s="18">
        <f>SUMPRODUCT((Source_Evolution!$A$3:$A$731=$A117)*(Source_Evolution!$K$3:$K$731&gt;0))</f>
        <v/>
      </c>
      <c r="AB117" s="18">
        <f>SUMPRODUCT((Source_Evolution!$A$3:$A$731=$A117)*(Source_Evolution!$L$3:$L$731&gt;0))</f>
        <v/>
      </c>
      <c r="AC117" s="18">
        <f>SUMPRODUCT((Source_Evolution!$A$3:$A$731=$A117)*(Source_Evolution!$M$3:$M$731&gt;0))</f>
        <v/>
      </c>
      <c r="AD117" s="18">
        <f>SUMPRODUCT((Source_Evolution!$A$3:$A$731=$A117)*(Source_Evolution!$N$3:$N$731&gt;0))</f>
        <v/>
      </c>
      <c r="AE117" s="18">
        <f>SUMPRODUCT((Source_Evolution!$A$3:$A$731=$A117)*(Source_Evolution!$O$3:$O$731&gt;0))</f>
        <v/>
      </c>
      <c r="AF117" s="18">
        <f>SUMPRODUCT((Source_Evolution!$A$3:$A$731=$A117)*(Source_Evolution!$P$3:$P$731&gt;0))</f>
        <v/>
      </c>
      <c r="AG117" s="18">
        <f>SUMPRODUCT((Source_Evolution!$A$3:$A$731=$A117)*(Source_Evolution!$Q$3:$Q$731&gt;0))</f>
        <v/>
      </c>
    </row>
    <row r="118">
      <c r="A118" t="inlineStr">
        <is>
          <t>Company 202</t>
        </is>
      </c>
      <c r="B118" t="inlineStr">
        <is>
          <t>Software</t>
        </is>
      </c>
      <c r="C118" t="inlineStr">
        <is>
          <t>Norway</t>
        </is>
      </c>
      <c r="D118" t="n">
        <v>2014</v>
      </c>
      <c r="E118" s="17">
        <f>SUMIFS(Source_Evolution!$E$3:$E$731,Source_Evolution!$A$3:$A$731,$A118)</f>
        <v/>
      </c>
      <c r="F118" s="17">
        <f>SUMIFS(Source_Evolution!$F$3:$F$731,Source_Evolution!$A$3:$A$731,$A118)</f>
        <v/>
      </c>
      <c r="G118" s="17">
        <f>SUMIFS(Source_Evolution!$G$3:$G$731,Source_Evolution!$A$3:$A$731,$A118)</f>
        <v/>
      </c>
      <c r="H118" s="17">
        <f>SUMIFS(Source_Evolution!$H$3:$H$731,Source_Evolution!$A$3:$A$731,$A118)</f>
        <v/>
      </c>
      <c r="I118" s="17">
        <f>SUMIFS(Source_Evolution!$I$3:$I$731,Source_Evolution!$A$3:$A$731,$A118)</f>
        <v/>
      </c>
      <c r="J118" s="17">
        <f>SUMIFS(Source_Evolution!$J$3:$J$731,Source_Evolution!$A$3:$A$731,$A118)</f>
        <v/>
      </c>
      <c r="K118" s="17">
        <f>SUMIFS(Source_Evolution!$K$3:$K$731,Source_Evolution!$A$3:$A$731,$A118)</f>
        <v/>
      </c>
      <c r="L118" s="17">
        <f>SUMIFS(Source_Evolution!$L$3:$L$731,Source_Evolution!$A$3:$A$731,$A118)</f>
        <v/>
      </c>
      <c r="M118" s="17">
        <f>SUMIFS(Source_Evolution!$M$3:$M$731,Source_Evolution!$A$3:$A$731,$A118)</f>
        <v/>
      </c>
      <c r="N118" s="17">
        <f>SUMIFS(Source_Evolution!$N$3:$N$731,Source_Evolution!$A$3:$A$731,$A118)</f>
        <v/>
      </c>
      <c r="O118" s="17">
        <f>SUMIFS(Source_Evolution!$O$3:$O$731,Source_Evolution!$A$3:$A$731,$A118)</f>
        <v/>
      </c>
      <c r="P118" s="17">
        <f>SUMIFS(Source_Evolution!$P$3:$P$731,Source_Evolution!$A$3:$A$731,$A118)</f>
        <v/>
      </c>
      <c r="Q118" s="17">
        <f>SUMIFS(Source_Evolution!$Q$3:$Q$731,Source_Evolution!$A$3:$A$731,$A118)</f>
        <v/>
      </c>
      <c r="R118" s="17">
        <f>SUM(E118:Q118)</f>
        <v/>
      </c>
      <c r="S118" s="17">
        <f>Q118</f>
        <v/>
      </c>
      <c r="T118">
        <f>IF(B118="Software",1,0)</f>
        <v/>
      </c>
      <c r="U118" s="18">
        <f>SUMPRODUCT((Source_Evolution!$A$3:$A$731=$A118)*(Source_Evolution!$E$3:$E$731&gt;0))</f>
        <v/>
      </c>
      <c r="V118" s="18">
        <f>SUMPRODUCT((Source_Evolution!$A$3:$A$731=$A118)*(Source_Evolution!$F$3:$F$731&gt;0))</f>
        <v/>
      </c>
      <c r="W118" s="18">
        <f>SUMPRODUCT((Source_Evolution!$A$3:$A$731=$A118)*(Source_Evolution!$G$3:$G$731&gt;0))</f>
        <v/>
      </c>
      <c r="X118" s="18">
        <f>SUMPRODUCT((Source_Evolution!$A$3:$A$731=$A118)*(Source_Evolution!$H$3:$H$731&gt;0))</f>
        <v/>
      </c>
      <c r="Y118" s="18">
        <f>SUMPRODUCT((Source_Evolution!$A$3:$A$731=$A118)*(Source_Evolution!$I$3:$I$731&gt;0))</f>
        <v/>
      </c>
      <c r="Z118" s="18">
        <f>SUMPRODUCT((Source_Evolution!$A$3:$A$731=$A118)*(Source_Evolution!$J$3:$J$731&gt;0))</f>
        <v/>
      </c>
      <c r="AA118" s="18">
        <f>SUMPRODUCT((Source_Evolution!$A$3:$A$731=$A118)*(Source_Evolution!$K$3:$K$731&gt;0))</f>
        <v/>
      </c>
      <c r="AB118" s="18">
        <f>SUMPRODUCT((Source_Evolution!$A$3:$A$731=$A118)*(Source_Evolution!$L$3:$L$731&gt;0))</f>
        <v/>
      </c>
      <c r="AC118" s="18">
        <f>SUMPRODUCT((Source_Evolution!$A$3:$A$731=$A118)*(Source_Evolution!$M$3:$M$731&gt;0))</f>
        <v/>
      </c>
      <c r="AD118" s="18">
        <f>SUMPRODUCT((Source_Evolution!$A$3:$A$731=$A118)*(Source_Evolution!$N$3:$N$731&gt;0))</f>
        <v/>
      </c>
      <c r="AE118" s="18">
        <f>SUMPRODUCT((Source_Evolution!$A$3:$A$731=$A118)*(Source_Evolution!$O$3:$O$731&gt;0))</f>
        <v/>
      </c>
      <c r="AF118" s="18">
        <f>SUMPRODUCT((Source_Evolution!$A$3:$A$731=$A118)*(Source_Evolution!$P$3:$P$731&gt;0))</f>
        <v/>
      </c>
      <c r="AG118" s="18">
        <f>SUMPRODUCT((Source_Evolution!$A$3:$A$731=$A118)*(Source_Evolution!$Q$3:$Q$731&gt;0))</f>
        <v/>
      </c>
    </row>
    <row r="119">
      <c r="A119" t="inlineStr">
        <is>
          <t>Company 203</t>
        </is>
      </c>
      <c r="B119" t="inlineStr">
        <is>
          <t>Operations</t>
        </is>
      </c>
      <c r="C119" t="inlineStr">
        <is>
          <t>UK</t>
        </is>
      </c>
      <c r="D119" t="n">
        <v>2016</v>
      </c>
      <c r="E119" s="17">
        <f>SUMIFS(Source_Evolution!$E$3:$E$731,Source_Evolution!$A$3:$A$731,$A119)</f>
        <v/>
      </c>
      <c r="F119" s="17">
        <f>SUMIFS(Source_Evolution!$F$3:$F$731,Source_Evolution!$A$3:$A$731,$A119)</f>
        <v/>
      </c>
      <c r="G119" s="17">
        <f>SUMIFS(Source_Evolution!$G$3:$G$731,Source_Evolution!$A$3:$A$731,$A119)</f>
        <v/>
      </c>
      <c r="H119" s="17">
        <f>SUMIFS(Source_Evolution!$H$3:$H$731,Source_Evolution!$A$3:$A$731,$A119)</f>
        <v/>
      </c>
      <c r="I119" s="17">
        <f>SUMIFS(Source_Evolution!$I$3:$I$731,Source_Evolution!$A$3:$A$731,$A119)</f>
        <v/>
      </c>
      <c r="J119" s="17">
        <f>SUMIFS(Source_Evolution!$J$3:$J$731,Source_Evolution!$A$3:$A$731,$A119)</f>
        <v/>
      </c>
      <c r="K119" s="17">
        <f>SUMIFS(Source_Evolution!$K$3:$K$731,Source_Evolution!$A$3:$A$731,$A119)</f>
        <v/>
      </c>
      <c r="L119" s="17">
        <f>SUMIFS(Source_Evolution!$L$3:$L$731,Source_Evolution!$A$3:$A$731,$A119)</f>
        <v/>
      </c>
      <c r="M119" s="17">
        <f>SUMIFS(Source_Evolution!$M$3:$M$731,Source_Evolution!$A$3:$A$731,$A119)</f>
        <v/>
      </c>
      <c r="N119" s="17">
        <f>SUMIFS(Source_Evolution!$N$3:$N$731,Source_Evolution!$A$3:$A$731,$A119)</f>
        <v/>
      </c>
      <c r="O119" s="17">
        <f>SUMIFS(Source_Evolution!$O$3:$O$731,Source_Evolution!$A$3:$A$731,$A119)</f>
        <v/>
      </c>
      <c r="P119" s="17">
        <f>SUMIFS(Source_Evolution!$P$3:$P$731,Source_Evolution!$A$3:$A$731,$A119)</f>
        <v/>
      </c>
      <c r="Q119" s="17">
        <f>SUMIFS(Source_Evolution!$Q$3:$Q$731,Source_Evolution!$A$3:$A$731,$A119)</f>
        <v/>
      </c>
      <c r="R119" s="17">
        <f>SUM(E119:Q119)</f>
        <v/>
      </c>
      <c r="S119" s="17">
        <f>Q119</f>
        <v/>
      </c>
      <c r="T119">
        <f>IF(B119="Software",1,0)</f>
        <v/>
      </c>
      <c r="U119" s="18">
        <f>SUMPRODUCT((Source_Evolution!$A$3:$A$731=$A119)*(Source_Evolution!$E$3:$E$731&gt;0))</f>
        <v/>
      </c>
      <c r="V119" s="18">
        <f>SUMPRODUCT((Source_Evolution!$A$3:$A$731=$A119)*(Source_Evolution!$F$3:$F$731&gt;0))</f>
        <v/>
      </c>
      <c r="W119" s="18">
        <f>SUMPRODUCT((Source_Evolution!$A$3:$A$731=$A119)*(Source_Evolution!$G$3:$G$731&gt;0))</f>
        <v/>
      </c>
      <c r="X119" s="18">
        <f>SUMPRODUCT((Source_Evolution!$A$3:$A$731=$A119)*(Source_Evolution!$H$3:$H$731&gt;0))</f>
        <v/>
      </c>
      <c r="Y119" s="18">
        <f>SUMPRODUCT((Source_Evolution!$A$3:$A$731=$A119)*(Source_Evolution!$I$3:$I$731&gt;0))</f>
        <v/>
      </c>
      <c r="Z119" s="18">
        <f>SUMPRODUCT((Source_Evolution!$A$3:$A$731=$A119)*(Source_Evolution!$J$3:$J$731&gt;0))</f>
        <v/>
      </c>
      <c r="AA119" s="18">
        <f>SUMPRODUCT((Source_Evolution!$A$3:$A$731=$A119)*(Source_Evolution!$K$3:$K$731&gt;0))</f>
        <v/>
      </c>
      <c r="AB119" s="18">
        <f>SUMPRODUCT((Source_Evolution!$A$3:$A$731=$A119)*(Source_Evolution!$L$3:$L$731&gt;0))</f>
        <v/>
      </c>
      <c r="AC119" s="18">
        <f>SUMPRODUCT((Source_Evolution!$A$3:$A$731=$A119)*(Source_Evolution!$M$3:$M$731&gt;0))</f>
        <v/>
      </c>
      <c r="AD119" s="18">
        <f>SUMPRODUCT((Source_Evolution!$A$3:$A$731=$A119)*(Source_Evolution!$N$3:$N$731&gt;0))</f>
        <v/>
      </c>
      <c r="AE119" s="18">
        <f>SUMPRODUCT((Source_Evolution!$A$3:$A$731=$A119)*(Source_Evolution!$O$3:$O$731&gt;0))</f>
        <v/>
      </c>
      <c r="AF119" s="18">
        <f>SUMPRODUCT((Source_Evolution!$A$3:$A$731=$A119)*(Source_Evolution!$P$3:$P$731&gt;0))</f>
        <v/>
      </c>
      <c r="AG119" s="18">
        <f>SUMPRODUCT((Source_Evolution!$A$3:$A$731=$A119)*(Source_Evolution!$Q$3:$Q$731&gt;0))</f>
        <v/>
      </c>
    </row>
    <row r="120">
      <c r="A120" t="inlineStr">
        <is>
          <t>Company 204</t>
        </is>
      </c>
      <c r="B120" t="inlineStr">
        <is>
          <t>Operations</t>
        </is>
      </c>
      <c r="C120" t="inlineStr">
        <is>
          <t>UK</t>
        </is>
      </c>
      <c r="D120" t="n">
        <v>2014</v>
      </c>
      <c r="E120" s="17">
        <f>SUMIFS(Source_Evolution!$E$3:$E$731,Source_Evolution!$A$3:$A$731,$A120)</f>
        <v/>
      </c>
      <c r="F120" s="17">
        <f>SUMIFS(Source_Evolution!$F$3:$F$731,Source_Evolution!$A$3:$A$731,$A120)</f>
        <v/>
      </c>
      <c r="G120" s="17">
        <f>SUMIFS(Source_Evolution!$G$3:$G$731,Source_Evolution!$A$3:$A$731,$A120)</f>
        <v/>
      </c>
      <c r="H120" s="17">
        <f>SUMIFS(Source_Evolution!$H$3:$H$731,Source_Evolution!$A$3:$A$731,$A120)</f>
        <v/>
      </c>
      <c r="I120" s="17">
        <f>SUMIFS(Source_Evolution!$I$3:$I$731,Source_Evolution!$A$3:$A$731,$A120)</f>
        <v/>
      </c>
      <c r="J120" s="17">
        <f>SUMIFS(Source_Evolution!$J$3:$J$731,Source_Evolution!$A$3:$A$731,$A120)</f>
        <v/>
      </c>
      <c r="K120" s="17">
        <f>SUMIFS(Source_Evolution!$K$3:$K$731,Source_Evolution!$A$3:$A$731,$A120)</f>
        <v/>
      </c>
      <c r="L120" s="17">
        <f>SUMIFS(Source_Evolution!$L$3:$L$731,Source_Evolution!$A$3:$A$731,$A120)</f>
        <v/>
      </c>
      <c r="M120" s="17">
        <f>SUMIFS(Source_Evolution!$M$3:$M$731,Source_Evolution!$A$3:$A$731,$A120)</f>
        <v/>
      </c>
      <c r="N120" s="17">
        <f>SUMIFS(Source_Evolution!$N$3:$N$731,Source_Evolution!$A$3:$A$731,$A120)</f>
        <v/>
      </c>
      <c r="O120" s="17">
        <f>SUMIFS(Source_Evolution!$O$3:$O$731,Source_Evolution!$A$3:$A$731,$A120)</f>
        <v/>
      </c>
      <c r="P120" s="17">
        <f>SUMIFS(Source_Evolution!$P$3:$P$731,Source_Evolution!$A$3:$A$731,$A120)</f>
        <v/>
      </c>
      <c r="Q120" s="17">
        <f>SUMIFS(Source_Evolution!$Q$3:$Q$731,Source_Evolution!$A$3:$A$731,$A120)</f>
        <v/>
      </c>
      <c r="R120" s="17">
        <f>SUM(E120:Q120)</f>
        <v/>
      </c>
      <c r="S120" s="17">
        <f>Q120</f>
        <v/>
      </c>
      <c r="T120">
        <f>IF(B120="Software",1,0)</f>
        <v/>
      </c>
      <c r="U120" s="18">
        <f>SUMPRODUCT((Source_Evolution!$A$3:$A$731=$A120)*(Source_Evolution!$E$3:$E$731&gt;0))</f>
        <v/>
      </c>
      <c r="V120" s="18">
        <f>SUMPRODUCT((Source_Evolution!$A$3:$A$731=$A120)*(Source_Evolution!$F$3:$F$731&gt;0))</f>
        <v/>
      </c>
      <c r="W120" s="18">
        <f>SUMPRODUCT((Source_Evolution!$A$3:$A$731=$A120)*(Source_Evolution!$G$3:$G$731&gt;0))</f>
        <v/>
      </c>
      <c r="X120" s="18">
        <f>SUMPRODUCT((Source_Evolution!$A$3:$A$731=$A120)*(Source_Evolution!$H$3:$H$731&gt;0))</f>
        <v/>
      </c>
      <c r="Y120" s="18">
        <f>SUMPRODUCT((Source_Evolution!$A$3:$A$731=$A120)*(Source_Evolution!$I$3:$I$731&gt;0))</f>
        <v/>
      </c>
      <c r="Z120" s="18">
        <f>SUMPRODUCT((Source_Evolution!$A$3:$A$731=$A120)*(Source_Evolution!$J$3:$J$731&gt;0))</f>
        <v/>
      </c>
      <c r="AA120" s="18">
        <f>SUMPRODUCT((Source_Evolution!$A$3:$A$731=$A120)*(Source_Evolution!$K$3:$K$731&gt;0))</f>
        <v/>
      </c>
      <c r="AB120" s="18">
        <f>SUMPRODUCT((Source_Evolution!$A$3:$A$731=$A120)*(Source_Evolution!$L$3:$L$731&gt;0))</f>
        <v/>
      </c>
      <c r="AC120" s="18">
        <f>SUMPRODUCT((Source_Evolution!$A$3:$A$731=$A120)*(Source_Evolution!$M$3:$M$731&gt;0))</f>
        <v/>
      </c>
      <c r="AD120" s="18">
        <f>SUMPRODUCT((Source_Evolution!$A$3:$A$731=$A120)*(Source_Evolution!$N$3:$N$731&gt;0))</f>
        <v/>
      </c>
      <c r="AE120" s="18">
        <f>SUMPRODUCT((Source_Evolution!$A$3:$A$731=$A120)*(Source_Evolution!$O$3:$O$731&gt;0))</f>
        <v/>
      </c>
      <c r="AF120" s="18">
        <f>SUMPRODUCT((Source_Evolution!$A$3:$A$731=$A120)*(Source_Evolution!$P$3:$P$731&gt;0))</f>
        <v/>
      </c>
      <c r="AG120" s="18">
        <f>SUMPRODUCT((Source_Evolution!$A$3:$A$731=$A120)*(Source_Evolution!$Q$3:$Q$731&gt;0))</f>
        <v/>
      </c>
    </row>
    <row r="121">
      <c r="A121" t="inlineStr">
        <is>
          <t>Company 205</t>
        </is>
      </c>
      <c r="B121" t="inlineStr">
        <is>
          <t>Software</t>
        </is>
      </c>
      <c r="C121" t="inlineStr">
        <is>
          <t>USA</t>
        </is>
      </c>
      <c r="D121" t="n">
        <v>2014</v>
      </c>
      <c r="E121" s="17">
        <f>SUMIFS(Source_Evolution!$E$3:$E$731,Source_Evolution!$A$3:$A$731,$A121)</f>
        <v/>
      </c>
      <c r="F121" s="17">
        <f>SUMIFS(Source_Evolution!$F$3:$F$731,Source_Evolution!$A$3:$A$731,$A121)</f>
        <v/>
      </c>
      <c r="G121" s="17">
        <f>SUMIFS(Source_Evolution!$G$3:$G$731,Source_Evolution!$A$3:$A$731,$A121)</f>
        <v/>
      </c>
      <c r="H121" s="17">
        <f>SUMIFS(Source_Evolution!$H$3:$H$731,Source_Evolution!$A$3:$A$731,$A121)</f>
        <v/>
      </c>
      <c r="I121" s="17">
        <f>SUMIFS(Source_Evolution!$I$3:$I$731,Source_Evolution!$A$3:$A$731,$A121)</f>
        <v/>
      </c>
      <c r="J121" s="17">
        <f>SUMIFS(Source_Evolution!$J$3:$J$731,Source_Evolution!$A$3:$A$731,$A121)</f>
        <v/>
      </c>
      <c r="K121" s="17">
        <f>SUMIFS(Source_Evolution!$K$3:$K$731,Source_Evolution!$A$3:$A$731,$A121)</f>
        <v/>
      </c>
      <c r="L121" s="17">
        <f>SUMIFS(Source_Evolution!$L$3:$L$731,Source_Evolution!$A$3:$A$731,$A121)</f>
        <v/>
      </c>
      <c r="M121" s="17">
        <f>SUMIFS(Source_Evolution!$M$3:$M$731,Source_Evolution!$A$3:$A$731,$A121)</f>
        <v/>
      </c>
      <c r="N121" s="17">
        <f>SUMIFS(Source_Evolution!$N$3:$N$731,Source_Evolution!$A$3:$A$731,$A121)</f>
        <v/>
      </c>
      <c r="O121" s="17">
        <f>SUMIFS(Source_Evolution!$O$3:$O$731,Source_Evolution!$A$3:$A$731,$A121)</f>
        <v/>
      </c>
      <c r="P121" s="17">
        <f>SUMIFS(Source_Evolution!$P$3:$P$731,Source_Evolution!$A$3:$A$731,$A121)</f>
        <v/>
      </c>
      <c r="Q121" s="17">
        <f>SUMIFS(Source_Evolution!$Q$3:$Q$731,Source_Evolution!$A$3:$A$731,$A121)</f>
        <v/>
      </c>
      <c r="R121" s="17">
        <f>SUM(E121:Q121)</f>
        <v/>
      </c>
      <c r="S121" s="17">
        <f>Q121</f>
        <v/>
      </c>
      <c r="T121">
        <f>IF(B121="Software",1,0)</f>
        <v/>
      </c>
      <c r="U121" s="18">
        <f>SUMPRODUCT((Source_Evolution!$A$3:$A$731=$A121)*(Source_Evolution!$E$3:$E$731&gt;0))</f>
        <v/>
      </c>
      <c r="V121" s="18">
        <f>SUMPRODUCT((Source_Evolution!$A$3:$A$731=$A121)*(Source_Evolution!$F$3:$F$731&gt;0))</f>
        <v/>
      </c>
      <c r="W121" s="18">
        <f>SUMPRODUCT((Source_Evolution!$A$3:$A$731=$A121)*(Source_Evolution!$G$3:$G$731&gt;0))</f>
        <v/>
      </c>
      <c r="X121" s="18">
        <f>SUMPRODUCT((Source_Evolution!$A$3:$A$731=$A121)*(Source_Evolution!$H$3:$H$731&gt;0))</f>
        <v/>
      </c>
      <c r="Y121" s="18">
        <f>SUMPRODUCT((Source_Evolution!$A$3:$A$731=$A121)*(Source_Evolution!$I$3:$I$731&gt;0))</f>
        <v/>
      </c>
      <c r="Z121" s="18">
        <f>SUMPRODUCT((Source_Evolution!$A$3:$A$731=$A121)*(Source_Evolution!$J$3:$J$731&gt;0))</f>
        <v/>
      </c>
      <c r="AA121" s="18">
        <f>SUMPRODUCT((Source_Evolution!$A$3:$A$731=$A121)*(Source_Evolution!$K$3:$K$731&gt;0))</f>
        <v/>
      </c>
      <c r="AB121" s="18">
        <f>SUMPRODUCT((Source_Evolution!$A$3:$A$731=$A121)*(Source_Evolution!$L$3:$L$731&gt;0))</f>
        <v/>
      </c>
      <c r="AC121" s="18">
        <f>SUMPRODUCT((Source_Evolution!$A$3:$A$731=$A121)*(Source_Evolution!$M$3:$M$731&gt;0))</f>
        <v/>
      </c>
      <c r="AD121" s="18">
        <f>SUMPRODUCT((Source_Evolution!$A$3:$A$731=$A121)*(Source_Evolution!$N$3:$N$731&gt;0))</f>
        <v/>
      </c>
      <c r="AE121" s="18">
        <f>SUMPRODUCT((Source_Evolution!$A$3:$A$731=$A121)*(Source_Evolution!$O$3:$O$731&gt;0))</f>
        <v/>
      </c>
      <c r="AF121" s="18">
        <f>SUMPRODUCT((Source_Evolution!$A$3:$A$731=$A121)*(Source_Evolution!$P$3:$P$731&gt;0))</f>
        <v/>
      </c>
      <c r="AG121" s="18">
        <f>SUMPRODUCT((Source_Evolution!$A$3:$A$731=$A121)*(Source_Evolution!$Q$3:$Q$731&gt;0))</f>
        <v/>
      </c>
    </row>
    <row r="122">
      <c r="A122" t="inlineStr">
        <is>
          <t>Company 206</t>
        </is>
      </c>
      <c r="B122" t="inlineStr">
        <is>
          <t>Operations</t>
        </is>
      </c>
      <c r="C122" t="inlineStr">
        <is>
          <t>UK</t>
        </is>
      </c>
      <c r="D122" t="n">
        <v>2023</v>
      </c>
      <c r="E122" s="17">
        <f>SUMIFS(Source_Evolution!$E$3:$E$731,Source_Evolution!$A$3:$A$731,$A122)</f>
        <v/>
      </c>
      <c r="F122" s="17">
        <f>SUMIFS(Source_Evolution!$F$3:$F$731,Source_Evolution!$A$3:$A$731,$A122)</f>
        <v/>
      </c>
      <c r="G122" s="17">
        <f>SUMIFS(Source_Evolution!$G$3:$G$731,Source_Evolution!$A$3:$A$731,$A122)</f>
        <v/>
      </c>
      <c r="H122" s="17">
        <f>SUMIFS(Source_Evolution!$H$3:$H$731,Source_Evolution!$A$3:$A$731,$A122)</f>
        <v/>
      </c>
      <c r="I122" s="17">
        <f>SUMIFS(Source_Evolution!$I$3:$I$731,Source_Evolution!$A$3:$A$731,$A122)</f>
        <v/>
      </c>
      <c r="J122" s="17">
        <f>SUMIFS(Source_Evolution!$J$3:$J$731,Source_Evolution!$A$3:$A$731,$A122)</f>
        <v/>
      </c>
      <c r="K122" s="17">
        <f>SUMIFS(Source_Evolution!$K$3:$K$731,Source_Evolution!$A$3:$A$731,$A122)</f>
        <v/>
      </c>
      <c r="L122" s="17">
        <f>SUMIFS(Source_Evolution!$L$3:$L$731,Source_Evolution!$A$3:$A$731,$A122)</f>
        <v/>
      </c>
      <c r="M122" s="17">
        <f>SUMIFS(Source_Evolution!$M$3:$M$731,Source_Evolution!$A$3:$A$731,$A122)</f>
        <v/>
      </c>
      <c r="N122" s="17">
        <f>SUMIFS(Source_Evolution!$N$3:$N$731,Source_Evolution!$A$3:$A$731,$A122)</f>
        <v/>
      </c>
      <c r="O122" s="17">
        <f>SUMIFS(Source_Evolution!$O$3:$O$731,Source_Evolution!$A$3:$A$731,$A122)</f>
        <v/>
      </c>
      <c r="P122" s="17">
        <f>SUMIFS(Source_Evolution!$P$3:$P$731,Source_Evolution!$A$3:$A$731,$A122)</f>
        <v/>
      </c>
      <c r="Q122" s="17">
        <f>SUMIFS(Source_Evolution!$Q$3:$Q$731,Source_Evolution!$A$3:$A$731,$A122)</f>
        <v/>
      </c>
      <c r="R122" s="17">
        <f>SUM(E122:Q122)</f>
        <v/>
      </c>
      <c r="S122" s="17">
        <f>Q122</f>
        <v/>
      </c>
      <c r="T122">
        <f>IF(B122="Software",1,0)</f>
        <v/>
      </c>
      <c r="U122" s="18">
        <f>SUMPRODUCT((Source_Evolution!$A$3:$A$731=$A122)*(Source_Evolution!$E$3:$E$731&gt;0))</f>
        <v/>
      </c>
      <c r="V122" s="18">
        <f>SUMPRODUCT((Source_Evolution!$A$3:$A$731=$A122)*(Source_Evolution!$F$3:$F$731&gt;0))</f>
        <v/>
      </c>
      <c r="W122" s="18">
        <f>SUMPRODUCT((Source_Evolution!$A$3:$A$731=$A122)*(Source_Evolution!$G$3:$G$731&gt;0))</f>
        <v/>
      </c>
      <c r="X122" s="18">
        <f>SUMPRODUCT((Source_Evolution!$A$3:$A$731=$A122)*(Source_Evolution!$H$3:$H$731&gt;0))</f>
        <v/>
      </c>
      <c r="Y122" s="18">
        <f>SUMPRODUCT((Source_Evolution!$A$3:$A$731=$A122)*(Source_Evolution!$I$3:$I$731&gt;0))</f>
        <v/>
      </c>
      <c r="Z122" s="18">
        <f>SUMPRODUCT((Source_Evolution!$A$3:$A$731=$A122)*(Source_Evolution!$J$3:$J$731&gt;0))</f>
        <v/>
      </c>
      <c r="AA122" s="18">
        <f>SUMPRODUCT((Source_Evolution!$A$3:$A$731=$A122)*(Source_Evolution!$K$3:$K$731&gt;0))</f>
        <v/>
      </c>
      <c r="AB122" s="18">
        <f>SUMPRODUCT((Source_Evolution!$A$3:$A$731=$A122)*(Source_Evolution!$L$3:$L$731&gt;0))</f>
        <v/>
      </c>
      <c r="AC122" s="18">
        <f>SUMPRODUCT((Source_Evolution!$A$3:$A$731=$A122)*(Source_Evolution!$M$3:$M$731&gt;0))</f>
        <v/>
      </c>
      <c r="AD122" s="18">
        <f>SUMPRODUCT((Source_Evolution!$A$3:$A$731=$A122)*(Source_Evolution!$N$3:$N$731&gt;0))</f>
        <v/>
      </c>
      <c r="AE122" s="18">
        <f>SUMPRODUCT((Source_Evolution!$A$3:$A$731=$A122)*(Source_Evolution!$O$3:$O$731&gt;0))</f>
        <v/>
      </c>
      <c r="AF122" s="18">
        <f>SUMPRODUCT((Source_Evolution!$A$3:$A$731=$A122)*(Source_Evolution!$P$3:$P$731&gt;0))</f>
        <v/>
      </c>
      <c r="AG122" s="18">
        <f>SUMPRODUCT((Source_Evolution!$A$3:$A$731=$A122)*(Source_Evolution!$Q$3:$Q$731&gt;0))</f>
        <v/>
      </c>
    </row>
    <row r="123">
      <c r="A123" t="inlineStr">
        <is>
          <t>Company 207</t>
        </is>
      </c>
      <c r="B123" t="inlineStr">
        <is>
          <t>Operations</t>
        </is>
      </c>
      <c r="C123" t="inlineStr">
        <is>
          <t>Germany</t>
        </is>
      </c>
      <c r="D123" t="n">
        <v>2024</v>
      </c>
      <c r="E123" s="17">
        <f>SUMIFS(Source_Evolution!$E$3:$E$731,Source_Evolution!$A$3:$A$731,$A123)</f>
        <v/>
      </c>
      <c r="F123" s="17">
        <f>SUMIFS(Source_Evolution!$F$3:$F$731,Source_Evolution!$A$3:$A$731,$A123)</f>
        <v/>
      </c>
      <c r="G123" s="17">
        <f>SUMIFS(Source_Evolution!$G$3:$G$731,Source_Evolution!$A$3:$A$731,$A123)</f>
        <v/>
      </c>
      <c r="H123" s="17">
        <f>SUMIFS(Source_Evolution!$H$3:$H$731,Source_Evolution!$A$3:$A$731,$A123)</f>
        <v/>
      </c>
      <c r="I123" s="17">
        <f>SUMIFS(Source_Evolution!$I$3:$I$731,Source_Evolution!$A$3:$A$731,$A123)</f>
        <v/>
      </c>
      <c r="J123" s="17">
        <f>SUMIFS(Source_Evolution!$J$3:$J$731,Source_Evolution!$A$3:$A$731,$A123)</f>
        <v/>
      </c>
      <c r="K123" s="17">
        <f>SUMIFS(Source_Evolution!$K$3:$K$731,Source_Evolution!$A$3:$A$731,$A123)</f>
        <v/>
      </c>
      <c r="L123" s="17">
        <f>SUMIFS(Source_Evolution!$L$3:$L$731,Source_Evolution!$A$3:$A$731,$A123)</f>
        <v/>
      </c>
      <c r="M123" s="17">
        <f>SUMIFS(Source_Evolution!$M$3:$M$731,Source_Evolution!$A$3:$A$731,$A123)</f>
        <v/>
      </c>
      <c r="N123" s="17">
        <f>SUMIFS(Source_Evolution!$N$3:$N$731,Source_Evolution!$A$3:$A$731,$A123)</f>
        <v/>
      </c>
      <c r="O123" s="17">
        <f>SUMIFS(Source_Evolution!$O$3:$O$731,Source_Evolution!$A$3:$A$731,$A123)</f>
        <v/>
      </c>
      <c r="P123" s="17">
        <f>SUMIFS(Source_Evolution!$P$3:$P$731,Source_Evolution!$A$3:$A$731,$A123)</f>
        <v/>
      </c>
      <c r="Q123" s="17">
        <f>SUMIFS(Source_Evolution!$Q$3:$Q$731,Source_Evolution!$A$3:$A$731,$A123)</f>
        <v/>
      </c>
      <c r="R123" s="17">
        <f>SUM(E123:Q123)</f>
        <v/>
      </c>
      <c r="S123" s="17">
        <f>Q123</f>
        <v/>
      </c>
      <c r="T123">
        <f>IF(B123="Software",1,0)</f>
        <v/>
      </c>
      <c r="U123" s="18">
        <f>SUMPRODUCT((Source_Evolution!$A$3:$A$731=$A123)*(Source_Evolution!$E$3:$E$731&gt;0))</f>
        <v/>
      </c>
      <c r="V123" s="18">
        <f>SUMPRODUCT((Source_Evolution!$A$3:$A$731=$A123)*(Source_Evolution!$F$3:$F$731&gt;0))</f>
        <v/>
      </c>
      <c r="W123" s="18">
        <f>SUMPRODUCT((Source_Evolution!$A$3:$A$731=$A123)*(Source_Evolution!$G$3:$G$731&gt;0))</f>
        <v/>
      </c>
      <c r="X123" s="18">
        <f>SUMPRODUCT((Source_Evolution!$A$3:$A$731=$A123)*(Source_Evolution!$H$3:$H$731&gt;0))</f>
        <v/>
      </c>
      <c r="Y123" s="18">
        <f>SUMPRODUCT((Source_Evolution!$A$3:$A$731=$A123)*(Source_Evolution!$I$3:$I$731&gt;0))</f>
        <v/>
      </c>
      <c r="Z123" s="18">
        <f>SUMPRODUCT((Source_Evolution!$A$3:$A$731=$A123)*(Source_Evolution!$J$3:$J$731&gt;0))</f>
        <v/>
      </c>
      <c r="AA123" s="18">
        <f>SUMPRODUCT((Source_Evolution!$A$3:$A$731=$A123)*(Source_Evolution!$K$3:$K$731&gt;0))</f>
        <v/>
      </c>
      <c r="AB123" s="18">
        <f>SUMPRODUCT((Source_Evolution!$A$3:$A$731=$A123)*(Source_Evolution!$L$3:$L$731&gt;0))</f>
        <v/>
      </c>
      <c r="AC123" s="18">
        <f>SUMPRODUCT((Source_Evolution!$A$3:$A$731=$A123)*(Source_Evolution!$M$3:$M$731&gt;0))</f>
        <v/>
      </c>
      <c r="AD123" s="18">
        <f>SUMPRODUCT((Source_Evolution!$A$3:$A$731=$A123)*(Source_Evolution!$N$3:$N$731&gt;0))</f>
        <v/>
      </c>
      <c r="AE123" s="18">
        <f>SUMPRODUCT((Source_Evolution!$A$3:$A$731=$A123)*(Source_Evolution!$O$3:$O$731&gt;0))</f>
        <v/>
      </c>
      <c r="AF123" s="18">
        <f>SUMPRODUCT((Source_Evolution!$A$3:$A$731=$A123)*(Source_Evolution!$P$3:$P$731&gt;0))</f>
        <v/>
      </c>
      <c r="AG123" s="18">
        <f>SUMPRODUCT((Source_Evolution!$A$3:$A$731=$A123)*(Source_Evolution!$Q$3:$Q$731&gt;0))</f>
        <v/>
      </c>
    </row>
    <row r="124">
      <c r="A124" t="inlineStr">
        <is>
          <t>Company 208</t>
        </is>
      </c>
      <c r="B124" t="inlineStr">
        <is>
          <t>Software</t>
        </is>
      </c>
      <c r="C124" t="inlineStr">
        <is>
          <t>UK</t>
        </is>
      </c>
      <c r="D124" t="n">
        <v>2014</v>
      </c>
      <c r="E124" s="17">
        <f>SUMIFS(Source_Evolution!$E$3:$E$731,Source_Evolution!$A$3:$A$731,$A124)</f>
        <v/>
      </c>
      <c r="F124" s="17">
        <f>SUMIFS(Source_Evolution!$F$3:$F$731,Source_Evolution!$A$3:$A$731,$A124)</f>
        <v/>
      </c>
      <c r="G124" s="17">
        <f>SUMIFS(Source_Evolution!$G$3:$G$731,Source_Evolution!$A$3:$A$731,$A124)</f>
        <v/>
      </c>
      <c r="H124" s="17">
        <f>SUMIFS(Source_Evolution!$H$3:$H$731,Source_Evolution!$A$3:$A$731,$A124)</f>
        <v/>
      </c>
      <c r="I124" s="17">
        <f>SUMIFS(Source_Evolution!$I$3:$I$731,Source_Evolution!$A$3:$A$731,$A124)</f>
        <v/>
      </c>
      <c r="J124" s="17">
        <f>SUMIFS(Source_Evolution!$J$3:$J$731,Source_Evolution!$A$3:$A$731,$A124)</f>
        <v/>
      </c>
      <c r="K124" s="17">
        <f>SUMIFS(Source_Evolution!$K$3:$K$731,Source_Evolution!$A$3:$A$731,$A124)</f>
        <v/>
      </c>
      <c r="L124" s="17">
        <f>SUMIFS(Source_Evolution!$L$3:$L$731,Source_Evolution!$A$3:$A$731,$A124)</f>
        <v/>
      </c>
      <c r="M124" s="17">
        <f>SUMIFS(Source_Evolution!$M$3:$M$731,Source_Evolution!$A$3:$A$731,$A124)</f>
        <v/>
      </c>
      <c r="N124" s="17">
        <f>SUMIFS(Source_Evolution!$N$3:$N$731,Source_Evolution!$A$3:$A$731,$A124)</f>
        <v/>
      </c>
      <c r="O124" s="17">
        <f>SUMIFS(Source_Evolution!$O$3:$O$731,Source_Evolution!$A$3:$A$731,$A124)</f>
        <v/>
      </c>
      <c r="P124" s="17">
        <f>SUMIFS(Source_Evolution!$P$3:$P$731,Source_Evolution!$A$3:$A$731,$A124)</f>
        <v/>
      </c>
      <c r="Q124" s="17">
        <f>SUMIFS(Source_Evolution!$Q$3:$Q$731,Source_Evolution!$A$3:$A$731,$A124)</f>
        <v/>
      </c>
      <c r="R124" s="17">
        <f>SUM(E124:Q124)</f>
        <v/>
      </c>
      <c r="S124" s="17">
        <f>Q124</f>
        <v/>
      </c>
      <c r="T124">
        <f>IF(B124="Software",1,0)</f>
        <v/>
      </c>
      <c r="U124" s="18">
        <f>SUMPRODUCT((Source_Evolution!$A$3:$A$731=$A124)*(Source_Evolution!$E$3:$E$731&gt;0))</f>
        <v/>
      </c>
      <c r="V124" s="18">
        <f>SUMPRODUCT((Source_Evolution!$A$3:$A$731=$A124)*(Source_Evolution!$F$3:$F$731&gt;0))</f>
        <v/>
      </c>
      <c r="W124" s="18">
        <f>SUMPRODUCT((Source_Evolution!$A$3:$A$731=$A124)*(Source_Evolution!$G$3:$G$731&gt;0))</f>
        <v/>
      </c>
      <c r="X124" s="18">
        <f>SUMPRODUCT((Source_Evolution!$A$3:$A$731=$A124)*(Source_Evolution!$H$3:$H$731&gt;0))</f>
        <v/>
      </c>
      <c r="Y124" s="18">
        <f>SUMPRODUCT((Source_Evolution!$A$3:$A$731=$A124)*(Source_Evolution!$I$3:$I$731&gt;0))</f>
        <v/>
      </c>
      <c r="Z124" s="18">
        <f>SUMPRODUCT((Source_Evolution!$A$3:$A$731=$A124)*(Source_Evolution!$J$3:$J$731&gt;0))</f>
        <v/>
      </c>
      <c r="AA124" s="18">
        <f>SUMPRODUCT((Source_Evolution!$A$3:$A$731=$A124)*(Source_Evolution!$K$3:$K$731&gt;0))</f>
        <v/>
      </c>
      <c r="AB124" s="18">
        <f>SUMPRODUCT((Source_Evolution!$A$3:$A$731=$A124)*(Source_Evolution!$L$3:$L$731&gt;0))</f>
        <v/>
      </c>
      <c r="AC124" s="18">
        <f>SUMPRODUCT((Source_Evolution!$A$3:$A$731=$A124)*(Source_Evolution!$M$3:$M$731&gt;0))</f>
        <v/>
      </c>
      <c r="AD124" s="18">
        <f>SUMPRODUCT((Source_Evolution!$A$3:$A$731=$A124)*(Source_Evolution!$N$3:$N$731&gt;0))</f>
        <v/>
      </c>
      <c r="AE124" s="18">
        <f>SUMPRODUCT((Source_Evolution!$A$3:$A$731=$A124)*(Source_Evolution!$O$3:$O$731&gt;0))</f>
        <v/>
      </c>
      <c r="AF124" s="18">
        <f>SUMPRODUCT((Source_Evolution!$A$3:$A$731=$A124)*(Source_Evolution!$P$3:$P$731&gt;0))</f>
        <v/>
      </c>
      <c r="AG124" s="18">
        <f>SUMPRODUCT((Source_Evolution!$A$3:$A$731=$A124)*(Source_Evolution!$Q$3:$Q$731&gt;0))</f>
        <v/>
      </c>
    </row>
    <row r="125">
      <c r="A125" t="inlineStr">
        <is>
          <t>Company 209</t>
        </is>
      </c>
      <c r="B125" t="inlineStr">
        <is>
          <t>Software</t>
        </is>
      </c>
      <c r="C125" t="inlineStr">
        <is>
          <t>Norway</t>
        </is>
      </c>
      <c r="D125" t="n">
        <v>2019</v>
      </c>
      <c r="E125" s="17">
        <f>SUMIFS(Source_Evolution!$E$3:$E$731,Source_Evolution!$A$3:$A$731,$A125)</f>
        <v/>
      </c>
      <c r="F125" s="17">
        <f>SUMIFS(Source_Evolution!$F$3:$F$731,Source_Evolution!$A$3:$A$731,$A125)</f>
        <v/>
      </c>
      <c r="G125" s="17">
        <f>SUMIFS(Source_Evolution!$G$3:$G$731,Source_Evolution!$A$3:$A$731,$A125)</f>
        <v/>
      </c>
      <c r="H125" s="17">
        <f>SUMIFS(Source_Evolution!$H$3:$H$731,Source_Evolution!$A$3:$A$731,$A125)</f>
        <v/>
      </c>
      <c r="I125" s="17">
        <f>SUMIFS(Source_Evolution!$I$3:$I$731,Source_Evolution!$A$3:$A$731,$A125)</f>
        <v/>
      </c>
      <c r="J125" s="17">
        <f>SUMIFS(Source_Evolution!$J$3:$J$731,Source_Evolution!$A$3:$A$731,$A125)</f>
        <v/>
      </c>
      <c r="K125" s="17">
        <f>SUMIFS(Source_Evolution!$K$3:$K$731,Source_Evolution!$A$3:$A$731,$A125)</f>
        <v/>
      </c>
      <c r="L125" s="17">
        <f>SUMIFS(Source_Evolution!$L$3:$L$731,Source_Evolution!$A$3:$A$731,$A125)</f>
        <v/>
      </c>
      <c r="M125" s="17">
        <f>SUMIFS(Source_Evolution!$M$3:$M$731,Source_Evolution!$A$3:$A$731,$A125)</f>
        <v/>
      </c>
      <c r="N125" s="17">
        <f>SUMIFS(Source_Evolution!$N$3:$N$731,Source_Evolution!$A$3:$A$731,$A125)</f>
        <v/>
      </c>
      <c r="O125" s="17">
        <f>SUMIFS(Source_Evolution!$O$3:$O$731,Source_Evolution!$A$3:$A$731,$A125)</f>
        <v/>
      </c>
      <c r="P125" s="17">
        <f>SUMIFS(Source_Evolution!$P$3:$P$731,Source_Evolution!$A$3:$A$731,$A125)</f>
        <v/>
      </c>
      <c r="Q125" s="17">
        <f>SUMIFS(Source_Evolution!$Q$3:$Q$731,Source_Evolution!$A$3:$A$731,$A125)</f>
        <v/>
      </c>
      <c r="R125" s="17">
        <f>SUM(E125:Q125)</f>
        <v/>
      </c>
      <c r="S125" s="17">
        <f>Q125</f>
        <v/>
      </c>
      <c r="T125">
        <f>IF(B125="Software",1,0)</f>
        <v/>
      </c>
      <c r="U125" s="18">
        <f>SUMPRODUCT((Source_Evolution!$A$3:$A$731=$A125)*(Source_Evolution!$E$3:$E$731&gt;0))</f>
        <v/>
      </c>
      <c r="V125" s="18">
        <f>SUMPRODUCT((Source_Evolution!$A$3:$A$731=$A125)*(Source_Evolution!$F$3:$F$731&gt;0))</f>
        <v/>
      </c>
      <c r="W125" s="18">
        <f>SUMPRODUCT((Source_Evolution!$A$3:$A$731=$A125)*(Source_Evolution!$G$3:$G$731&gt;0))</f>
        <v/>
      </c>
      <c r="X125" s="18">
        <f>SUMPRODUCT((Source_Evolution!$A$3:$A$731=$A125)*(Source_Evolution!$H$3:$H$731&gt;0))</f>
        <v/>
      </c>
      <c r="Y125" s="18">
        <f>SUMPRODUCT((Source_Evolution!$A$3:$A$731=$A125)*(Source_Evolution!$I$3:$I$731&gt;0))</f>
        <v/>
      </c>
      <c r="Z125" s="18">
        <f>SUMPRODUCT((Source_Evolution!$A$3:$A$731=$A125)*(Source_Evolution!$J$3:$J$731&gt;0))</f>
        <v/>
      </c>
      <c r="AA125" s="18">
        <f>SUMPRODUCT((Source_Evolution!$A$3:$A$731=$A125)*(Source_Evolution!$K$3:$K$731&gt;0))</f>
        <v/>
      </c>
      <c r="AB125" s="18">
        <f>SUMPRODUCT((Source_Evolution!$A$3:$A$731=$A125)*(Source_Evolution!$L$3:$L$731&gt;0))</f>
        <v/>
      </c>
      <c r="AC125" s="18">
        <f>SUMPRODUCT((Source_Evolution!$A$3:$A$731=$A125)*(Source_Evolution!$M$3:$M$731&gt;0))</f>
        <v/>
      </c>
      <c r="AD125" s="18">
        <f>SUMPRODUCT((Source_Evolution!$A$3:$A$731=$A125)*(Source_Evolution!$N$3:$N$731&gt;0))</f>
        <v/>
      </c>
      <c r="AE125" s="18">
        <f>SUMPRODUCT((Source_Evolution!$A$3:$A$731=$A125)*(Source_Evolution!$O$3:$O$731&gt;0))</f>
        <v/>
      </c>
      <c r="AF125" s="18">
        <f>SUMPRODUCT((Source_Evolution!$A$3:$A$731=$A125)*(Source_Evolution!$P$3:$P$731&gt;0))</f>
        <v/>
      </c>
      <c r="AG125" s="18">
        <f>SUMPRODUCT((Source_Evolution!$A$3:$A$731=$A125)*(Source_Evolution!$Q$3:$Q$731&gt;0))</f>
        <v/>
      </c>
    </row>
    <row r="126">
      <c r="A126" t="inlineStr">
        <is>
          <t>Company 21</t>
        </is>
      </c>
      <c r="B126" t="inlineStr">
        <is>
          <t>Software</t>
        </is>
      </c>
      <c r="C126" t="inlineStr">
        <is>
          <t>USA</t>
        </is>
      </c>
      <c r="D126" t="n">
        <v>2023</v>
      </c>
      <c r="E126" s="17">
        <f>SUMIFS(Source_Evolution!$E$3:$E$731,Source_Evolution!$A$3:$A$731,$A126)</f>
        <v/>
      </c>
      <c r="F126" s="17">
        <f>SUMIFS(Source_Evolution!$F$3:$F$731,Source_Evolution!$A$3:$A$731,$A126)</f>
        <v/>
      </c>
      <c r="G126" s="17">
        <f>SUMIFS(Source_Evolution!$G$3:$G$731,Source_Evolution!$A$3:$A$731,$A126)</f>
        <v/>
      </c>
      <c r="H126" s="17">
        <f>SUMIFS(Source_Evolution!$H$3:$H$731,Source_Evolution!$A$3:$A$731,$A126)</f>
        <v/>
      </c>
      <c r="I126" s="17">
        <f>SUMIFS(Source_Evolution!$I$3:$I$731,Source_Evolution!$A$3:$A$731,$A126)</f>
        <v/>
      </c>
      <c r="J126" s="17">
        <f>SUMIFS(Source_Evolution!$J$3:$J$731,Source_Evolution!$A$3:$A$731,$A126)</f>
        <v/>
      </c>
      <c r="K126" s="17">
        <f>SUMIFS(Source_Evolution!$K$3:$K$731,Source_Evolution!$A$3:$A$731,$A126)</f>
        <v/>
      </c>
      <c r="L126" s="17">
        <f>SUMIFS(Source_Evolution!$L$3:$L$731,Source_Evolution!$A$3:$A$731,$A126)</f>
        <v/>
      </c>
      <c r="M126" s="17">
        <f>SUMIFS(Source_Evolution!$M$3:$M$731,Source_Evolution!$A$3:$A$731,$A126)</f>
        <v/>
      </c>
      <c r="N126" s="17">
        <f>SUMIFS(Source_Evolution!$N$3:$N$731,Source_Evolution!$A$3:$A$731,$A126)</f>
        <v/>
      </c>
      <c r="O126" s="17">
        <f>SUMIFS(Source_Evolution!$O$3:$O$731,Source_Evolution!$A$3:$A$731,$A126)</f>
        <v/>
      </c>
      <c r="P126" s="17">
        <f>SUMIFS(Source_Evolution!$P$3:$P$731,Source_Evolution!$A$3:$A$731,$A126)</f>
        <v/>
      </c>
      <c r="Q126" s="17">
        <f>SUMIFS(Source_Evolution!$Q$3:$Q$731,Source_Evolution!$A$3:$A$731,$A126)</f>
        <v/>
      </c>
      <c r="R126" s="17">
        <f>SUM(E126:Q126)</f>
        <v/>
      </c>
      <c r="S126" s="17">
        <f>Q126</f>
        <v/>
      </c>
      <c r="T126">
        <f>IF(B126="Software",1,0)</f>
        <v/>
      </c>
      <c r="U126" s="18">
        <f>SUMPRODUCT((Source_Evolution!$A$3:$A$731=$A126)*(Source_Evolution!$E$3:$E$731&gt;0))</f>
        <v/>
      </c>
      <c r="V126" s="18">
        <f>SUMPRODUCT((Source_Evolution!$A$3:$A$731=$A126)*(Source_Evolution!$F$3:$F$731&gt;0))</f>
        <v/>
      </c>
      <c r="W126" s="18">
        <f>SUMPRODUCT((Source_Evolution!$A$3:$A$731=$A126)*(Source_Evolution!$G$3:$G$731&gt;0))</f>
        <v/>
      </c>
      <c r="X126" s="18">
        <f>SUMPRODUCT((Source_Evolution!$A$3:$A$731=$A126)*(Source_Evolution!$H$3:$H$731&gt;0))</f>
        <v/>
      </c>
      <c r="Y126" s="18">
        <f>SUMPRODUCT((Source_Evolution!$A$3:$A$731=$A126)*(Source_Evolution!$I$3:$I$731&gt;0))</f>
        <v/>
      </c>
      <c r="Z126" s="18">
        <f>SUMPRODUCT((Source_Evolution!$A$3:$A$731=$A126)*(Source_Evolution!$J$3:$J$731&gt;0))</f>
        <v/>
      </c>
      <c r="AA126" s="18">
        <f>SUMPRODUCT((Source_Evolution!$A$3:$A$731=$A126)*(Source_Evolution!$K$3:$K$731&gt;0))</f>
        <v/>
      </c>
      <c r="AB126" s="18">
        <f>SUMPRODUCT((Source_Evolution!$A$3:$A$731=$A126)*(Source_Evolution!$L$3:$L$731&gt;0))</f>
        <v/>
      </c>
      <c r="AC126" s="18">
        <f>SUMPRODUCT((Source_Evolution!$A$3:$A$731=$A126)*(Source_Evolution!$M$3:$M$731&gt;0))</f>
        <v/>
      </c>
      <c r="AD126" s="18">
        <f>SUMPRODUCT((Source_Evolution!$A$3:$A$731=$A126)*(Source_Evolution!$N$3:$N$731&gt;0))</f>
        <v/>
      </c>
      <c r="AE126" s="18">
        <f>SUMPRODUCT((Source_Evolution!$A$3:$A$731=$A126)*(Source_Evolution!$O$3:$O$731&gt;0))</f>
        <v/>
      </c>
      <c r="AF126" s="18">
        <f>SUMPRODUCT((Source_Evolution!$A$3:$A$731=$A126)*(Source_Evolution!$P$3:$P$731&gt;0))</f>
        <v/>
      </c>
      <c r="AG126" s="18">
        <f>SUMPRODUCT((Source_Evolution!$A$3:$A$731=$A126)*(Source_Evolution!$Q$3:$Q$731&gt;0))</f>
        <v/>
      </c>
    </row>
    <row r="127">
      <c r="A127" t="inlineStr">
        <is>
          <t>Company 210</t>
        </is>
      </c>
      <c r="B127" t="inlineStr">
        <is>
          <t>Operations</t>
        </is>
      </c>
      <c r="C127" t="inlineStr">
        <is>
          <t>UK</t>
        </is>
      </c>
      <c r="D127" t="n">
        <v>2017</v>
      </c>
      <c r="E127" s="17">
        <f>SUMIFS(Source_Evolution!$E$3:$E$731,Source_Evolution!$A$3:$A$731,$A127)</f>
        <v/>
      </c>
      <c r="F127" s="17">
        <f>SUMIFS(Source_Evolution!$F$3:$F$731,Source_Evolution!$A$3:$A$731,$A127)</f>
        <v/>
      </c>
      <c r="G127" s="17">
        <f>SUMIFS(Source_Evolution!$G$3:$G$731,Source_Evolution!$A$3:$A$731,$A127)</f>
        <v/>
      </c>
      <c r="H127" s="17">
        <f>SUMIFS(Source_Evolution!$H$3:$H$731,Source_Evolution!$A$3:$A$731,$A127)</f>
        <v/>
      </c>
      <c r="I127" s="17">
        <f>SUMIFS(Source_Evolution!$I$3:$I$731,Source_Evolution!$A$3:$A$731,$A127)</f>
        <v/>
      </c>
      <c r="J127" s="17">
        <f>SUMIFS(Source_Evolution!$J$3:$J$731,Source_Evolution!$A$3:$A$731,$A127)</f>
        <v/>
      </c>
      <c r="K127" s="17">
        <f>SUMIFS(Source_Evolution!$K$3:$K$731,Source_Evolution!$A$3:$A$731,$A127)</f>
        <v/>
      </c>
      <c r="L127" s="17">
        <f>SUMIFS(Source_Evolution!$L$3:$L$731,Source_Evolution!$A$3:$A$731,$A127)</f>
        <v/>
      </c>
      <c r="M127" s="17">
        <f>SUMIFS(Source_Evolution!$M$3:$M$731,Source_Evolution!$A$3:$A$731,$A127)</f>
        <v/>
      </c>
      <c r="N127" s="17">
        <f>SUMIFS(Source_Evolution!$N$3:$N$731,Source_Evolution!$A$3:$A$731,$A127)</f>
        <v/>
      </c>
      <c r="O127" s="17">
        <f>SUMIFS(Source_Evolution!$O$3:$O$731,Source_Evolution!$A$3:$A$731,$A127)</f>
        <v/>
      </c>
      <c r="P127" s="17">
        <f>SUMIFS(Source_Evolution!$P$3:$P$731,Source_Evolution!$A$3:$A$731,$A127)</f>
        <v/>
      </c>
      <c r="Q127" s="17">
        <f>SUMIFS(Source_Evolution!$Q$3:$Q$731,Source_Evolution!$A$3:$A$731,$A127)</f>
        <v/>
      </c>
      <c r="R127" s="17">
        <f>SUM(E127:Q127)</f>
        <v/>
      </c>
      <c r="S127" s="17">
        <f>Q127</f>
        <v/>
      </c>
      <c r="T127">
        <f>IF(B127="Software",1,0)</f>
        <v/>
      </c>
      <c r="U127" s="18">
        <f>SUMPRODUCT((Source_Evolution!$A$3:$A$731=$A127)*(Source_Evolution!$E$3:$E$731&gt;0))</f>
        <v/>
      </c>
      <c r="V127" s="18">
        <f>SUMPRODUCT((Source_Evolution!$A$3:$A$731=$A127)*(Source_Evolution!$F$3:$F$731&gt;0))</f>
        <v/>
      </c>
      <c r="W127" s="18">
        <f>SUMPRODUCT((Source_Evolution!$A$3:$A$731=$A127)*(Source_Evolution!$G$3:$G$731&gt;0))</f>
        <v/>
      </c>
      <c r="X127" s="18">
        <f>SUMPRODUCT((Source_Evolution!$A$3:$A$731=$A127)*(Source_Evolution!$H$3:$H$731&gt;0))</f>
        <v/>
      </c>
      <c r="Y127" s="18">
        <f>SUMPRODUCT((Source_Evolution!$A$3:$A$731=$A127)*(Source_Evolution!$I$3:$I$731&gt;0))</f>
        <v/>
      </c>
      <c r="Z127" s="18">
        <f>SUMPRODUCT((Source_Evolution!$A$3:$A$731=$A127)*(Source_Evolution!$J$3:$J$731&gt;0))</f>
        <v/>
      </c>
      <c r="AA127" s="18">
        <f>SUMPRODUCT((Source_Evolution!$A$3:$A$731=$A127)*(Source_Evolution!$K$3:$K$731&gt;0))</f>
        <v/>
      </c>
      <c r="AB127" s="18">
        <f>SUMPRODUCT((Source_Evolution!$A$3:$A$731=$A127)*(Source_Evolution!$L$3:$L$731&gt;0))</f>
        <v/>
      </c>
      <c r="AC127" s="18">
        <f>SUMPRODUCT((Source_Evolution!$A$3:$A$731=$A127)*(Source_Evolution!$M$3:$M$731&gt;0))</f>
        <v/>
      </c>
      <c r="AD127" s="18">
        <f>SUMPRODUCT((Source_Evolution!$A$3:$A$731=$A127)*(Source_Evolution!$N$3:$N$731&gt;0))</f>
        <v/>
      </c>
      <c r="AE127" s="18">
        <f>SUMPRODUCT((Source_Evolution!$A$3:$A$731=$A127)*(Source_Evolution!$O$3:$O$731&gt;0))</f>
        <v/>
      </c>
      <c r="AF127" s="18">
        <f>SUMPRODUCT((Source_Evolution!$A$3:$A$731=$A127)*(Source_Evolution!$P$3:$P$731&gt;0))</f>
        <v/>
      </c>
      <c r="AG127" s="18">
        <f>SUMPRODUCT((Source_Evolution!$A$3:$A$731=$A127)*(Source_Evolution!$Q$3:$Q$731&gt;0))</f>
        <v/>
      </c>
    </row>
    <row r="128">
      <c r="A128" t="inlineStr">
        <is>
          <t>Company 211</t>
        </is>
      </c>
      <c r="B128" t="inlineStr">
        <is>
          <t>Operations</t>
        </is>
      </c>
      <c r="C128" t="inlineStr">
        <is>
          <t>UK</t>
        </is>
      </c>
      <c r="D128" t="n">
        <v>2014</v>
      </c>
      <c r="E128" s="17">
        <f>SUMIFS(Source_Evolution!$E$3:$E$731,Source_Evolution!$A$3:$A$731,$A128)</f>
        <v/>
      </c>
      <c r="F128" s="17">
        <f>SUMIFS(Source_Evolution!$F$3:$F$731,Source_Evolution!$A$3:$A$731,$A128)</f>
        <v/>
      </c>
      <c r="G128" s="17">
        <f>SUMIFS(Source_Evolution!$G$3:$G$731,Source_Evolution!$A$3:$A$731,$A128)</f>
        <v/>
      </c>
      <c r="H128" s="17">
        <f>SUMIFS(Source_Evolution!$H$3:$H$731,Source_Evolution!$A$3:$A$731,$A128)</f>
        <v/>
      </c>
      <c r="I128" s="17">
        <f>SUMIFS(Source_Evolution!$I$3:$I$731,Source_Evolution!$A$3:$A$731,$A128)</f>
        <v/>
      </c>
      <c r="J128" s="17">
        <f>SUMIFS(Source_Evolution!$J$3:$J$731,Source_Evolution!$A$3:$A$731,$A128)</f>
        <v/>
      </c>
      <c r="K128" s="17">
        <f>SUMIFS(Source_Evolution!$K$3:$K$731,Source_Evolution!$A$3:$A$731,$A128)</f>
        <v/>
      </c>
      <c r="L128" s="17">
        <f>SUMIFS(Source_Evolution!$L$3:$L$731,Source_Evolution!$A$3:$A$731,$A128)</f>
        <v/>
      </c>
      <c r="M128" s="17">
        <f>SUMIFS(Source_Evolution!$M$3:$M$731,Source_Evolution!$A$3:$A$731,$A128)</f>
        <v/>
      </c>
      <c r="N128" s="17">
        <f>SUMIFS(Source_Evolution!$N$3:$N$731,Source_Evolution!$A$3:$A$731,$A128)</f>
        <v/>
      </c>
      <c r="O128" s="17">
        <f>SUMIFS(Source_Evolution!$O$3:$O$731,Source_Evolution!$A$3:$A$731,$A128)</f>
        <v/>
      </c>
      <c r="P128" s="17">
        <f>SUMIFS(Source_Evolution!$P$3:$P$731,Source_Evolution!$A$3:$A$731,$A128)</f>
        <v/>
      </c>
      <c r="Q128" s="17">
        <f>SUMIFS(Source_Evolution!$Q$3:$Q$731,Source_Evolution!$A$3:$A$731,$A128)</f>
        <v/>
      </c>
      <c r="R128" s="17">
        <f>SUM(E128:Q128)</f>
        <v/>
      </c>
      <c r="S128" s="17">
        <f>Q128</f>
        <v/>
      </c>
      <c r="T128">
        <f>IF(B128="Software",1,0)</f>
        <v/>
      </c>
      <c r="U128" s="18">
        <f>SUMPRODUCT((Source_Evolution!$A$3:$A$731=$A128)*(Source_Evolution!$E$3:$E$731&gt;0))</f>
        <v/>
      </c>
      <c r="V128" s="18">
        <f>SUMPRODUCT((Source_Evolution!$A$3:$A$731=$A128)*(Source_Evolution!$F$3:$F$731&gt;0))</f>
        <v/>
      </c>
      <c r="W128" s="18">
        <f>SUMPRODUCT((Source_Evolution!$A$3:$A$731=$A128)*(Source_Evolution!$G$3:$G$731&gt;0))</f>
        <v/>
      </c>
      <c r="X128" s="18">
        <f>SUMPRODUCT((Source_Evolution!$A$3:$A$731=$A128)*(Source_Evolution!$H$3:$H$731&gt;0))</f>
        <v/>
      </c>
      <c r="Y128" s="18">
        <f>SUMPRODUCT((Source_Evolution!$A$3:$A$731=$A128)*(Source_Evolution!$I$3:$I$731&gt;0))</f>
        <v/>
      </c>
      <c r="Z128" s="18">
        <f>SUMPRODUCT((Source_Evolution!$A$3:$A$731=$A128)*(Source_Evolution!$J$3:$J$731&gt;0))</f>
        <v/>
      </c>
      <c r="AA128" s="18">
        <f>SUMPRODUCT((Source_Evolution!$A$3:$A$731=$A128)*(Source_Evolution!$K$3:$K$731&gt;0))</f>
        <v/>
      </c>
      <c r="AB128" s="18">
        <f>SUMPRODUCT((Source_Evolution!$A$3:$A$731=$A128)*(Source_Evolution!$L$3:$L$731&gt;0))</f>
        <v/>
      </c>
      <c r="AC128" s="18">
        <f>SUMPRODUCT((Source_Evolution!$A$3:$A$731=$A128)*(Source_Evolution!$M$3:$M$731&gt;0))</f>
        <v/>
      </c>
      <c r="AD128" s="18">
        <f>SUMPRODUCT((Source_Evolution!$A$3:$A$731=$A128)*(Source_Evolution!$N$3:$N$731&gt;0))</f>
        <v/>
      </c>
      <c r="AE128" s="18">
        <f>SUMPRODUCT((Source_Evolution!$A$3:$A$731=$A128)*(Source_Evolution!$O$3:$O$731&gt;0))</f>
        <v/>
      </c>
      <c r="AF128" s="18">
        <f>SUMPRODUCT((Source_Evolution!$A$3:$A$731=$A128)*(Source_Evolution!$P$3:$P$731&gt;0))</f>
        <v/>
      </c>
      <c r="AG128" s="18">
        <f>SUMPRODUCT((Source_Evolution!$A$3:$A$731=$A128)*(Source_Evolution!$Q$3:$Q$731&gt;0))</f>
        <v/>
      </c>
    </row>
    <row r="129">
      <c r="A129" t="inlineStr">
        <is>
          <t>Company 212</t>
        </is>
      </c>
      <c r="B129" t="inlineStr">
        <is>
          <t>Software</t>
        </is>
      </c>
      <c r="C129" t="inlineStr">
        <is>
          <t>Switzerland</t>
        </is>
      </c>
      <c r="D129" t="n">
        <v>2026</v>
      </c>
      <c r="E129" s="17">
        <f>SUMIFS(Source_Evolution!$E$3:$E$731,Source_Evolution!$A$3:$A$731,$A129)</f>
        <v/>
      </c>
      <c r="F129" s="17">
        <f>SUMIFS(Source_Evolution!$F$3:$F$731,Source_Evolution!$A$3:$A$731,$A129)</f>
        <v/>
      </c>
      <c r="G129" s="17">
        <f>SUMIFS(Source_Evolution!$G$3:$G$731,Source_Evolution!$A$3:$A$731,$A129)</f>
        <v/>
      </c>
      <c r="H129" s="17">
        <f>SUMIFS(Source_Evolution!$H$3:$H$731,Source_Evolution!$A$3:$A$731,$A129)</f>
        <v/>
      </c>
      <c r="I129" s="17">
        <f>SUMIFS(Source_Evolution!$I$3:$I$731,Source_Evolution!$A$3:$A$731,$A129)</f>
        <v/>
      </c>
      <c r="J129" s="17">
        <f>SUMIFS(Source_Evolution!$J$3:$J$731,Source_Evolution!$A$3:$A$731,$A129)</f>
        <v/>
      </c>
      <c r="K129" s="17">
        <f>SUMIFS(Source_Evolution!$K$3:$K$731,Source_Evolution!$A$3:$A$731,$A129)</f>
        <v/>
      </c>
      <c r="L129" s="17">
        <f>SUMIFS(Source_Evolution!$L$3:$L$731,Source_Evolution!$A$3:$A$731,$A129)</f>
        <v/>
      </c>
      <c r="M129" s="17">
        <f>SUMIFS(Source_Evolution!$M$3:$M$731,Source_Evolution!$A$3:$A$731,$A129)</f>
        <v/>
      </c>
      <c r="N129" s="17">
        <f>SUMIFS(Source_Evolution!$N$3:$N$731,Source_Evolution!$A$3:$A$731,$A129)</f>
        <v/>
      </c>
      <c r="O129" s="17">
        <f>SUMIFS(Source_Evolution!$O$3:$O$731,Source_Evolution!$A$3:$A$731,$A129)</f>
        <v/>
      </c>
      <c r="P129" s="17">
        <f>SUMIFS(Source_Evolution!$P$3:$P$731,Source_Evolution!$A$3:$A$731,$A129)</f>
        <v/>
      </c>
      <c r="Q129" s="17">
        <f>SUMIFS(Source_Evolution!$Q$3:$Q$731,Source_Evolution!$A$3:$A$731,$A129)</f>
        <v/>
      </c>
      <c r="R129" s="17">
        <f>SUM(E129:Q129)</f>
        <v/>
      </c>
      <c r="S129" s="17">
        <f>Q129</f>
        <v/>
      </c>
      <c r="T129">
        <f>IF(B129="Software",1,0)</f>
        <v/>
      </c>
      <c r="U129" s="18">
        <f>SUMPRODUCT((Source_Evolution!$A$3:$A$731=$A129)*(Source_Evolution!$E$3:$E$731&gt;0))</f>
        <v/>
      </c>
      <c r="V129" s="18">
        <f>SUMPRODUCT((Source_Evolution!$A$3:$A$731=$A129)*(Source_Evolution!$F$3:$F$731&gt;0))</f>
        <v/>
      </c>
      <c r="W129" s="18">
        <f>SUMPRODUCT((Source_Evolution!$A$3:$A$731=$A129)*(Source_Evolution!$G$3:$G$731&gt;0))</f>
        <v/>
      </c>
      <c r="X129" s="18">
        <f>SUMPRODUCT((Source_Evolution!$A$3:$A$731=$A129)*(Source_Evolution!$H$3:$H$731&gt;0))</f>
        <v/>
      </c>
      <c r="Y129" s="18">
        <f>SUMPRODUCT((Source_Evolution!$A$3:$A$731=$A129)*(Source_Evolution!$I$3:$I$731&gt;0))</f>
        <v/>
      </c>
      <c r="Z129" s="18">
        <f>SUMPRODUCT((Source_Evolution!$A$3:$A$731=$A129)*(Source_Evolution!$J$3:$J$731&gt;0))</f>
        <v/>
      </c>
      <c r="AA129" s="18">
        <f>SUMPRODUCT((Source_Evolution!$A$3:$A$731=$A129)*(Source_Evolution!$K$3:$K$731&gt;0))</f>
        <v/>
      </c>
      <c r="AB129" s="18">
        <f>SUMPRODUCT((Source_Evolution!$A$3:$A$731=$A129)*(Source_Evolution!$L$3:$L$731&gt;0))</f>
        <v/>
      </c>
      <c r="AC129" s="18">
        <f>SUMPRODUCT((Source_Evolution!$A$3:$A$731=$A129)*(Source_Evolution!$M$3:$M$731&gt;0))</f>
        <v/>
      </c>
      <c r="AD129" s="18">
        <f>SUMPRODUCT((Source_Evolution!$A$3:$A$731=$A129)*(Source_Evolution!$N$3:$N$731&gt;0))</f>
        <v/>
      </c>
      <c r="AE129" s="18">
        <f>SUMPRODUCT((Source_Evolution!$A$3:$A$731=$A129)*(Source_Evolution!$O$3:$O$731&gt;0))</f>
        <v/>
      </c>
      <c r="AF129" s="18">
        <f>SUMPRODUCT((Source_Evolution!$A$3:$A$731=$A129)*(Source_Evolution!$P$3:$P$731&gt;0))</f>
        <v/>
      </c>
      <c r="AG129" s="18">
        <f>SUMPRODUCT((Source_Evolution!$A$3:$A$731=$A129)*(Source_Evolution!$Q$3:$Q$731&gt;0))</f>
        <v/>
      </c>
    </row>
    <row r="130">
      <c r="A130" t="inlineStr">
        <is>
          <t>Company 213</t>
        </is>
      </c>
      <c r="B130" t="inlineStr">
        <is>
          <t>Operations</t>
        </is>
      </c>
      <c r="C130" t="inlineStr">
        <is>
          <t>UK</t>
        </is>
      </c>
      <c r="D130" t="n">
        <v>2014</v>
      </c>
      <c r="E130" s="17">
        <f>SUMIFS(Source_Evolution!$E$3:$E$731,Source_Evolution!$A$3:$A$731,$A130)</f>
        <v/>
      </c>
      <c r="F130" s="17">
        <f>SUMIFS(Source_Evolution!$F$3:$F$731,Source_Evolution!$A$3:$A$731,$A130)</f>
        <v/>
      </c>
      <c r="G130" s="17">
        <f>SUMIFS(Source_Evolution!$G$3:$G$731,Source_Evolution!$A$3:$A$731,$A130)</f>
        <v/>
      </c>
      <c r="H130" s="17">
        <f>SUMIFS(Source_Evolution!$H$3:$H$731,Source_Evolution!$A$3:$A$731,$A130)</f>
        <v/>
      </c>
      <c r="I130" s="17">
        <f>SUMIFS(Source_Evolution!$I$3:$I$731,Source_Evolution!$A$3:$A$731,$A130)</f>
        <v/>
      </c>
      <c r="J130" s="17">
        <f>SUMIFS(Source_Evolution!$J$3:$J$731,Source_Evolution!$A$3:$A$731,$A130)</f>
        <v/>
      </c>
      <c r="K130" s="17">
        <f>SUMIFS(Source_Evolution!$K$3:$K$731,Source_Evolution!$A$3:$A$731,$A130)</f>
        <v/>
      </c>
      <c r="L130" s="17">
        <f>SUMIFS(Source_Evolution!$L$3:$L$731,Source_Evolution!$A$3:$A$731,$A130)</f>
        <v/>
      </c>
      <c r="M130" s="17">
        <f>SUMIFS(Source_Evolution!$M$3:$M$731,Source_Evolution!$A$3:$A$731,$A130)</f>
        <v/>
      </c>
      <c r="N130" s="17">
        <f>SUMIFS(Source_Evolution!$N$3:$N$731,Source_Evolution!$A$3:$A$731,$A130)</f>
        <v/>
      </c>
      <c r="O130" s="17">
        <f>SUMIFS(Source_Evolution!$O$3:$O$731,Source_Evolution!$A$3:$A$731,$A130)</f>
        <v/>
      </c>
      <c r="P130" s="17">
        <f>SUMIFS(Source_Evolution!$P$3:$P$731,Source_Evolution!$A$3:$A$731,$A130)</f>
        <v/>
      </c>
      <c r="Q130" s="17">
        <f>SUMIFS(Source_Evolution!$Q$3:$Q$731,Source_Evolution!$A$3:$A$731,$A130)</f>
        <v/>
      </c>
      <c r="R130" s="17">
        <f>SUM(E130:Q130)</f>
        <v/>
      </c>
      <c r="S130" s="17">
        <f>Q130</f>
        <v/>
      </c>
      <c r="T130">
        <f>IF(B130="Software",1,0)</f>
        <v/>
      </c>
      <c r="U130" s="18">
        <f>SUMPRODUCT((Source_Evolution!$A$3:$A$731=$A130)*(Source_Evolution!$E$3:$E$731&gt;0))</f>
        <v/>
      </c>
      <c r="V130" s="18">
        <f>SUMPRODUCT((Source_Evolution!$A$3:$A$731=$A130)*(Source_Evolution!$F$3:$F$731&gt;0))</f>
        <v/>
      </c>
      <c r="W130" s="18">
        <f>SUMPRODUCT((Source_Evolution!$A$3:$A$731=$A130)*(Source_Evolution!$G$3:$G$731&gt;0))</f>
        <v/>
      </c>
      <c r="X130" s="18">
        <f>SUMPRODUCT((Source_Evolution!$A$3:$A$731=$A130)*(Source_Evolution!$H$3:$H$731&gt;0))</f>
        <v/>
      </c>
      <c r="Y130" s="18">
        <f>SUMPRODUCT((Source_Evolution!$A$3:$A$731=$A130)*(Source_Evolution!$I$3:$I$731&gt;0))</f>
        <v/>
      </c>
      <c r="Z130" s="18">
        <f>SUMPRODUCT((Source_Evolution!$A$3:$A$731=$A130)*(Source_Evolution!$J$3:$J$731&gt;0))</f>
        <v/>
      </c>
      <c r="AA130" s="18">
        <f>SUMPRODUCT((Source_Evolution!$A$3:$A$731=$A130)*(Source_Evolution!$K$3:$K$731&gt;0))</f>
        <v/>
      </c>
      <c r="AB130" s="18">
        <f>SUMPRODUCT((Source_Evolution!$A$3:$A$731=$A130)*(Source_Evolution!$L$3:$L$731&gt;0))</f>
        <v/>
      </c>
      <c r="AC130" s="18">
        <f>SUMPRODUCT((Source_Evolution!$A$3:$A$731=$A130)*(Source_Evolution!$M$3:$M$731&gt;0))</f>
        <v/>
      </c>
      <c r="AD130" s="18">
        <f>SUMPRODUCT((Source_Evolution!$A$3:$A$731=$A130)*(Source_Evolution!$N$3:$N$731&gt;0))</f>
        <v/>
      </c>
      <c r="AE130" s="18">
        <f>SUMPRODUCT((Source_Evolution!$A$3:$A$731=$A130)*(Source_Evolution!$O$3:$O$731&gt;0))</f>
        <v/>
      </c>
      <c r="AF130" s="18">
        <f>SUMPRODUCT((Source_Evolution!$A$3:$A$731=$A130)*(Source_Evolution!$P$3:$P$731&gt;0))</f>
        <v/>
      </c>
      <c r="AG130" s="18">
        <f>SUMPRODUCT((Source_Evolution!$A$3:$A$731=$A130)*(Source_Evolution!$Q$3:$Q$731&gt;0))</f>
        <v/>
      </c>
    </row>
    <row r="131">
      <c r="A131" t="inlineStr">
        <is>
          <t>Company 214</t>
        </is>
      </c>
      <c r="B131" t="inlineStr">
        <is>
          <t>Software</t>
        </is>
      </c>
      <c r="C131" t="inlineStr">
        <is>
          <t>Denmark</t>
        </is>
      </c>
      <c r="D131" t="n">
        <v>2014</v>
      </c>
      <c r="E131" s="17">
        <f>SUMIFS(Source_Evolution!$E$3:$E$731,Source_Evolution!$A$3:$A$731,$A131)</f>
        <v/>
      </c>
      <c r="F131" s="17">
        <f>SUMIFS(Source_Evolution!$F$3:$F$731,Source_Evolution!$A$3:$A$731,$A131)</f>
        <v/>
      </c>
      <c r="G131" s="17">
        <f>SUMIFS(Source_Evolution!$G$3:$G$731,Source_Evolution!$A$3:$A$731,$A131)</f>
        <v/>
      </c>
      <c r="H131" s="17">
        <f>SUMIFS(Source_Evolution!$H$3:$H$731,Source_Evolution!$A$3:$A$731,$A131)</f>
        <v/>
      </c>
      <c r="I131" s="17">
        <f>SUMIFS(Source_Evolution!$I$3:$I$731,Source_Evolution!$A$3:$A$731,$A131)</f>
        <v/>
      </c>
      <c r="J131" s="17">
        <f>SUMIFS(Source_Evolution!$J$3:$J$731,Source_Evolution!$A$3:$A$731,$A131)</f>
        <v/>
      </c>
      <c r="K131" s="17">
        <f>SUMIFS(Source_Evolution!$K$3:$K$731,Source_Evolution!$A$3:$A$731,$A131)</f>
        <v/>
      </c>
      <c r="L131" s="17">
        <f>SUMIFS(Source_Evolution!$L$3:$L$731,Source_Evolution!$A$3:$A$731,$A131)</f>
        <v/>
      </c>
      <c r="M131" s="17">
        <f>SUMIFS(Source_Evolution!$M$3:$M$731,Source_Evolution!$A$3:$A$731,$A131)</f>
        <v/>
      </c>
      <c r="N131" s="17">
        <f>SUMIFS(Source_Evolution!$N$3:$N$731,Source_Evolution!$A$3:$A$731,$A131)</f>
        <v/>
      </c>
      <c r="O131" s="17">
        <f>SUMIFS(Source_Evolution!$O$3:$O$731,Source_Evolution!$A$3:$A$731,$A131)</f>
        <v/>
      </c>
      <c r="P131" s="17">
        <f>SUMIFS(Source_Evolution!$P$3:$P$731,Source_Evolution!$A$3:$A$731,$A131)</f>
        <v/>
      </c>
      <c r="Q131" s="17">
        <f>SUMIFS(Source_Evolution!$Q$3:$Q$731,Source_Evolution!$A$3:$A$731,$A131)</f>
        <v/>
      </c>
      <c r="R131" s="17">
        <f>SUM(E131:Q131)</f>
        <v/>
      </c>
      <c r="S131" s="17">
        <f>Q131</f>
        <v/>
      </c>
      <c r="T131">
        <f>IF(B131="Software",1,0)</f>
        <v/>
      </c>
      <c r="U131" s="18">
        <f>SUMPRODUCT((Source_Evolution!$A$3:$A$731=$A131)*(Source_Evolution!$E$3:$E$731&gt;0))</f>
        <v/>
      </c>
      <c r="V131" s="18">
        <f>SUMPRODUCT((Source_Evolution!$A$3:$A$731=$A131)*(Source_Evolution!$F$3:$F$731&gt;0))</f>
        <v/>
      </c>
      <c r="W131" s="18">
        <f>SUMPRODUCT((Source_Evolution!$A$3:$A$731=$A131)*(Source_Evolution!$G$3:$G$731&gt;0))</f>
        <v/>
      </c>
      <c r="X131" s="18">
        <f>SUMPRODUCT((Source_Evolution!$A$3:$A$731=$A131)*(Source_Evolution!$H$3:$H$731&gt;0))</f>
        <v/>
      </c>
      <c r="Y131" s="18">
        <f>SUMPRODUCT((Source_Evolution!$A$3:$A$731=$A131)*(Source_Evolution!$I$3:$I$731&gt;0))</f>
        <v/>
      </c>
      <c r="Z131" s="18">
        <f>SUMPRODUCT((Source_Evolution!$A$3:$A$731=$A131)*(Source_Evolution!$J$3:$J$731&gt;0))</f>
        <v/>
      </c>
      <c r="AA131" s="18">
        <f>SUMPRODUCT((Source_Evolution!$A$3:$A$731=$A131)*(Source_Evolution!$K$3:$K$731&gt;0))</f>
        <v/>
      </c>
      <c r="AB131" s="18">
        <f>SUMPRODUCT((Source_Evolution!$A$3:$A$731=$A131)*(Source_Evolution!$L$3:$L$731&gt;0))</f>
        <v/>
      </c>
      <c r="AC131" s="18">
        <f>SUMPRODUCT((Source_Evolution!$A$3:$A$731=$A131)*(Source_Evolution!$M$3:$M$731&gt;0))</f>
        <v/>
      </c>
      <c r="AD131" s="18">
        <f>SUMPRODUCT((Source_Evolution!$A$3:$A$731=$A131)*(Source_Evolution!$N$3:$N$731&gt;0))</f>
        <v/>
      </c>
      <c r="AE131" s="18">
        <f>SUMPRODUCT((Source_Evolution!$A$3:$A$731=$A131)*(Source_Evolution!$O$3:$O$731&gt;0))</f>
        <v/>
      </c>
      <c r="AF131" s="18">
        <f>SUMPRODUCT((Source_Evolution!$A$3:$A$731=$A131)*(Source_Evolution!$P$3:$P$731&gt;0))</f>
        <v/>
      </c>
      <c r="AG131" s="18">
        <f>SUMPRODUCT((Source_Evolution!$A$3:$A$731=$A131)*(Source_Evolution!$Q$3:$Q$731&gt;0))</f>
        <v/>
      </c>
    </row>
    <row r="132">
      <c r="A132" t="inlineStr">
        <is>
          <t>Company 215</t>
        </is>
      </c>
      <c r="B132" t="inlineStr">
        <is>
          <t>Software</t>
        </is>
      </c>
      <c r="C132" t="inlineStr">
        <is>
          <t>UK</t>
        </is>
      </c>
      <c r="D132" t="n">
        <v>2026</v>
      </c>
      <c r="E132" s="17">
        <f>SUMIFS(Source_Evolution!$E$3:$E$731,Source_Evolution!$A$3:$A$731,$A132)</f>
        <v/>
      </c>
      <c r="F132" s="17">
        <f>SUMIFS(Source_Evolution!$F$3:$F$731,Source_Evolution!$A$3:$A$731,$A132)</f>
        <v/>
      </c>
      <c r="G132" s="17">
        <f>SUMIFS(Source_Evolution!$G$3:$G$731,Source_Evolution!$A$3:$A$731,$A132)</f>
        <v/>
      </c>
      <c r="H132" s="17">
        <f>SUMIFS(Source_Evolution!$H$3:$H$731,Source_Evolution!$A$3:$A$731,$A132)</f>
        <v/>
      </c>
      <c r="I132" s="17">
        <f>SUMIFS(Source_Evolution!$I$3:$I$731,Source_Evolution!$A$3:$A$731,$A132)</f>
        <v/>
      </c>
      <c r="J132" s="17">
        <f>SUMIFS(Source_Evolution!$J$3:$J$731,Source_Evolution!$A$3:$A$731,$A132)</f>
        <v/>
      </c>
      <c r="K132" s="17">
        <f>SUMIFS(Source_Evolution!$K$3:$K$731,Source_Evolution!$A$3:$A$731,$A132)</f>
        <v/>
      </c>
      <c r="L132" s="17">
        <f>SUMIFS(Source_Evolution!$L$3:$L$731,Source_Evolution!$A$3:$A$731,$A132)</f>
        <v/>
      </c>
      <c r="M132" s="17">
        <f>SUMIFS(Source_Evolution!$M$3:$M$731,Source_Evolution!$A$3:$A$731,$A132)</f>
        <v/>
      </c>
      <c r="N132" s="17">
        <f>SUMIFS(Source_Evolution!$N$3:$N$731,Source_Evolution!$A$3:$A$731,$A132)</f>
        <v/>
      </c>
      <c r="O132" s="17">
        <f>SUMIFS(Source_Evolution!$O$3:$O$731,Source_Evolution!$A$3:$A$731,$A132)</f>
        <v/>
      </c>
      <c r="P132" s="17">
        <f>SUMIFS(Source_Evolution!$P$3:$P$731,Source_Evolution!$A$3:$A$731,$A132)</f>
        <v/>
      </c>
      <c r="Q132" s="17">
        <f>SUMIFS(Source_Evolution!$Q$3:$Q$731,Source_Evolution!$A$3:$A$731,$A132)</f>
        <v/>
      </c>
      <c r="R132" s="17">
        <f>SUM(E132:Q132)</f>
        <v/>
      </c>
      <c r="S132" s="17">
        <f>Q132</f>
        <v/>
      </c>
      <c r="T132">
        <f>IF(B132="Software",1,0)</f>
        <v/>
      </c>
      <c r="U132" s="18">
        <f>SUMPRODUCT((Source_Evolution!$A$3:$A$731=$A132)*(Source_Evolution!$E$3:$E$731&gt;0))</f>
        <v/>
      </c>
      <c r="V132" s="18">
        <f>SUMPRODUCT((Source_Evolution!$A$3:$A$731=$A132)*(Source_Evolution!$F$3:$F$731&gt;0))</f>
        <v/>
      </c>
      <c r="W132" s="18">
        <f>SUMPRODUCT((Source_Evolution!$A$3:$A$731=$A132)*(Source_Evolution!$G$3:$G$731&gt;0))</f>
        <v/>
      </c>
      <c r="X132" s="18">
        <f>SUMPRODUCT((Source_Evolution!$A$3:$A$731=$A132)*(Source_Evolution!$H$3:$H$731&gt;0))</f>
        <v/>
      </c>
      <c r="Y132" s="18">
        <f>SUMPRODUCT((Source_Evolution!$A$3:$A$731=$A132)*(Source_Evolution!$I$3:$I$731&gt;0))</f>
        <v/>
      </c>
      <c r="Z132" s="18">
        <f>SUMPRODUCT((Source_Evolution!$A$3:$A$731=$A132)*(Source_Evolution!$J$3:$J$731&gt;0))</f>
        <v/>
      </c>
      <c r="AA132" s="18">
        <f>SUMPRODUCT((Source_Evolution!$A$3:$A$731=$A132)*(Source_Evolution!$K$3:$K$731&gt;0))</f>
        <v/>
      </c>
      <c r="AB132" s="18">
        <f>SUMPRODUCT((Source_Evolution!$A$3:$A$731=$A132)*(Source_Evolution!$L$3:$L$731&gt;0))</f>
        <v/>
      </c>
      <c r="AC132" s="18">
        <f>SUMPRODUCT((Source_Evolution!$A$3:$A$731=$A132)*(Source_Evolution!$M$3:$M$731&gt;0))</f>
        <v/>
      </c>
      <c r="AD132" s="18">
        <f>SUMPRODUCT((Source_Evolution!$A$3:$A$731=$A132)*(Source_Evolution!$N$3:$N$731&gt;0))</f>
        <v/>
      </c>
      <c r="AE132" s="18">
        <f>SUMPRODUCT((Source_Evolution!$A$3:$A$731=$A132)*(Source_Evolution!$O$3:$O$731&gt;0))</f>
        <v/>
      </c>
      <c r="AF132" s="18">
        <f>SUMPRODUCT((Source_Evolution!$A$3:$A$731=$A132)*(Source_Evolution!$P$3:$P$731&gt;0))</f>
        <v/>
      </c>
      <c r="AG132" s="18">
        <f>SUMPRODUCT((Source_Evolution!$A$3:$A$731=$A132)*(Source_Evolution!$Q$3:$Q$731&gt;0))</f>
        <v/>
      </c>
    </row>
    <row r="133">
      <c r="A133" t="inlineStr">
        <is>
          <t>Company 216</t>
        </is>
      </c>
      <c r="B133" t="inlineStr">
        <is>
          <t>Software</t>
        </is>
      </c>
      <c r="C133" t="inlineStr">
        <is>
          <t>UK</t>
        </is>
      </c>
      <c r="D133" t="n">
        <v>2026</v>
      </c>
      <c r="E133" s="17">
        <f>SUMIFS(Source_Evolution!$E$3:$E$731,Source_Evolution!$A$3:$A$731,$A133)</f>
        <v/>
      </c>
      <c r="F133" s="17">
        <f>SUMIFS(Source_Evolution!$F$3:$F$731,Source_Evolution!$A$3:$A$731,$A133)</f>
        <v/>
      </c>
      <c r="G133" s="17">
        <f>SUMIFS(Source_Evolution!$G$3:$G$731,Source_Evolution!$A$3:$A$731,$A133)</f>
        <v/>
      </c>
      <c r="H133" s="17">
        <f>SUMIFS(Source_Evolution!$H$3:$H$731,Source_Evolution!$A$3:$A$731,$A133)</f>
        <v/>
      </c>
      <c r="I133" s="17">
        <f>SUMIFS(Source_Evolution!$I$3:$I$731,Source_Evolution!$A$3:$A$731,$A133)</f>
        <v/>
      </c>
      <c r="J133" s="17">
        <f>SUMIFS(Source_Evolution!$J$3:$J$731,Source_Evolution!$A$3:$A$731,$A133)</f>
        <v/>
      </c>
      <c r="K133" s="17">
        <f>SUMIFS(Source_Evolution!$K$3:$K$731,Source_Evolution!$A$3:$A$731,$A133)</f>
        <v/>
      </c>
      <c r="L133" s="17">
        <f>SUMIFS(Source_Evolution!$L$3:$L$731,Source_Evolution!$A$3:$A$731,$A133)</f>
        <v/>
      </c>
      <c r="M133" s="17">
        <f>SUMIFS(Source_Evolution!$M$3:$M$731,Source_Evolution!$A$3:$A$731,$A133)</f>
        <v/>
      </c>
      <c r="N133" s="17">
        <f>SUMIFS(Source_Evolution!$N$3:$N$731,Source_Evolution!$A$3:$A$731,$A133)</f>
        <v/>
      </c>
      <c r="O133" s="17">
        <f>SUMIFS(Source_Evolution!$O$3:$O$731,Source_Evolution!$A$3:$A$731,$A133)</f>
        <v/>
      </c>
      <c r="P133" s="17">
        <f>SUMIFS(Source_Evolution!$P$3:$P$731,Source_Evolution!$A$3:$A$731,$A133)</f>
        <v/>
      </c>
      <c r="Q133" s="17">
        <f>SUMIFS(Source_Evolution!$Q$3:$Q$731,Source_Evolution!$A$3:$A$731,$A133)</f>
        <v/>
      </c>
      <c r="R133" s="17">
        <f>SUM(E133:Q133)</f>
        <v/>
      </c>
      <c r="S133" s="17">
        <f>Q133</f>
        <v/>
      </c>
      <c r="T133">
        <f>IF(B133="Software",1,0)</f>
        <v/>
      </c>
      <c r="U133" s="18">
        <f>SUMPRODUCT((Source_Evolution!$A$3:$A$731=$A133)*(Source_Evolution!$E$3:$E$731&gt;0))</f>
        <v/>
      </c>
      <c r="V133" s="18">
        <f>SUMPRODUCT((Source_Evolution!$A$3:$A$731=$A133)*(Source_Evolution!$F$3:$F$731&gt;0))</f>
        <v/>
      </c>
      <c r="W133" s="18">
        <f>SUMPRODUCT((Source_Evolution!$A$3:$A$731=$A133)*(Source_Evolution!$G$3:$G$731&gt;0))</f>
        <v/>
      </c>
      <c r="X133" s="18">
        <f>SUMPRODUCT((Source_Evolution!$A$3:$A$731=$A133)*(Source_Evolution!$H$3:$H$731&gt;0))</f>
        <v/>
      </c>
      <c r="Y133" s="18">
        <f>SUMPRODUCT((Source_Evolution!$A$3:$A$731=$A133)*(Source_Evolution!$I$3:$I$731&gt;0))</f>
        <v/>
      </c>
      <c r="Z133" s="18">
        <f>SUMPRODUCT((Source_Evolution!$A$3:$A$731=$A133)*(Source_Evolution!$J$3:$J$731&gt;0))</f>
        <v/>
      </c>
      <c r="AA133" s="18">
        <f>SUMPRODUCT((Source_Evolution!$A$3:$A$731=$A133)*(Source_Evolution!$K$3:$K$731&gt;0))</f>
        <v/>
      </c>
      <c r="AB133" s="18">
        <f>SUMPRODUCT((Source_Evolution!$A$3:$A$731=$A133)*(Source_Evolution!$L$3:$L$731&gt;0))</f>
        <v/>
      </c>
      <c r="AC133" s="18">
        <f>SUMPRODUCT((Source_Evolution!$A$3:$A$731=$A133)*(Source_Evolution!$M$3:$M$731&gt;0))</f>
        <v/>
      </c>
      <c r="AD133" s="18">
        <f>SUMPRODUCT((Source_Evolution!$A$3:$A$731=$A133)*(Source_Evolution!$N$3:$N$731&gt;0))</f>
        <v/>
      </c>
      <c r="AE133" s="18">
        <f>SUMPRODUCT((Source_Evolution!$A$3:$A$731=$A133)*(Source_Evolution!$O$3:$O$731&gt;0))</f>
        <v/>
      </c>
      <c r="AF133" s="18">
        <f>SUMPRODUCT((Source_Evolution!$A$3:$A$731=$A133)*(Source_Evolution!$P$3:$P$731&gt;0))</f>
        <v/>
      </c>
      <c r="AG133" s="18">
        <f>SUMPRODUCT((Source_Evolution!$A$3:$A$731=$A133)*(Source_Evolution!$Q$3:$Q$731&gt;0))</f>
        <v/>
      </c>
    </row>
    <row r="134">
      <c r="A134" t="inlineStr">
        <is>
          <t>Company 217</t>
        </is>
      </c>
      <c r="B134" t="inlineStr">
        <is>
          <t>Software</t>
        </is>
      </c>
      <c r="C134" t="inlineStr">
        <is>
          <t>Netherlands</t>
        </is>
      </c>
      <c r="D134" t="n">
        <v>2023</v>
      </c>
      <c r="E134" s="17">
        <f>SUMIFS(Source_Evolution!$E$3:$E$731,Source_Evolution!$A$3:$A$731,$A134)</f>
        <v/>
      </c>
      <c r="F134" s="17">
        <f>SUMIFS(Source_Evolution!$F$3:$F$731,Source_Evolution!$A$3:$A$731,$A134)</f>
        <v/>
      </c>
      <c r="G134" s="17">
        <f>SUMIFS(Source_Evolution!$G$3:$G$731,Source_Evolution!$A$3:$A$731,$A134)</f>
        <v/>
      </c>
      <c r="H134" s="17">
        <f>SUMIFS(Source_Evolution!$H$3:$H$731,Source_Evolution!$A$3:$A$731,$A134)</f>
        <v/>
      </c>
      <c r="I134" s="17">
        <f>SUMIFS(Source_Evolution!$I$3:$I$731,Source_Evolution!$A$3:$A$731,$A134)</f>
        <v/>
      </c>
      <c r="J134" s="17">
        <f>SUMIFS(Source_Evolution!$J$3:$J$731,Source_Evolution!$A$3:$A$731,$A134)</f>
        <v/>
      </c>
      <c r="K134" s="17">
        <f>SUMIFS(Source_Evolution!$K$3:$K$731,Source_Evolution!$A$3:$A$731,$A134)</f>
        <v/>
      </c>
      <c r="L134" s="17">
        <f>SUMIFS(Source_Evolution!$L$3:$L$731,Source_Evolution!$A$3:$A$731,$A134)</f>
        <v/>
      </c>
      <c r="M134" s="17">
        <f>SUMIFS(Source_Evolution!$M$3:$M$731,Source_Evolution!$A$3:$A$731,$A134)</f>
        <v/>
      </c>
      <c r="N134" s="17">
        <f>SUMIFS(Source_Evolution!$N$3:$N$731,Source_Evolution!$A$3:$A$731,$A134)</f>
        <v/>
      </c>
      <c r="O134" s="17">
        <f>SUMIFS(Source_Evolution!$O$3:$O$731,Source_Evolution!$A$3:$A$731,$A134)</f>
        <v/>
      </c>
      <c r="P134" s="17">
        <f>SUMIFS(Source_Evolution!$P$3:$P$731,Source_Evolution!$A$3:$A$731,$A134)</f>
        <v/>
      </c>
      <c r="Q134" s="17">
        <f>SUMIFS(Source_Evolution!$Q$3:$Q$731,Source_Evolution!$A$3:$A$731,$A134)</f>
        <v/>
      </c>
      <c r="R134" s="17">
        <f>SUM(E134:Q134)</f>
        <v/>
      </c>
      <c r="S134" s="17">
        <f>Q134</f>
        <v/>
      </c>
      <c r="T134">
        <f>IF(B134="Software",1,0)</f>
        <v/>
      </c>
      <c r="U134" s="18">
        <f>SUMPRODUCT((Source_Evolution!$A$3:$A$731=$A134)*(Source_Evolution!$E$3:$E$731&gt;0))</f>
        <v/>
      </c>
      <c r="V134" s="18">
        <f>SUMPRODUCT((Source_Evolution!$A$3:$A$731=$A134)*(Source_Evolution!$F$3:$F$731&gt;0))</f>
        <v/>
      </c>
      <c r="W134" s="18">
        <f>SUMPRODUCT((Source_Evolution!$A$3:$A$731=$A134)*(Source_Evolution!$G$3:$G$731&gt;0))</f>
        <v/>
      </c>
      <c r="X134" s="18">
        <f>SUMPRODUCT((Source_Evolution!$A$3:$A$731=$A134)*(Source_Evolution!$H$3:$H$731&gt;0))</f>
        <v/>
      </c>
      <c r="Y134" s="18">
        <f>SUMPRODUCT((Source_Evolution!$A$3:$A$731=$A134)*(Source_Evolution!$I$3:$I$731&gt;0))</f>
        <v/>
      </c>
      <c r="Z134" s="18">
        <f>SUMPRODUCT((Source_Evolution!$A$3:$A$731=$A134)*(Source_Evolution!$J$3:$J$731&gt;0))</f>
        <v/>
      </c>
      <c r="AA134" s="18">
        <f>SUMPRODUCT((Source_Evolution!$A$3:$A$731=$A134)*(Source_Evolution!$K$3:$K$731&gt;0))</f>
        <v/>
      </c>
      <c r="AB134" s="18">
        <f>SUMPRODUCT((Source_Evolution!$A$3:$A$731=$A134)*(Source_Evolution!$L$3:$L$731&gt;0))</f>
        <v/>
      </c>
      <c r="AC134" s="18">
        <f>SUMPRODUCT((Source_Evolution!$A$3:$A$731=$A134)*(Source_Evolution!$M$3:$M$731&gt;0))</f>
        <v/>
      </c>
      <c r="AD134" s="18">
        <f>SUMPRODUCT((Source_Evolution!$A$3:$A$731=$A134)*(Source_Evolution!$N$3:$N$731&gt;0))</f>
        <v/>
      </c>
      <c r="AE134" s="18">
        <f>SUMPRODUCT((Source_Evolution!$A$3:$A$731=$A134)*(Source_Evolution!$O$3:$O$731&gt;0))</f>
        <v/>
      </c>
      <c r="AF134" s="18">
        <f>SUMPRODUCT((Source_Evolution!$A$3:$A$731=$A134)*(Source_Evolution!$P$3:$P$731&gt;0))</f>
        <v/>
      </c>
      <c r="AG134" s="18">
        <f>SUMPRODUCT((Source_Evolution!$A$3:$A$731=$A134)*(Source_Evolution!$Q$3:$Q$731&gt;0))</f>
        <v/>
      </c>
    </row>
    <row r="135">
      <c r="A135" t="inlineStr">
        <is>
          <t>Company 218</t>
        </is>
      </c>
      <c r="B135" t="inlineStr">
        <is>
          <t>Operations</t>
        </is>
      </c>
      <c r="C135" t="inlineStr">
        <is>
          <t>Netherlands</t>
        </is>
      </c>
      <c r="D135" t="n">
        <v>2014</v>
      </c>
      <c r="E135" s="17">
        <f>SUMIFS(Source_Evolution!$E$3:$E$731,Source_Evolution!$A$3:$A$731,$A135)</f>
        <v/>
      </c>
      <c r="F135" s="17">
        <f>SUMIFS(Source_Evolution!$F$3:$F$731,Source_Evolution!$A$3:$A$731,$A135)</f>
        <v/>
      </c>
      <c r="G135" s="17">
        <f>SUMIFS(Source_Evolution!$G$3:$G$731,Source_Evolution!$A$3:$A$731,$A135)</f>
        <v/>
      </c>
      <c r="H135" s="17">
        <f>SUMIFS(Source_Evolution!$H$3:$H$731,Source_Evolution!$A$3:$A$731,$A135)</f>
        <v/>
      </c>
      <c r="I135" s="17">
        <f>SUMIFS(Source_Evolution!$I$3:$I$731,Source_Evolution!$A$3:$A$731,$A135)</f>
        <v/>
      </c>
      <c r="J135" s="17">
        <f>SUMIFS(Source_Evolution!$J$3:$J$731,Source_Evolution!$A$3:$A$731,$A135)</f>
        <v/>
      </c>
      <c r="K135" s="17">
        <f>SUMIFS(Source_Evolution!$K$3:$K$731,Source_Evolution!$A$3:$A$731,$A135)</f>
        <v/>
      </c>
      <c r="L135" s="17">
        <f>SUMIFS(Source_Evolution!$L$3:$L$731,Source_Evolution!$A$3:$A$731,$A135)</f>
        <v/>
      </c>
      <c r="M135" s="17">
        <f>SUMIFS(Source_Evolution!$M$3:$M$731,Source_Evolution!$A$3:$A$731,$A135)</f>
        <v/>
      </c>
      <c r="N135" s="17">
        <f>SUMIFS(Source_Evolution!$N$3:$N$731,Source_Evolution!$A$3:$A$731,$A135)</f>
        <v/>
      </c>
      <c r="O135" s="17">
        <f>SUMIFS(Source_Evolution!$O$3:$O$731,Source_Evolution!$A$3:$A$731,$A135)</f>
        <v/>
      </c>
      <c r="P135" s="17">
        <f>SUMIFS(Source_Evolution!$P$3:$P$731,Source_Evolution!$A$3:$A$731,$A135)</f>
        <v/>
      </c>
      <c r="Q135" s="17">
        <f>SUMIFS(Source_Evolution!$Q$3:$Q$731,Source_Evolution!$A$3:$A$731,$A135)</f>
        <v/>
      </c>
      <c r="R135" s="17">
        <f>SUM(E135:Q135)</f>
        <v/>
      </c>
      <c r="S135" s="17">
        <f>Q135</f>
        <v/>
      </c>
      <c r="T135">
        <f>IF(B135="Software",1,0)</f>
        <v/>
      </c>
      <c r="U135" s="18">
        <f>SUMPRODUCT((Source_Evolution!$A$3:$A$731=$A135)*(Source_Evolution!$E$3:$E$731&gt;0))</f>
        <v/>
      </c>
      <c r="V135" s="18">
        <f>SUMPRODUCT((Source_Evolution!$A$3:$A$731=$A135)*(Source_Evolution!$F$3:$F$731&gt;0))</f>
        <v/>
      </c>
      <c r="W135" s="18">
        <f>SUMPRODUCT((Source_Evolution!$A$3:$A$731=$A135)*(Source_Evolution!$G$3:$G$731&gt;0))</f>
        <v/>
      </c>
      <c r="X135" s="18">
        <f>SUMPRODUCT((Source_Evolution!$A$3:$A$731=$A135)*(Source_Evolution!$H$3:$H$731&gt;0))</f>
        <v/>
      </c>
      <c r="Y135" s="18">
        <f>SUMPRODUCT((Source_Evolution!$A$3:$A$731=$A135)*(Source_Evolution!$I$3:$I$731&gt;0))</f>
        <v/>
      </c>
      <c r="Z135" s="18">
        <f>SUMPRODUCT((Source_Evolution!$A$3:$A$731=$A135)*(Source_Evolution!$J$3:$J$731&gt;0))</f>
        <v/>
      </c>
      <c r="AA135" s="18">
        <f>SUMPRODUCT((Source_Evolution!$A$3:$A$731=$A135)*(Source_Evolution!$K$3:$K$731&gt;0))</f>
        <v/>
      </c>
      <c r="AB135" s="18">
        <f>SUMPRODUCT((Source_Evolution!$A$3:$A$731=$A135)*(Source_Evolution!$L$3:$L$731&gt;0))</f>
        <v/>
      </c>
      <c r="AC135" s="18">
        <f>SUMPRODUCT((Source_Evolution!$A$3:$A$731=$A135)*(Source_Evolution!$M$3:$M$731&gt;0))</f>
        <v/>
      </c>
      <c r="AD135" s="18">
        <f>SUMPRODUCT((Source_Evolution!$A$3:$A$731=$A135)*(Source_Evolution!$N$3:$N$731&gt;0))</f>
        <v/>
      </c>
      <c r="AE135" s="18">
        <f>SUMPRODUCT((Source_Evolution!$A$3:$A$731=$A135)*(Source_Evolution!$O$3:$O$731&gt;0))</f>
        <v/>
      </c>
      <c r="AF135" s="18">
        <f>SUMPRODUCT((Source_Evolution!$A$3:$A$731=$A135)*(Source_Evolution!$P$3:$P$731&gt;0))</f>
        <v/>
      </c>
      <c r="AG135" s="18">
        <f>SUMPRODUCT((Source_Evolution!$A$3:$A$731=$A135)*(Source_Evolution!$Q$3:$Q$731&gt;0))</f>
        <v/>
      </c>
    </row>
    <row r="136">
      <c r="A136" t="inlineStr">
        <is>
          <t>Company 219</t>
        </is>
      </c>
      <c r="B136" t="inlineStr">
        <is>
          <t>Operations</t>
        </is>
      </c>
      <c r="C136" t="inlineStr">
        <is>
          <t>UK</t>
        </is>
      </c>
      <c r="D136" t="n">
        <v>2014</v>
      </c>
      <c r="E136" s="17">
        <f>SUMIFS(Source_Evolution!$E$3:$E$731,Source_Evolution!$A$3:$A$731,$A136)</f>
        <v/>
      </c>
      <c r="F136" s="17">
        <f>SUMIFS(Source_Evolution!$F$3:$F$731,Source_Evolution!$A$3:$A$731,$A136)</f>
        <v/>
      </c>
      <c r="G136" s="17">
        <f>SUMIFS(Source_Evolution!$G$3:$G$731,Source_Evolution!$A$3:$A$731,$A136)</f>
        <v/>
      </c>
      <c r="H136" s="17">
        <f>SUMIFS(Source_Evolution!$H$3:$H$731,Source_Evolution!$A$3:$A$731,$A136)</f>
        <v/>
      </c>
      <c r="I136" s="17">
        <f>SUMIFS(Source_Evolution!$I$3:$I$731,Source_Evolution!$A$3:$A$731,$A136)</f>
        <v/>
      </c>
      <c r="J136" s="17">
        <f>SUMIFS(Source_Evolution!$J$3:$J$731,Source_Evolution!$A$3:$A$731,$A136)</f>
        <v/>
      </c>
      <c r="K136" s="17">
        <f>SUMIFS(Source_Evolution!$K$3:$K$731,Source_Evolution!$A$3:$A$731,$A136)</f>
        <v/>
      </c>
      <c r="L136" s="17">
        <f>SUMIFS(Source_Evolution!$L$3:$L$731,Source_Evolution!$A$3:$A$731,$A136)</f>
        <v/>
      </c>
      <c r="M136" s="17">
        <f>SUMIFS(Source_Evolution!$M$3:$M$731,Source_Evolution!$A$3:$A$731,$A136)</f>
        <v/>
      </c>
      <c r="N136" s="17">
        <f>SUMIFS(Source_Evolution!$N$3:$N$731,Source_Evolution!$A$3:$A$731,$A136)</f>
        <v/>
      </c>
      <c r="O136" s="17">
        <f>SUMIFS(Source_Evolution!$O$3:$O$731,Source_Evolution!$A$3:$A$731,$A136)</f>
        <v/>
      </c>
      <c r="P136" s="17">
        <f>SUMIFS(Source_Evolution!$P$3:$P$731,Source_Evolution!$A$3:$A$731,$A136)</f>
        <v/>
      </c>
      <c r="Q136" s="17">
        <f>SUMIFS(Source_Evolution!$Q$3:$Q$731,Source_Evolution!$A$3:$A$731,$A136)</f>
        <v/>
      </c>
      <c r="R136" s="17">
        <f>SUM(E136:Q136)</f>
        <v/>
      </c>
      <c r="S136" s="17">
        <f>Q136</f>
        <v/>
      </c>
      <c r="T136">
        <f>IF(B136="Software",1,0)</f>
        <v/>
      </c>
      <c r="U136" s="18">
        <f>SUMPRODUCT((Source_Evolution!$A$3:$A$731=$A136)*(Source_Evolution!$E$3:$E$731&gt;0))</f>
        <v/>
      </c>
      <c r="V136" s="18">
        <f>SUMPRODUCT((Source_Evolution!$A$3:$A$731=$A136)*(Source_Evolution!$F$3:$F$731&gt;0))</f>
        <v/>
      </c>
      <c r="W136" s="18">
        <f>SUMPRODUCT((Source_Evolution!$A$3:$A$731=$A136)*(Source_Evolution!$G$3:$G$731&gt;0))</f>
        <v/>
      </c>
      <c r="X136" s="18">
        <f>SUMPRODUCT((Source_Evolution!$A$3:$A$731=$A136)*(Source_Evolution!$H$3:$H$731&gt;0))</f>
        <v/>
      </c>
      <c r="Y136" s="18">
        <f>SUMPRODUCT((Source_Evolution!$A$3:$A$731=$A136)*(Source_Evolution!$I$3:$I$731&gt;0))</f>
        <v/>
      </c>
      <c r="Z136" s="18">
        <f>SUMPRODUCT((Source_Evolution!$A$3:$A$731=$A136)*(Source_Evolution!$J$3:$J$731&gt;0))</f>
        <v/>
      </c>
      <c r="AA136" s="18">
        <f>SUMPRODUCT((Source_Evolution!$A$3:$A$731=$A136)*(Source_Evolution!$K$3:$K$731&gt;0))</f>
        <v/>
      </c>
      <c r="AB136" s="18">
        <f>SUMPRODUCT((Source_Evolution!$A$3:$A$731=$A136)*(Source_Evolution!$L$3:$L$731&gt;0))</f>
        <v/>
      </c>
      <c r="AC136" s="18">
        <f>SUMPRODUCT((Source_Evolution!$A$3:$A$731=$A136)*(Source_Evolution!$M$3:$M$731&gt;0))</f>
        <v/>
      </c>
      <c r="AD136" s="18">
        <f>SUMPRODUCT((Source_Evolution!$A$3:$A$731=$A136)*(Source_Evolution!$N$3:$N$731&gt;0))</f>
        <v/>
      </c>
      <c r="AE136" s="18">
        <f>SUMPRODUCT((Source_Evolution!$A$3:$A$731=$A136)*(Source_Evolution!$O$3:$O$731&gt;0))</f>
        <v/>
      </c>
      <c r="AF136" s="18">
        <f>SUMPRODUCT((Source_Evolution!$A$3:$A$731=$A136)*(Source_Evolution!$P$3:$P$731&gt;0))</f>
        <v/>
      </c>
      <c r="AG136" s="18">
        <f>SUMPRODUCT((Source_Evolution!$A$3:$A$731=$A136)*(Source_Evolution!$Q$3:$Q$731&gt;0))</f>
        <v/>
      </c>
    </row>
    <row r="137">
      <c r="A137" t="inlineStr">
        <is>
          <t>Company 22</t>
        </is>
      </c>
      <c r="B137" t="inlineStr">
        <is>
          <t>Software</t>
        </is>
      </c>
      <c r="C137" t="inlineStr">
        <is>
          <t>UK</t>
        </is>
      </c>
      <c r="D137" t="n">
        <v>2014</v>
      </c>
      <c r="E137" s="17">
        <f>SUMIFS(Source_Evolution!$E$3:$E$731,Source_Evolution!$A$3:$A$731,$A137)</f>
        <v/>
      </c>
      <c r="F137" s="17">
        <f>SUMIFS(Source_Evolution!$F$3:$F$731,Source_Evolution!$A$3:$A$731,$A137)</f>
        <v/>
      </c>
      <c r="G137" s="17">
        <f>SUMIFS(Source_Evolution!$G$3:$G$731,Source_Evolution!$A$3:$A$731,$A137)</f>
        <v/>
      </c>
      <c r="H137" s="17">
        <f>SUMIFS(Source_Evolution!$H$3:$H$731,Source_Evolution!$A$3:$A$731,$A137)</f>
        <v/>
      </c>
      <c r="I137" s="17">
        <f>SUMIFS(Source_Evolution!$I$3:$I$731,Source_Evolution!$A$3:$A$731,$A137)</f>
        <v/>
      </c>
      <c r="J137" s="17">
        <f>SUMIFS(Source_Evolution!$J$3:$J$731,Source_Evolution!$A$3:$A$731,$A137)</f>
        <v/>
      </c>
      <c r="K137" s="17">
        <f>SUMIFS(Source_Evolution!$K$3:$K$731,Source_Evolution!$A$3:$A$731,$A137)</f>
        <v/>
      </c>
      <c r="L137" s="17">
        <f>SUMIFS(Source_Evolution!$L$3:$L$731,Source_Evolution!$A$3:$A$731,$A137)</f>
        <v/>
      </c>
      <c r="M137" s="17">
        <f>SUMIFS(Source_Evolution!$M$3:$M$731,Source_Evolution!$A$3:$A$731,$A137)</f>
        <v/>
      </c>
      <c r="N137" s="17">
        <f>SUMIFS(Source_Evolution!$N$3:$N$731,Source_Evolution!$A$3:$A$731,$A137)</f>
        <v/>
      </c>
      <c r="O137" s="17">
        <f>SUMIFS(Source_Evolution!$O$3:$O$731,Source_Evolution!$A$3:$A$731,$A137)</f>
        <v/>
      </c>
      <c r="P137" s="17">
        <f>SUMIFS(Source_Evolution!$P$3:$P$731,Source_Evolution!$A$3:$A$731,$A137)</f>
        <v/>
      </c>
      <c r="Q137" s="17">
        <f>SUMIFS(Source_Evolution!$Q$3:$Q$731,Source_Evolution!$A$3:$A$731,$A137)</f>
        <v/>
      </c>
      <c r="R137" s="17">
        <f>SUM(E137:Q137)</f>
        <v/>
      </c>
      <c r="S137" s="17">
        <f>Q137</f>
        <v/>
      </c>
      <c r="T137">
        <f>IF(B137="Software",1,0)</f>
        <v/>
      </c>
      <c r="U137" s="18">
        <f>SUMPRODUCT((Source_Evolution!$A$3:$A$731=$A137)*(Source_Evolution!$E$3:$E$731&gt;0))</f>
        <v/>
      </c>
      <c r="V137" s="18">
        <f>SUMPRODUCT((Source_Evolution!$A$3:$A$731=$A137)*(Source_Evolution!$F$3:$F$731&gt;0))</f>
        <v/>
      </c>
      <c r="W137" s="18">
        <f>SUMPRODUCT((Source_Evolution!$A$3:$A$731=$A137)*(Source_Evolution!$G$3:$G$731&gt;0))</f>
        <v/>
      </c>
      <c r="X137" s="18">
        <f>SUMPRODUCT((Source_Evolution!$A$3:$A$731=$A137)*(Source_Evolution!$H$3:$H$731&gt;0))</f>
        <v/>
      </c>
      <c r="Y137" s="18">
        <f>SUMPRODUCT((Source_Evolution!$A$3:$A$731=$A137)*(Source_Evolution!$I$3:$I$731&gt;0))</f>
        <v/>
      </c>
      <c r="Z137" s="18">
        <f>SUMPRODUCT((Source_Evolution!$A$3:$A$731=$A137)*(Source_Evolution!$J$3:$J$731&gt;0))</f>
        <v/>
      </c>
      <c r="AA137" s="18">
        <f>SUMPRODUCT((Source_Evolution!$A$3:$A$731=$A137)*(Source_Evolution!$K$3:$K$731&gt;0))</f>
        <v/>
      </c>
      <c r="AB137" s="18">
        <f>SUMPRODUCT((Source_Evolution!$A$3:$A$731=$A137)*(Source_Evolution!$L$3:$L$731&gt;0))</f>
        <v/>
      </c>
      <c r="AC137" s="18">
        <f>SUMPRODUCT((Source_Evolution!$A$3:$A$731=$A137)*(Source_Evolution!$M$3:$M$731&gt;0))</f>
        <v/>
      </c>
      <c r="AD137" s="18">
        <f>SUMPRODUCT((Source_Evolution!$A$3:$A$731=$A137)*(Source_Evolution!$N$3:$N$731&gt;0))</f>
        <v/>
      </c>
      <c r="AE137" s="18">
        <f>SUMPRODUCT((Source_Evolution!$A$3:$A$731=$A137)*(Source_Evolution!$O$3:$O$731&gt;0))</f>
        <v/>
      </c>
      <c r="AF137" s="18">
        <f>SUMPRODUCT((Source_Evolution!$A$3:$A$731=$A137)*(Source_Evolution!$P$3:$P$731&gt;0))</f>
        <v/>
      </c>
      <c r="AG137" s="18">
        <f>SUMPRODUCT((Source_Evolution!$A$3:$A$731=$A137)*(Source_Evolution!$Q$3:$Q$731&gt;0))</f>
        <v/>
      </c>
    </row>
    <row r="138">
      <c r="A138" t="inlineStr">
        <is>
          <t>Company 220</t>
        </is>
      </c>
      <c r="B138" t="inlineStr">
        <is>
          <t>Power</t>
        </is>
      </c>
      <c r="C138" t="inlineStr">
        <is>
          <t>France</t>
        </is>
      </c>
      <c r="D138" t="n">
        <v>2014</v>
      </c>
      <c r="E138" s="17">
        <f>SUMIFS(Source_Evolution!$E$3:$E$731,Source_Evolution!$A$3:$A$731,$A138)</f>
        <v/>
      </c>
      <c r="F138" s="17">
        <f>SUMIFS(Source_Evolution!$F$3:$F$731,Source_Evolution!$A$3:$A$731,$A138)</f>
        <v/>
      </c>
      <c r="G138" s="17">
        <f>SUMIFS(Source_Evolution!$G$3:$G$731,Source_Evolution!$A$3:$A$731,$A138)</f>
        <v/>
      </c>
      <c r="H138" s="17">
        <f>SUMIFS(Source_Evolution!$H$3:$H$731,Source_Evolution!$A$3:$A$731,$A138)</f>
        <v/>
      </c>
      <c r="I138" s="17">
        <f>SUMIFS(Source_Evolution!$I$3:$I$731,Source_Evolution!$A$3:$A$731,$A138)</f>
        <v/>
      </c>
      <c r="J138" s="17">
        <f>SUMIFS(Source_Evolution!$J$3:$J$731,Source_Evolution!$A$3:$A$731,$A138)</f>
        <v/>
      </c>
      <c r="K138" s="17">
        <f>SUMIFS(Source_Evolution!$K$3:$K$731,Source_Evolution!$A$3:$A$731,$A138)</f>
        <v/>
      </c>
      <c r="L138" s="17">
        <f>SUMIFS(Source_Evolution!$L$3:$L$731,Source_Evolution!$A$3:$A$731,$A138)</f>
        <v/>
      </c>
      <c r="M138" s="17">
        <f>SUMIFS(Source_Evolution!$M$3:$M$731,Source_Evolution!$A$3:$A$731,$A138)</f>
        <v/>
      </c>
      <c r="N138" s="17">
        <f>SUMIFS(Source_Evolution!$N$3:$N$731,Source_Evolution!$A$3:$A$731,$A138)</f>
        <v/>
      </c>
      <c r="O138" s="17">
        <f>SUMIFS(Source_Evolution!$O$3:$O$731,Source_Evolution!$A$3:$A$731,$A138)</f>
        <v/>
      </c>
      <c r="P138" s="17">
        <f>SUMIFS(Source_Evolution!$P$3:$P$731,Source_Evolution!$A$3:$A$731,$A138)</f>
        <v/>
      </c>
      <c r="Q138" s="17">
        <f>SUMIFS(Source_Evolution!$Q$3:$Q$731,Source_Evolution!$A$3:$A$731,$A138)</f>
        <v/>
      </c>
      <c r="R138" s="17">
        <f>SUM(E138:Q138)</f>
        <v/>
      </c>
      <c r="S138" s="17">
        <f>Q138</f>
        <v/>
      </c>
      <c r="T138">
        <f>IF(B138="Software",1,0)</f>
        <v/>
      </c>
      <c r="U138" s="18">
        <f>SUMPRODUCT((Source_Evolution!$A$3:$A$731=$A138)*(Source_Evolution!$E$3:$E$731&gt;0))</f>
        <v/>
      </c>
      <c r="V138" s="18">
        <f>SUMPRODUCT((Source_Evolution!$A$3:$A$731=$A138)*(Source_Evolution!$F$3:$F$731&gt;0))</f>
        <v/>
      </c>
      <c r="W138" s="18">
        <f>SUMPRODUCT((Source_Evolution!$A$3:$A$731=$A138)*(Source_Evolution!$G$3:$G$731&gt;0))</f>
        <v/>
      </c>
      <c r="X138" s="18">
        <f>SUMPRODUCT((Source_Evolution!$A$3:$A$731=$A138)*(Source_Evolution!$H$3:$H$731&gt;0))</f>
        <v/>
      </c>
      <c r="Y138" s="18">
        <f>SUMPRODUCT((Source_Evolution!$A$3:$A$731=$A138)*(Source_Evolution!$I$3:$I$731&gt;0))</f>
        <v/>
      </c>
      <c r="Z138" s="18">
        <f>SUMPRODUCT((Source_Evolution!$A$3:$A$731=$A138)*(Source_Evolution!$J$3:$J$731&gt;0))</f>
        <v/>
      </c>
      <c r="AA138" s="18">
        <f>SUMPRODUCT((Source_Evolution!$A$3:$A$731=$A138)*(Source_Evolution!$K$3:$K$731&gt;0))</f>
        <v/>
      </c>
      <c r="AB138" s="18">
        <f>SUMPRODUCT((Source_Evolution!$A$3:$A$731=$A138)*(Source_Evolution!$L$3:$L$731&gt;0))</f>
        <v/>
      </c>
      <c r="AC138" s="18">
        <f>SUMPRODUCT((Source_Evolution!$A$3:$A$731=$A138)*(Source_Evolution!$M$3:$M$731&gt;0))</f>
        <v/>
      </c>
      <c r="AD138" s="18">
        <f>SUMPRODUCT((Source_Evolution!$A$3:$A$731=$A138)*(Source_Evolution!$N$3:$N$731&gt;0))</f>
        <v/>
      </c>
      <c r="AE138" s="18">
        <f>SUMPRODUCT((Source_Evolution!$A$3:$A$731=$A138)*(Source_Evolution!$O$3:$O$731&gt;0))</f>
        <v/>
      </c>
      <c r="AF138" s="18">
        <f>SUMPRODUCT((Source_Evolution!$A$3:$A$731=$A138)*(Source_Evolution!$P$3:$P$731&gt;0))</f>
        <v/>
      </c>
      <c r="AG138" s="18">
        <f>SUMPRODUCT((Source_Evolution!$A$3:$A$731=$A138)*(Source_Evolution!$Q$3:$Q$731&gt;0))</f>
        <v/>
      </c>
    </row>
    <row r="139">
      <c r="A139" t="inlineStr">
        <is>
          <t>Company 221</t>
        </is>
      </c>
      <c r="B139" t="inlineStr">
        <is>
          <t>Software</t>
        </is>
      </c>
      <c r="C139" t="inlineStr">
        <is>
          <t>Belgium</t>
        </is>
      </c>
      <c r="D139" t="n">
        <v>2014</v>
      </c>
      <c r="E139" s="17">
        <f>SUMIFS(Source_Evolution!$E$3:$E$731,Source_Evolution!$A$3:$A$731,$A139)</f>
        <v/>
      </c>
      <c r="F139" s="17">
        <f>SUMIFS(Source_Evolution!$F$3:$F$731,Source_Evolution!$A$3:$A$731,$A139)</f>
        <v/>
      </c>
      <c r="G139" s="17">
        <f>SUMIFS(Source_Evolution!$G$3:$G$731,Source_Evolution!$A$3:$A$731,$A139)</f>
        <v/>
      </c>
      <c r="H139" s="17">
        <f>SUMIFS(Source_Evolution!$H$3:$H$731,Source_Evolution!$A$3:$A$731,$A139)</f>
        <v/>
      </c>
      <c r="I139" s="17">
        <f>SUMIFS(Source_Evolution!$I$3:$I$731,Source_Evolution!$A$3:$A$731,$A139)</f>
        <v/>
      </c>
      <c r="J139" s="17">
        <f>SUMIFS(Source_Evolution!$J$3:$J$731,Source_Evolution!$A$3:$A$731,$A139)</f>
        <v/>
      </c>
      <c r="K139" s="17">
        <f>SUMIFS(Source_Evolution!$K$3:$K$731,Source_Evolution!$A$3:$A$731,$A139)</f>
        <v/>
      </c>
      <c r="L139" s="17">
        <f>SUMIFS(Source_Evolution!$L$3:$L$731,Source_Evolution!$A$3:$A$731,$A139)</f>
        <v/>
      </c>
      <c r="M139" s="17">
        <f>SUMIFS(Source_Evolution!$M$3:$M$731,Source_Evolution!$A$3:$A$731,$A139)</f>
        <v/>
      </c>
      <c r="N139" s="17">
        <f>SUMIFS(Source_Evolution!$N$3:$N$731,Source_Evolution!$A$3:$A$731,$A139)</f>
        <v/>
      </c>
      <c r="O139" s="17">
        <f>SUMIFS(Source_Evolution!$O$3:$O$731,Source_Evolution!$A$3:$A$731,$A139)</f>
        <v/>
      </c>
      <c r="P139" s="17">
        <f>SUMIFS(Source_Evolution!$P$3:$P$731,Source_Evolution!$A$3:$A$731,$A139)</f>
        <v/>
      </c>
      <c r="Q139" s="17">
        <f>SUMIFS(Source_Evolution!$Q$3:$Q$731,Source_Evolution!$A$3:$A$731,$A139)</f>
        <v/>
      </c>
      <c r="R139" s="17">
        <f>SUM(E139:Q139)</f>
        <v/>
      </c>
      <c r="S139" s="17">
        <f>Q139</f>
        <v/>
      </c>
      <c r="T139">
        <f>IF(B139="Software",1,0)</f>
        <v/>
      </c>
      <c r="U139" s="18">
        <f>SUMPRODUCT((Source_Evolution!$A$3:$A$731=$A139)*(Source_Evolution!$E$3:$E$731&gt;0))</f>
        <v/>
      </c>
      <c r="V139" s="18">
        <f>SUMPRODUCT((Source_Evolution!$A$3:$A$731=$A139)*(Source_Evolution!$F$3:$F$731&gt;0))</f>
        <v/>
      </c>
      <c r="W139" s="18">
        <f>SUMPRODUCT((Source_Evolution!$A$3:$A$731=$A139)*(Source_Evolution!$G$3:$G$731&gt;0))</f>
        <v/>
      </c>
      <c r="X139" s="18">
        <f>SUMPRODUCT((Source_Evolution!$A$3:$A$731=$A139)*(Source_Evolution!$H$3:$H$731&gt;0))</f>
        <v/>
      </c>
      <c r="Y139" s="18">
        <f>SUMPRODUCT((Source_Evolution!$A$3:$A$731=$A139)*(Source_Evolution!$I$3:$I$731&gt;0))</f>
        <v/>
      </c>
      <c r="Z139" s="18">
        <f>SUMPRODUCT((Source_Evolution!$A$3:$A$731=$A139)*(Source_Evolution!$J$3:$J$731&gt;0))</f>
        <v/>
      </c>
      <c r="AA139" s="18">
        <f>SUMPRODUCT((Source_Evolution!$A$3:$A$731=$A139)*(Source_Evolution!$K$3:$K$731&gt;0))</f>
        <v/>
      </c>
      <c r="AB139" s="18">
        <f>SUMPRODUCT((Source_Evolution!$A$3:$A$731=$A139)*(Source_Evolution!$L$3:$L$731&gt;0))</f>
        <v/>
      </c>
      <c r="AC139" s="18">
        <f>SUMPRODUCT((Source_Evolution!$A$3:$A$731=$A139)*(Source_Evolution!$M$3:$M$731&gt;0))</f>
        <v/>
      </c>
      <c r="AD139" s="18">
        <f>SUMPRODUCT((Source_Evolution!$A$3:$A$731=$A139)*(Source_Evolution!$N$3:$N$731&gt;0))</f>
        <v/>
      </c>
      <c r="AE139" s="18">
        <f>SUMPRODUCT((Source_Evolution!$A$3:$A$731=$A139)*(Source_Evolution!$O$3:$O$731&gt;0))</f>
        <v/>
      </c>
      <c r="AF139" s="18">
        <f>SUMPRODUCT((Source_Evolution!$A$3:$A$731=$A139)*(Source_Evolution!$P$3:$P$731&gt;0))</f>
        <v/>
      </c>
      <c r="AG139" s="18">
        <f>SUMPRODUCT((Source_Evolution!$A$3:$A$731=$A139)*(Source_Evolution!$Q$3:$Q$731&gt;0))</f>
        <v/>
      </c>
    </row>
    <row r="140">
      <c r="A140" t="inlineStr">
        <is>
          <t>Company 222</t>
        </is>
      </c>
      <c r="B140" t="inlineStr">
        <is>
          <t>Software</t>
        </is>
      </c>
      <c r="C140" t="inlineStr">
        <is>
          <t>Denmark</t>
        </is>
      </c>
      <c r="D140" t="n">
        <v>2014</v>
      </c>
      <c r="E140" s="17">
        <f>SUMIFS(Source_Evolution!$E$3:$E$731,Source_Evolution!$A$3:$A$731,$A140)</f>
        <v/>
      </c>
      <c r="F140" s="17">
        <f>SUMIFS(Source_Evolution!$F$3:$F$731,Source_Evolution!$A$3:$A$731,$A140)</f>
        <v/>
      </c>
      <c r="G140" s="17">
        <f>SUMIFS(Source_Evolution!$G$3:$G$731,Source_Evolution!$A$3:$A$731,$A140)</f>
        <v/>
      </c>
      <c r="H140" s="17">
        <f>SUMIFS(Source_Evolution!$H$3:$H$731,Source_Evolution!$A$3:$A$731,$A140)</f>
        <v/>
      </c>
      <c r="I140" s="17">
        <f>SUMIFS(Source_Evolution!$I$3:$I$731,Source_Evolution!$A$3:$A$731,$A140)</f>
        <v/>
      </c>
      <c r="J140" s="17">
        <f>SUMIFS(Source_Evolution!$J$3:$J$731,Source_Evolution!$A$3:$A$731,$A140)</f>
        <v/>
      </c>
      <c r="K140" s="17">
        <f>SUMIFS(Source_Evolution!$K$3:$K$731,Source_Evolution!$A$3:$A$731,$A140)</f>
        <v/>
      </c>
      <c r="L140" s="17">
        <f>SUMIFS(Source_Evolution!$L$3:$L$731,Source_Evolution!$A$3:$A$731,$A140)</f>
        <v/>
      </c>
      <c r="M140" s="17">
        <f>SUMIFS(Source_Evolution!$M$3:$M$731,Source_Evolution!$A$3:$A$731,$A140)</f>
        <v/>
      </c>
      <c r="N140" s="17">
        <f>SUMIFS(Source_Evolution!$N$3:$N$731,Source_Evolution!$A$3:$A$731,$A140)</f>
        <v/>
      </c>
      <c r="O140" s="17">
        <f>SUMIFS(Source_Evolution!$O$3:$O$731,Source_Evolution!$A$3:$A$731,$A140)</f>
        <v/>
      </c>
      <c r="P140" s="17">
        <f>SUMIFS(Source_Evolution!$P$3:$P$731,Source_Evolution!$A$3:$A$731,$A140)</f>
        <v/>
      </c>
      <c r="Q140" s="17">
        <f>SUMIFS(Source_Evolution!$Q$3:$Q$731,Source_Evolution!$A$3:$A$731,$A140)</f>
        <v/>
      </c>
      <c r="R140" s="17">
        <f>SUM(E140:Q140)</f>
        <v/>
      </c>
      <c r="S140" s="17">
        <f>Q140</f>
        <v/>
      </c>
      <c r="T140">
        <f>IF(B140="Software",1,0)</f>
        <v/>
      </c>
      <c r="U140" s="18">
        <f>SUMPRODUCT((Source_Evolution!$A$3:$A$731=$A140)*(Source_Evolution!$E$3:$E$731&gt;0))</f>
        <v/>
      </c>
      <c r="V140" s="18">
        <f>SUMPRODUCT((Source_Evolution!$A$3:$A$731=$A140)*(Source_Evolution!$F$3:$F$731&gt;0))</f>
        <v/>
      </c>
      <c r="W140" s="18">
        <f>SUMPRODUCT((Source_Evolution!$A$3:$A$731=$A140)*(Source_Evolution!$G$3:$G$731&gt;0))</f>
        <v/>
      </c>
      <c r="X140" s="18">
        <f>SUMPRODUCT((Source_Evolution!$A$3:$A$731=$A140)*(Source_Evolution!$H$3:$H$731&gt;0))</f>
        <v/>
      </c>
      <c r="Y140" s="18">
        <f>SUMPRODUCT((Source_Evolution!$A$3:$A$731=$A140)*(Source_Evolution!$I$3:$I$731&gt;0))</f>
        <v/>
      </c>
      <c r="Z140" s="18">
        <f>SUMPRODUCT((Source_Evolution!$A$3:$A$731=$A140)*(Source_Evolution!$J$3:$J$731&gt;0))</f>
        <v/>
      </c>
      <c r="AA140" s="18">
        <f>SUMPRODUCT((Source_Evolution!$A$3:$A$731=$A140)*(Source_Evolution!$K$3:$K$731&gt;0))</f>
        <v/>
      </c>
      <c r="AB140" s="18">
        <f>SUMPRODUCT((Source_Evolution!$A$3:$A$731=$A140)*(Source_Evolution!$L$3:$L$731&gt;0))</f>
        <v/>
      </c>
      <c r="AC140" s="18">
        <f>SUMPRODUCT((Source_Evolution!$A$3:$A$731=$A140)*(Source_Evolution!$M$3:$M$731&gt;0))</f>
        <v/>
      </c>
      <c r="AD140" s="18">
        <f>SUMPRODUCT((Source_Evolution!$A$3:$A$731=$A140)*(Source_Evolution!$N$3:$N$731&gt;0))</f>
        <v/>
      </c>
      <c r="AE140" s="18">
        <f>SUMPRODUCT((Source_Evolution!$A$3:$A$731=$A140)*(Source_Evolution!$O$3:$O$731&gt;0))</f>
        <v/>
      </c>
      <c r="AF140" s="18">
        <f>SUMPRODUCT((Source_Evolution!$A$3:$A$731=$A140)*(Source_Evolution!$P$3:$P$731&gt;0))</f>
        <v/>
      </c>
      <c r="AG140" s="18">
        <f>SUMPRODUCT((Source_Evolution!$A$3:$A$731=$A140)*(Source_Evolution!$Q$3:$Q$731&gt;0))</f>
        <v/>
      </c>
    </row>
    <row r="141">
      <c r="A141" t="inlineStr">
        <is>
          <t>Company 223</t>
        </is>
      </c>
      <c r="B141" t="inlineStr">
        <is>
          <t>Software</t>
        </is>
      </c>
      <c r="C141" t="inlineStr">
        <is>
          <t>Denmark</t>
        </is>
      </c>
      <c r="D141" t="n">
        <v>2014</v>
      </c>
      <c r="E141" s="17">
        <f>SUMIFS(Source_Evolution!$E$3:$E$731,Source_Evolution!$A$3:$A$731,$A141)</f>
        <v/>
      </c>
      <c r="F141" s="17">
        <f>SUMIFS(Source_Evolution!$F$3:$F$731,Source_Evolution!$A$3:$A$731,$A141)</f>
        <v/>
      </c>
      <c r="G141" s="17">
        <f>SUMIFS(Source_Evolution!$G$3:$G$731,Source_Evolution!$A$3:$A$731,$A141)</f>
        <v/>
      </c>
      <c r="H141" s="17">
        <f>SUMIFS(Source_Evolution!$H$3:$H$731,Source_Evolution!$A$3:$A$731,$A141)</f>
        <v/>
      </c>
      <c r="I141" s="17">
        <f>SUMIFS(Source_Evolution!$I$3:$I$731,Source_Evolution!$A$3:$A$731,$A141)</f>
        <v/>
      </c>
      <c r="J141" s="17">
        <f>SUMIFS(Source_Evolution!$J$3:$J$731,Source_Evolution!$A$3:$A$731,$A141)</f>
        <v/>
      </c>
      <c r="K141" s="17">
        <f>SUMIFS(Source_Evolution!$K$3:$K$731,Source_Evolution!$A$3:$A$731,$A141)</f>
        <v/>
      </c>
      <c r="L141" s="17">
        <f>SUMIFS(Source_Evolution!$L$3:$L$731,Source_Evolution!$A$3:$A$731,$A141)</f>
        <v/>
      </c>
      <c r="M141" s="17">
        <f>SUMIFS(Source_Evolution!$M$3:$M$731,Source_Evolution!$A$3:$A$731,$A141)</f>
        <v/>
      </c>
      <c r="N141" s="17">
        <f>SUMIFS(Source_Evolution!$N$3:$N$731,Source_Evolution!$A$3:$A$731,$A141)</f>
        <v/>
      </c>
      <c r="O141" s="17">
        <f>SUMIFS(Source_Evolution!$O$3:$O$731,Source_Evolution!$A$3:$A$731,$A141)</f>
        <v/>
      </c>
      <c r="P141" s="17">
        <f>SUMIFS(Source_Evolution!$P$3:$P$731,Source_Evolution!$A$3:$A$731,$A141)</f>
        <v/>
      </c>
      <c r="Q141" s="17">
        <f>SUMIFS(Source_Evolution!$Q$3:$Q$731,Source_Evolution!$A$3:$A$731,$A141)</f>
        <v/>
      </c>
      <c r="R141" s="17">
        <f>SUM(E141:Q141)</f>
        <v/>
      </c>
      <c r="S141" s="17">
        <f>Q141</f>
        <v/>
      </c>
      <c r="T141">
        <f>IF(B141="Software",1,0)</f>
        <v/>
      </c>
      <c r="U141" s="18">
        <f>SUMPRODUCT((Source_Evolution!$A$3:$A$731=$A141)*(Source_Evolution!$E$3:$E$731&gt;0))</f>
        <v/>
      </c>
      <c r="V141" s="18">
        <f>SUMPRODUCT((Source_Evolution!$A$3:$A$731=$A141)*(Source_Evolution!$F$3:$F$731&gt;0))</f>
        <v/>
      </c>
      <c r="W141" s="18">
        <f>SUMPRODUCT((Source_Evolution!$A$3:$A$731=$A141)*(Source_Evolution!$G$3:$G$731&gt;0))</f>
        <v/>
      </c>
      <c r="X141" s="18">
        <f>SUMPRODUCT((Source_Evolution!$A$3:$A$731=$A141)*(Source_Evolution!$H$3:$H$731&gt;0))</f>
        <v/>
      </c>
      <c r="Y141" s="18">
        <f>SUMPRODUCT((Source_Evolution!$A$3:$A$731=$A141)*(Source_Evolution!$I$3:$I$731&gt;0))</f>
        <v/>
      </c>
      <c r="Z141" s="18">
        <f>SUMPRODUCT((Source_Evolution!$A$3:$A$731=$A141)*(Source_Evolution!$J$3:$J$731&gt;0))</f>
        <v/>
      </c>
      <c r="AA141" s="18">
        <f>SUMPRODUCT((Source_Evolution!$A$3:$A$731=$A141)*(Source_Evolution!$K$3:$K$731&gt;0))</f>
        <v/>
      </c>
      <c r="AB141" s="18">
        <f>SUMPRODUCT((Source_Evolution!$A$3:$A$731=$A141)*(Source_Evolution!$L$3:$L$731&gt;0))</f>
        <v/>
      </c>
      <c r="AC141" s="18">
        <f>SUMPRODUCT((Source_Evolution!$A$3:$A$731=$A141)*(Source_Evolution!$M$3:$M$731&gt;0))</f>
        <v/>
      </c>
      <c r="AD141" s="18">
        <f>SUMPRODUCT((Source_Evolution!$A$3:$A$731=$A141)*(Source_Evolution!$N$3:$N$731&gt;0))</f>
        <v/>
      </c>
      <c r="AE141" s="18">
        <f>SUMPRODUCT((Source_Evolution!$A$3:$A$731=$A141)*(Source_Evolution!$O$3:$O$731&gt;0))</f>
        <v/>
      </c>
      <c r="AF141" s="18">
        <f>SUMPRODUCT((Source_Evolution!$A$3:$A$731=$A141)*(Source_Evolution!$P$3:$P$731&gt;0))</f>
        <v/>
      </c>
      <c r="AG141" s="18">
        <f>SUMPRODUCT((Source_Evolution!$A$3:$A$731=$A141)*(Source_Evolution!$Q$3:$Q$731&gt;0))</f>
        <v/>
      </c>
    </row>
    <row r="142">
      <c r="A142" t="inlineStr">
        <is>
          <t>Company 224</t>
        </is>
      </c>
      <c r="B142" t="inlineStr">
        <is>
          <t>Operations</t>
        </is>
      </c>
      <c r="C142" t="inlineStr">
        <is>
          <t>Denmark</t>
        </is>
      </c>
      <c r="D142" t="n">
        <v>2014</v>
      </c>
      <c r="E142" s="17">
        <f>SUMIFS(Source_Evolution!$E$3:$E$731,Source_Evolution!$A$3:$A$731,$A142)</f>
        <v/>
      </c>
      <c r="F142" s="17">
        <f>SUMIFS(Source_Evolution!$F$3:$F$731,Source_Evolution!$A$3:$A$731,$A142)</f>
        <v/>
      </c>
      <c r="G142" s="17">
        <f>SUMIFS(Source_Evolution!$G$3:$G$731,Source_Evolution!$A$3:$A$731,$A142)</f>
        <v/>
      </c>
      <c r="H142" s="17">
        <f>SUMIFS(Source_Evolution!$H$3:$H$731,Source_Evolution!$A$3:$A$731,$A142)</f>
        <v/>
      </c>
      <c r="I142" s="17">
        <f>SUMIFS(Source_Evolution!$I$3:$I$731,Source_Evolution!$A$3:$A$731,$A142)</f>
        <v/>
      </c>
      <c r="J142" s="17">
        <f>SUMIFS(Source_Evolution!$J$3:$J$731,Source_Evolution!$A$3:$A$731,$A142)</f>
        <v/>
      </c>
      <c r="K142" s="17">
        <f>SUMIFS(Source_Evolution!$K$3:$K$731,Source_Evolution!$A$3:$A$731,$A142)</f>
        <v/>
      </c>
      <c r="L142" s="17">
        <f>SUMIFS(Source_Evolution!$L$3:$L$731,Source_Evolution!$A$3:$A$731,$A142)</f>
        <v/>
      </c>
      <c r="M142" s="17">
        <f>SUMIFS(Source_Evolution!$M$3:$M$731,Source_Evolution!$A$3:$A$731,$A142)</f>
        <v/>
      </c>
      <c r="N142" s="17">
        <f>SUMIFS(Source_Evolution!$N$3:$N$731,Source_Evolution!$A$3:$A$731,$A142)</f>
        <v/>
      </c>
      <c r="O142" s="17">
        <f>SUMIFS(Source_Evolution!$O$3:$O$731,Source_Evolution!$A$3:$A$731,$A142)</f>
        <v/>
      </c>
      <c r="P142" s="17">
        <f>SUMIFS(Source_Evolution!$P$3:$P$731,Source_Evolution!$A$3:$A$731,$A142)</f>
        <v/>
      </c>
      <c r="Q142" s="17">
        <f>SUMIFS(Source_Evolution!$Q$3:$Q$731,Source_Evolution!$A$3:$A$731,$A142)</f>
        <v/>
      </c>
      <c r="R142" s="17">
        <f>SUM(E142:Q142)</f>
        <v/>
      </c>
      <c r="S142" s="17">
        <f>Q142</f>
        <v/>
      </c>
      <c r="T142">
        <f>IF(B142="Software",1,0)</f>
        <v/>
      </c>
      <c r="U142" s="18">
        <f>SUMPRODUCT((Source_Evolution!$A$3:$A$731=$A142)*(Source_Evolution!$E$3:$E$731&gt;0))</f>
        <v/>
      </c>
      <c r="V142" s="18">
        <f>SUMPRODUCT((Source_Evolution!$A$3:$A$731=$A142)*(Source_Evolution!$F$3:$F$731&gt;0))</f>
        <v/>
      </c>
      <c r="W142" s="18">
        <f>SUMPRODUCT((Source_Evolution!$A$3:$A$731=$A142)*(Source_Evolution!$G$3:$G$731&gt;0))</f>
        <v/>
      </c>
      <c r="X142" s="18">
        <f>SUMPRODUCT((Source_Evolution!$A$3:$A$731=$A142)*(Source_Evolution!$H$3:$H$731&gt;0))</f>
        <v/>
      </c>
      <c r="Y142" s="18">
        <f>SUMPRODUCT((Source_Evolution!$A$3:$A$731=$A142)*(Source_Evolution!$I$3:$I$731&gt;0))</f>
        <v/>
      </c>
      <c r="Z142" s="18">
        <f>SUMPRODUCT((Source_Evolution!$A$3:$A$731=$A142)*(Source_Evolution!$J$3:$J$731&gt;0))</f>
        <v/>
      </c>
      <c r="AA142" s="18">
        <f>SUMPRODUCT((Source_Evolution!$A$3:$A$731=$A142)*(Source_Evolution!$K$3:$K$731&gt;0))</f>
        <v/>
      </c>
      <c r="AB142" s="18">
        <f>SUMPRODUCT((Source_Evolution!$A$3:$A$731=$A142)*(Source_Evolution!$L$3:$L$731&gt;0))</f>
        <v/>
      </c>
      <c r="AC142" s="18">
        <f>SUMPRODUCT((Source_Evolution!$A$3:$A$731=$A142)*(Source_Evolution!$M$3:$M$731&gt;0))</f>
        <v/>
      </c>
      <c r="AD142" s="18">
        <f>SUMPRODUCT((Source_Evolution!$A$3:$A$731=$A142)*(Source_Evolution!$N$3:$N$731&gt;0))</f>
        <v/>
      </c>
      <c r="AE142" s="18">
        <f>SUMPRODUCT((Source_Evolution!$A$3:$A$731=$A142)*(Source_Evolution!$O$3:$O$731&gt;0))</f>
        <v/>
      </c>
      <c r="AF142" s="18">
        <f>SUMPRODUCT((Source_Evolution!$A$3:$A$731=$A142)*(Source_Evolution!$P$3:$P$731&gt;0))</f>
        <v/>
      </c>
      <c r="AG142" s="18">
        <f>SUMPRODUCT((Source_Evolution!$A$3:$A$731=$A142)*(Source_Evolution!$Q$3:$Q$731&gt;0))</f>
        <v/>
      </c>
    </row>
    <row r="143">
      <c r="A143" t="inlineStr">
        <is>
          <t>Company 225</t>
        </is>
      </c>
      <c r="B143" t="inlineStr">
        <is>
          <t>Operations</t>
        </is>
      </c>
      <c r="C143" t="inlineStr">
        <is>
          <t>Switzerland</t>
        </is>
      </c>
      <c r="D143" t="n">
        <v>2014</v>
      </c>
      <c r="E143" s="17">
        <f>SUMIFS(Source_Evolution!$E$3:$E$731,Source_Evolution!$A$3:$A$731,$A143)</f>
        <v/>
      </c>
      <c r="F143" s="17">
        <f>SUMIFS(Source_Evolution!$F$3:$F$731,Source_Evolution!$A$3:$A$731,$A143)</f>
        <v/>
      </c>
      <c r="G143" s="17">
        <f>SUMIFS(Source_Evolution!$G$3:$G$731,Source_Evolution!$A$3:$A$731,$A143)</f>
        <v/>
      </c>
      <c r="H143" s="17">
        <f>SUMIFS(Source_Evolution!$H$3:$H$731,Source_Evolution!$A$3:$A$731,$A143)</f>
        <v/>
      </c>
      <c r="I143" s="17">
        <f>SUMIFS(Source_Evolution!$I$3:$I$731,Source_Evolution!$A$3:$A$731,$A143)</f>
        <v/>
      </c>
      <c r="J143" s="17">
        <f>SUMIFS(Source_Evolution!$J$3:$J$731,Source_Evolution!$A$3:$A$731,$A143)</f>
        <v/>
      </c>
      <c r="K143" s="17">
        <f>SUMIFS(Source_Evolution!$K$3:$K$731,Source_Evolution!$A$3:$A$731,$A143)</f>
        <v/>
      </c>
      <c r="L143" s="17">
        <f>SUMIFS(Source_Evolution!$L$3:$L$731,Source_Evolution!$A$3:$A$731,$A143)</f>
        <v/>
      </c>
      <c r="M143" s="17">
        <f>SUMIFS(Source_Evolution!$M$3:$M$731,Source_Evolution!$A$3:$A$731,$A143)</f>
        <v/>
      </c>
      <c r="N143" s="17">
        <f>SUMIFS(Source_Evolution!$N$3:$N$731,Source_Evolution!$A$3:$A$731,$A143)</f>
        <v/>
      </c>
      <c r="O143" s="17">
        <f>SUMIFS(Source_Evolution!$O$3:$O$731,Source_Evolution!$A$3:$A$731,$A143)</f>
        <v/>
      </c>
      <c r="P143" s="17">
        <f>SUMIFS(Source_Evolution!$P$3:$P$731,Source_Evolution!$A$3:$A$731,$A143)</f>
        <v/>
      </c>
      <c r="Q143" s="17">
        <f>SUMIFS(Source_Evolution!$Q$3:$Q$731,Source_Evolution!$A$3:$A$731,$A143)</f>
        <v/>
      </c>
      <c r="R143" s="17">
        <f>SUM(E143:Q143)</f>
        <v/>
      </c>
      <c r="S143" s="17">
        <f>Q143</f>
        <v/>
      </c>
      <c r="T143">
        <f>IF(B143="Software",1,0)</f>
        <v/>
      </c>
      <c r="U143" s="18">
        <f>SUMPRODUCT((Source_Evolution!$A$3:$A$731=$A143)*(Source_Evolution!$E$3:$E$731&gt;0))</f>
        <v/>
      </c>
      <c r="V143" s="18">
        <f>SUMPRODUCT((Source_Evolution!$A$3:$A$731=$A143)*(Source_Evolution!$F$3:$F$731&gt;0))</f>
        <v/>
      </c>
      <c r="W143" s="18">
        <f>SUMPRODUCT((Source_Evolution!$A$3:$A$731=$A143)*(Source_Evolution!$G$3:$G$731&gt;0))</f>
        <v/>
      </c>
      <c r="X143" s="18">
        <f>SUMPRODUCT((Source_Evolution!$A$3:$A$731=$A143)*(Source_Evolution!$H$3:$H$731&gt;0))</f>
        <v/>
      </c>
      <c r="Y143" s="18">
        <f>SUMPRODUCT((Source_Evolution!$A$3:$A$731=$A143)*(Source_Evolution!$I$3:$I$731&gt;0))</f>
        <v/>
      </c>
      <c r="Z143" s="18">
        <f>SUMPRODUCT((Source_Evolution!$A$3:$A$731=$A143)*(Source_Evolution!$J$3:$J$731&gt;0))</f>
        <v/>
      </c>
      <c r="AA143" s="18">
        <f>SUMPRODUCT((Source_Evolution!$A$3:$A$731=$A143)*(Source_Evolution!$K$3:$K$731&gt;0))</f>
        <v/>
      </c>
      <c r="AB143" s="18">
        <f>SUMPRODUCT((Source_Evolution!$A$3:$A$731=$A143)*(Source_Evolution!$L$3:$L$731&gt;0))</f>
        <v/>
      </c>
      <c r="AC143" s="18">
        <f>SUMPRODUCT((Source_Evolution!$A$3:$A$731=$A143)*(Source_Evolution!$M$3:$M$731&gt;0))</f>
        <v/>
      </c>
      <c r="AD143" s="18">
        <f>SUMPRODUCT((Source_Evolution!$A$3:$A$731=$A143)*(Source_Evolution!$N$3:$N$731&gt;0))</f>
        <v/>
      </c>
      <c r="AE143" s="18">
        <f>SUMPRODUCT((Source_Evolution!$A$3:$A$731=$A143)*(Source_Evolution!$O$3:$O$731&gt;0))</f>
        <v/>
      </c>
      <c r="AF143" s="18">
        <f>SUMPRODUCT((Source_Evolution!$A$3:$A$731=$A143)*(Source_Evolution!$P$3:$P$731&gt;0))</f>
        <v/>
      </c>
      <c r="AG143" s="18">
        <f>SUMPRODUCT((Source_Evolution!$A$3:$A$731=$A143)*(Source_Evolution!$Q$3:$Q$731&gt;0))</f>
        <v/>
      </c>
    </row>
    <row r="144">
      <c r="A144" t="inlineStr">
        <is>
          <t>Company 226</t>
        </is>
      </c>
      <c r="B144" t="inlineStr">
        <is>
          <t>Software</t>
        </is>
      </c>
      <c r="C144" t="inlineStr">
        <is>
          <t>Netherlands</t>
        </is>
      </c>
      <c r="D144" t="n">
        <v>2014</v>
      </c>
      <c r="E144" s="17">
        <f>SUMIFS(Source_Evolution!$E$3:$E$731,Source_Evolution!$A$3:$A$731,$A144)</f>
        <v/>
      </c>
      <c r="F144" s="17">
        <f>SUMIFS(Source_Evolution!$F$3:$F$731,Source_Evolution!$A$3:$A$731,$A144)</f>
        <v/>
      </c>
      <c r="G144" s="17">
        <f>SUMIFS(Source_Evolution!$G$3:$G$731,Source_Evolution!$A$3:$A$731,$A144)</f>
        <v/>
      </c>
      <c r="H144" s="17">
        <f>SUMIFS(Source_Evolution!$H$3:$H$731,Source_Evolution!$A$3:$A$731,$A144)</f>
        <v/>
      </c>
      <c r="I144" s="17">
        <f>SUMIFS(Source_Evolution!$I$3:$I$731,Source_Evolution!$A$3:$A$731,$A144)</f>
        <v/>
      </c>
      <c r="J144" s="17">
        <f>SUMIFS(Source_Evolution!$J$3:$J$731,Source_Evolution!$A$3:$A$731,$A144)</f>
        <v/>
      </c>
      <c r="K144" s="17">
        <f>SUMIFS(Source_Evolution!$K$3:$K$731,Source_Evolution!$A$3:$A$731,$A144)</f>
        <v/>
      </c>
      <c r="L144" s="17">
        <f>SUMIFS(Source_Evolution!$L$3:$L$731,Source_Evolution!$A$3:$A$731,$A144)</f>
        <v/>
      </c>
      <c r="M144" s="17">
        <f>SUMIFS(Source_Evolution!$M$3:$M$731,Source_Evolution!$A$3:$A$731,$A144)</f>
        <v/>
      </c>
      <c r="N144" s="17">
        <f>SUMIFS(Source_Evolution!$N$3:$N$731,Source_Evolution!$A$3:$A$731,$A144)</f>
        <v/>
      </c>
      <c r="O144" s="17">
        <f>SUMIFS(Source_Evolution!$O$3:$O$731,Source_Evolution!$A$3:$A$731,$A144)</f>
        <v/>
      </c>
      <c r="P144" s="17">
        <f>SUMIFS(Source_Evolution!$P$3:$P$731,Source_Evolution!$A$3:$A$731,$A144)</f>
        <v/>
      </c>
      <c r="Q144" s="17">
        <f>SUMIFS(Source_Evolution!$Q$3:$Q$731,Source_Evolution!$A$3:$A$731,$A144)</f>
        <v/>
      </c>
      <c r="R144" s="17">
        <f>SUM(E144:Q144)</f>
        <v/>
      </c>
      <c r="S144" s="17">
        <f>Q144</f>
        <v/>
      </c>
      <c r="T144">
        <f>IF(B144="Software",1,0)</f>
        <v/>
      </c>
      <c r="U144" s="18">
        <f>SUMPRODUCT((Source_Evolution!$A$3:$A$731=$A144)*(Source_Evolution!$E$3:$E$731&gt;0))</f>
        <v/>
      </c>
      <c r="V144" s="18">
        <f>SUMPRODUCT((Source_Evolution!$A$3:$A$731=$A144)*(Source_Evolution!$F$3:$F$731&gt;0))</f>
        <v/>
      </c>
      <c r="W144" s="18">
        <f>SUMPRODUCT((Source_Evolution!$A$3:$A$731=$A144)*(Source_Evolution!$G$3:$G$731&gt;0))</f>
        <v/>
      </c>
      <c r="X144" s="18">
        <f>SUMPRODUCT((Source_Evolution!$A$3:$A$731=$A144)*(Source_Evolution!$H$3:$H$731&gt;0))</f>
        <v/>
      </c>
      <c r="Y144" s="18">
        <f>SUMPRODUCT((Source_Evolution!$A$3:$A$731=$A144)*(Source_Evolution!$I$3:$I$731&gt;0))</f>
        <v/>
      </c>
      <c r="Z144" s="18">
        <f>SUMPRODUCT((Source_Evolution!$A$3:$A$731=$A144)*(Source_Evolution!$J$3:$J$731&gt;0))</f>
        <v/>
      </c>
      <c r="AA144" s="18">
        <f>SUMPRODUCT((Source_Evolution!$A$3:$A$731=$A144)*(Source_Evolution!$K$3:$K$731&gt;0))</f>
        <v/>
      </c>
      <c r="AB144" s="18">
        <f>SUMPRODUCT((Source_Evolution!$A$3:$A$731=$A144)*(Source_Evolution!$L$3:$L$731&gt;0))</f>
        <v/>
      </c>
      <c r="AC144" s="18">
        <f>SUMPRODUCT((Source_Evolution!$A$3:$A$731=$A144)*(Source_Evolution!$M$3:$M$731&gt;0))</f>
        <v/>
      </c>
      <c r="AD144" s="18">
        <f>SUMPRODUCT((Source_Evolution!$A$3:$A$731=$A144)*(Source_Evolution!$N$3:$N$731&gt;0))</f>
        <v/>
      </c>
      <c r="AE144" s="18">
        <f>SUMPRODUCT((Source_Evolution!$A$3:$A$731=$A144)*(Source_Evolution!$O$3:$O$731&gt;0))</f>
        <v/>
      </c>
      <c r="AF144" s="18">
        <f>SUMPRODUCT((Source_Evolution!$A$3:$A$731=$A144)*(Source_Evolution!$P$3:$P$731&gt;0))</f>
        <v/>
      </c>
      <c r="AG144" s="18">
        <f>SUMPRODUCT((Source_Evolution!$A$3:$A$731=$A144)*(Source_Evolution!$Q$3:$Q$731&gt;0))</f>
        <v/>
      </c>
    </row>
    <row r="145">
      <c r="A145" t="inlineStr">
        <is>
          <t>Company 227</t>
        </is>
      </c>
      <c r="B145" t="inlineStr">
        <is>
          <t>Software</t>
        </is>
      </c>
      <c r="C145" t="inlineStr">
        <is>
          <t>Switzerland</t>
        </is>
      </c>
      <c r="D145" t="n">
        <v>2016</v>
      </c>
      <c r="E145" s="17">
        <f>SUMIFS(Source_Evolution!$E$3:$E$731,Source_Evolution!$A$3:$A$731,$A145)</f>
        <v/>
      </c>
      <c r="F145" s="17">
        <f>SUMIFS(Source_Evolution!$F$3:$F$731,Source_Evolution!$A$3:$A$731,$A145)</f>
        <v/>
      </c>
      <c r="G145" s="17">
        <f>SUMIFS(Source_Evolution!$G$3:$G$731,Source_Evolution!$A$3:$A$731,$A145)</f>
        <v/>
      </c>
      <c r="H145" s="17">
        <f>SUMIFS(Source_Evolution!$H$3:$H$731,Source_Evolution!$A$3:$A$731,$A145)</f>
        <v/>
      </c>
      <c r="I145" s="17">
        <f>SUMIFS(Source_Evolution!$I$3:$I$731,Source_Evolution!$A$3:$A$731,$A145)</f>
        <v/>
      </c>
      <c r="J145" s="17">
        <f>SUMIFS(Source_Evolution!$J$3:$J$731,Source_Evolution!$A$3:$A$731,$A145)</f>
        <v/>
      </c>
      <c r="K145" s="17">
        <f>SUMIFS(Source_Evolution!$K$3:$K$731,Source_Evolution!$A$3:$A$731,$A145)</f>
        <v/>
      </c>
      <c r="L145" s="17">
        <f>SUMIFS(Source_Evolution!$L$3:$L$731,Source_Evolution!$A$3:$A$731,$A145)</f>
        <v/>
      </c>
      <c r="M145" s="17">
        <f>SUMIFS(Source_Evolution!$M$3:$M$731,Source_Evolution!$A$3:$A$731,$A145)</f>
        <v/>
      </c>
      <c r="N145" s="17">
        <f>SUMIFS(Source_Evolution!$N$3:$N$731,Source_Evolution!$A$3:$A$731,$A145)</f>
        <v/>
      </c>
      <c r="O145" s="17">
        <f>SUMIFS(Source_Evolution!$O$3:$O$731,Source_Evolution!$A$3:$A$731,$A145)</f>
        <v/>
      </c>
      <c r="P145" s="17">
        <f>SUMIFS(Source_Evolution!$P$3:$P$731,Source_Evolution!$A$3:$A$731,$A145)</f>
        <v/>
      </c>
      <c r="Q145" s="17">
        <f>SUMIFS(Source_Evolution!$Q$3:$Q$731,Source_Evolution!$A$3:$A$731,$A145)</f>
        <v/>
      </c>
      <c r="R145" s="17">
        <f>SUM(E145:Q145)</f>
        <v/>
      </c>
      <c r="S145" s="17">
        <f>Q145</f>
        <v/>
      </c>
      <c r="T145">
        <f>IF(B145="Software",1,0)</f>
        <v/>
      </c>
      <c r="U145" s="18">
        <f>SUMPRODUCT((Source_Evolution!$A$3:$A$731=$A145)*(Source_Evolution!$E$3:$E$731&gt;0))</f>
        <v/>
      </c>
      <c r="V145" s="18">
        <f>SUMPRODUCT((Source_Evolution!$A$3:$A$731=$A145)*(Source_Evolution!$F$3:$F$731&gt;0))</f>
        <v/>
      </c>
      <c r="W145" s="18">
        <f>SUMPRODUCT((Source_Evolution!$A$3:$A$731=$A145)*(Source_Evolution!$G$3:$G$731&gt;0))</f>
        <v/>
      </c>
      <c r="X145" s="18">
        <f>SUMPRODUCT((Source_Evolution!$A$3:$A$731=$A145)*(Source_Evolution!$H$3:$H$731&gt;0))</f>
        <v/>
      </c>
      <c r="Y145" s="18">
        <f>SUMPRODUCT((Source_Evolution!$A$3:$A$731=$A145)*(Source_Evolution!$I$3:$I$731&gt;0))</f>
        <v/>
      </c>
      <c r="Z145" s="18">
        <f>SUMPRODUCT((Source_Evolution!$A$3:$A$731=$A145)*(Source_Evolution!$J$3:$J$731&gt;0))</f>
        <v/>
      </c>
      <c r="AA145" s="18">
        <f>SUMPRODUCT((Source_Evolution!$A$3:$A$731=$A145)*(Source_Evolution!$K$3:$K$731&gt;0))</f>
        <v/>
      </c>
      <c r="AB145" s="18">
        <f>SUMPRODUCT((Source_Evolution!$A$3:$A$731=$A145)*(Source_Evolution!$L$3:$L$731&gt;0))</f>
        <v/>
      </c>
      <c r="AC145" s="18">
        <f>SUMPRODUCT((Source_Evolution!$A$3:$A$731=$A145)*(Source_Evolution!$M$3:$M$731&gt;0))</f>
        <v/>
      </c>
      <c r="AD145" s="18">
        <f>SUMPRODUCT((Source_Evolution!$A$3:$A$731=$A145)*(Source_Evolution!$N$3:$N$731&gt;0))</f>
        <v/>
      </c>
      <c r="AE145" s="18">
        <f>SUMPRODUCT((Source_Evolution!$A$3:$A$731=$A145)*(Source_Evolution!$O$3:$O$731&gt;0))</f>
        <v/>
      </c>
      <c r="AF145" s="18">
        <f>SUMPRODUCT((Source_Evolution!$A$3:$A$731=$A145)*(Source_Evolution!$P$3:$P$731&gt;0))</f>
        <v/>
      </c>
      <c r="AG145" s="18">
        <f>SUMPRODUCT((Source_Evolution!$A$3:$A$731=$A145)*(Source_Evolution!$Q$3:$Q$731&gt;0))</f>
        <v/>
      </c>
    </row>
    <row r="146">
      <c r="A146" t="inlineStr">
        <is>
          <t>Company 228</t>
        </is>
      </c>
      <c r="B146" t="inlineStr">
        <is>
          <t>Software</t>
        </is>
      </c>
      <c r="C146" t="inlineStr">
        <is>
          <t>Netherlands</t>
        </is>
      </c>
      <c r="D146" t="n">
        <v>2014</v>
      </c>
      <c r="E146" s="17">
        <f>SUMIFS(Source_Evolution!$E$3:$E$731,Source_Evolution!$A$3:$A$731,$A146)</f>
        <v/>
      </c>
      <c r="F146" s="17">
        <f>SUMIFS(Source_Evolution!$F$3:$F$731,Source_Evolution!$A$3:$A$731,$A146)</f>
        <v/>
      </c>
      <c r="G146" s="17">
        <f>SUMIFS(Source_Evolution!$G$3:$G$731,Source_Evolution!$A$3:$A$731,$A146)</f>
        <v/>
      </c>
      <c r="H146" s="17">
        <f>SUMIFS(Source_Evolution!$H$3:$H$731,Source_Evolution!$A$3:$A$731,$A146)</f>
        <v/>
      </c>
      <c r="I146" s="17">
        <f>SUMIFS(Source_Evolution!$I$3:$I$731,Source_Evolution!$A$3:$A$731,$A146)</f>
        <v/>
      </c>
      <c r="J146" s="17">
        <f>SUMIFS(Source_Evolution!$J$3:$J$731,Source_Evolution!$A$3:$A$731,$A146)</f>
        <v/>
      </c>
      <c r="K146" s="17">
        <f>SUMIFS(Source_Evolution!$K$3:$K$731,Source_Evolution!$A$3:$A$731,$A146)</f>
        <v/>
      </c>
      <c r="L146" s="17">
        <f>SUMIFS(Source_Evolution!$L$3:$L$731,Source_Evolution!$A$3:$A$731,$A146)</f>
        <v/>
      </c>
      <c r="M146" s="17">
        <f>SUMIFS(Source_Evolution!$M$3:$M$731,Source_Evolution!$A$3:$A$731,$A146)</f>
        <v/>
      </c>
      <c r="N146" s="17">
        <f>SUMIFS(Source_Evolution!$N$3:$N$731,Source_Evolution!$A$3:$A$731,$A146)</f>
        <v/>
      </c>
      <c r="O146" s="17">
        <f>SUMIFS(Source_Evolution!$O$3:$O$731,Source_Evolution!$A$3:$A$731,$A146)</f>
        <v/>
      </c>
      <c r="P146" s="17">
        <f>SUMIFS(Source_Evolution!$P$3:$P$731,Source_Evolution!$A$3:$A$731,$A146)</f>
        <v/>
      </c>
      <c r="Q146" s="17">
        <f>SUMIFS(Source_Evolution!$Q$3:$Q$731,Source_Evolution!$A$3:$A$731,$A146)</f>
        <v/>
      </c>
      <c r="R146" s="17">
        <f>SUM(E146:Q146)</f>
        <v/>
      </c>
      <c r="S146" s="17">
        <f>Q146</f>
        <v/>
      </c>
      <c r="T146">
        <f>IF(B146="Software",1,0)</f>
        <v/>
      </c>
      <c r="U146" s="18">
        <f>SUMPRODUCT((Source_Evolution!$A$3:$A$731=$A146)*(Source_Evolution!$E$3:$E$731&gt;0))</f>
        <v/>
      </c>
      <c r="V146" s="18">
        <f>SUMPRODUCT((Source_Evolution!$A$3:$A$731=$A146)*(Source_Evolution!$F$3:$F$731&gt;0))</f>
        <v/>
      </c>
      <c r="W146" s="18">
        <f>SUMPRODUCT((Source_Evolution!$A$3:$A$731=$A146)*(Source_Evolution!$G$3:$G$731&gt;0))</f>
        <v/>
      </c>
      <c r="X146" s="18">
        <f>SUMPRODUCT((Source_Evolution!$A$3:$A$731=$A146)*(Source_Evolution!$H$3:$H$731&gt;0))</f>
        <v/>
      </c>
      <c r="Y146" s="18">
        <f>SUMPRODUCT((Source_Evolution!$A$3:$A$731=$A146)*(Source_Evolution!$I$3:$I$731&gt;0))</f>
        <v/>
      </c>
      <c r="Z146" s="18">
        <f>SUMPRODUCT((Source_Evolution!$A$3:$A$731=$A146)*(Source_Evolution!$J$3:$J$731&gt;0))</f>
        <v/>
      </c>
      <c r="AA146" s="18">
        <f>SUMPRODUCT((Source_Evolution!$A$3:$A$731=$A146)*(Source_Evolution!$K$3:$K$731&gt;0))</f>
        <v/>
      </c>
      <c r="AB146" s="18">
        <f>SUMPRODUCT((Source_Evolution!$A$3:$A$731=$A146)*(Source_Evolution!$L$3:$L$731&gt;0))</f>
        <v/>
      </c>
      <c r="AC146" s="18">
        <f>SUMPRODUCT((Source_Evolution!$A$3:$A$731=$A146)*(Source_Evolution!$M$3:$M$731&gt;0))</f>
        <v/>
      </c>
      <c r="AD146" s="18">
        <f>SUMPRODUCT((Source_Evolution!$A$3:$A$731=$A146)*(Source_Evolution!$N$3:$N$731&gt;0))</f>
        <v/>
      </c>
      <c r="AE146" s="18">
        <f>SUMPRODUCT((Source_Evolution!$A$3:$A$731=$A146)*(Source_Evolution!$O$3:$O$731&gt;0))</f>
        <v/>
      </c>
      <c r="AF146" s="18">
        <f>SUMPRODUCT((Source_Evolution!$A$3:$A$731=$A146)*(Source_Evolution!$P$3:$P$731&gt;0))</f>
        <v/>
      </c>
      <c r="AG146" s="18">
        <f>SUMPRODUCT((Source_Evolution!$A$3:$A$731=$A146)*(Source_Evolution!$Q$3:$Q$731&gt;0))</f>
        <v/>
      </c>
    </row>
    <row r="147">
      <c r="A147" t="inlineStr">
        <is>
          <t>Company 229</t>
        </is>
      </c>
      <c r="B147" t="inlineStr">
        <is>
          <t>Operations</t>
        </is>
      </c>
      <c r="C147" t="inlineStr">
        <is>
          <t>Germany</t>
        </is>
      </c>
      <c r="D147" t="n">
        <v>2014</v>
      </c>
      <c r="E147" s="17">
        <f>SUMIFS(Source_Evolution!$E$3:$E$731,Source_Evolution!$A$3:$A$731,$A147)</f>
        <v/>
      </c>
      <c r="F147" s="17">
        <f>SUMIFS(Source_Evolution!$F$3:$F$731,Source_Evolution!$A$3:$A$731,$A147)</f>
        <v/>
      </c>
      <c r="G147" s="17">
        <f>SUMIFS(Source_Evolution!$G$3:$G$731,Source_Evolution!$A$3:$A$731,$A147)</f>
        <v/>
      </c>
      <c r="H147" s="17">
        <f>SUMIFS(Source_Evolution!$H$3:$H$731,Source_Evolution!$A$3:$A$731,$A147)</f>
        <v/>
      </c>
      <c r="I147" s="17">
        <f>SUMIFS(Source_Evolution!$I$3:$I$731,Source_Evolution!$A$3:$A$731,$A147)</f>
        <v/>
      </c>
      <c r="J147" s="17">
        <f>SUMIFS(Source_Evolution!$J$3:$J$731,Source_Evolution!$A$3:$A$731,$A147)</f>
        <v/>
      </c>
      <c r="K147" s="17">
        <f>SUMIFS(Source_Evolution!$K$3:$K$731,Source_Evolution!$A$3:$A$731,$A147)</f>
        <v/>
      </c>
      <c r="L147" s="17">
        <f>SUMIFS(Source_Evolution!$L$3:$L$731,Source_Evolution!$A$3:$A$731,$A147)</f>
        <v/>
      </c>
      <c r="M147" s="17">
        <f>SUMIFS(Source_Evolution!$M$3:$M$731,Source_Evolution!$A$3:$A$731,$A147)</f>
        <v/>
      </c>
      <c r="N147" s="17">
        <f>SUMIFS(Source_Evolution!$N$3:$N$731,Source_Evolution!$A$3:$A$731,$A147)</f>
        <v/>
      </c>
      <c r="O147" s="17">
        <f>SUMIFS(Source_Evolution!$O$3:$O$731,Source_Evolution!$A$3:$A$731,$A147)</f>
        <v/>
      </c>
      <c r="P147" s="17">
        <f>SUMIFS(Source_Evolution!$P$3:$P$731,Source_Evolution!$A$3:$A$731,$A147)</f>
        <v/>
      </c>
      <c r="Q147" s="17">
        <f>SUMIFS(Source_Evolution!$Q$3:$Q$731,Source_Evolution!$A$3:$A$731,$A147)</f>
        <v/>
      </c>
      <c r="R147" s="17">
        <f>SUM(E147:Q147)</f>
        <v/>
      </c>
      <c r="S147" s="17">
        <f>Q147</f>
        <v/>
      </c>
      <c r="T147">
        <f>IF(B147="Software",1,0)</f>
        <v/>
      </c>
      <c r="U147" s="18">
        <f>SUMPRODUCT((Source_Evolution!$A$3:$A$731=$A147)*(Source_Evolution!$E$3:$E$731&gt;0))</f>
        <v/>
      </c>
      <c r="V147" s="18">
        <f>SUMPRODUCT((Source_Evolution!$A$3:$A$731=$A147)*(Source_Evolution!$F$3:$F$731&gt;0))</f>
        <v/>
      </c>
      <c r="W147" s="18">
        <f>SUMPRODUCT((Source_Evolution!$A$3:$A$731=$A147)*(Source_Evolution!$G$3:$G$731&gt;0))</f>
        <v/>
      </c>
      <c r="X147" s="18">
        <f>SUMPRODUCT((Source_Evolution!$A$3:$A$731=$A147)*(Source_Evolution!$H$3:$H$731&gt;0))</f>
        <v/>
      </c>
      <c r="Y147" s="18">
        <f>SUMPRODUCT((Source_Evolution!$A$3:$A$731=$A147)*(Source_Evolution!$I$3:$I$731&gt;0))</f>
        <v/>
      </c>
      <c r="Z147" s="18">
        <f>SUMPRODUCT((Source_Evolution!$A$3:$A$731=$A147)*(Source_Evolution!$J$3:$J$731&gt;0))</f>
        <v/>
      </c>
      <c r="AA147" s="18">
        <f>SUMPRODUCT((Source_Evolution!$A$3:$A$731=$A147)*(Source_Evolution!$K$3:$K$731&gt;0))</f>
        <v/>
      </c>
      <c r="AB147" s="18">
        <f>SUMPRODUCT((Source_Evolution!$A$3:$A$731=$A147)*(Source_Evolution!$L$3:$L$731&gt;0))</f>
        <v/>
      </c>
      <c r="AC147" s="18">
        <f>SUMPRODUCT((Source_Evolution!$A$3:$A$731=$A147)*(Source_Evolution!$M$3:$M$731&gt;0))</f>
        <v/>
      </c>
      <c r="AD147" s="18">
        <f>SUMPRODUCT((Source_Evolution!$A$3:$A$731=$A147)*(Source_Evolution!$N$3:$N$731&gt;0))</f>
        <v/>
      </c>
      <c r="AE147" s="18">
        <f>SUMPRODUCT((Source_Evolution!$A$3:$A$731=$A147)*(Source_Evolution!$O$3:$O$731&gt;0))</f>
        <v/>
      </c>
      <c r="AF147" s="18">
        <f>SUMPRODUCT((Source_Evolution!$A$3:$A$731=$A147)*(Source_Evolution!$P$3:$P$731&gt;0))</f>
        <v/>
      </c>
      <c r="AG147" s="18">
        <f>SUMPRODUCT((Source_Evolution!$A$3:$A$731=$A147)*(Source_Evolution!$Q$3:$Q$731&gt;0))</f>
        <v/>
      </c>
    </row>
    <row r="148">
      <c r="A148" t="inlineStr">
        <is>
          <t>Company 23</t>
        </is>
      </c>
      <c r="B148" t="inlineStr">
        <is>
          <t>Operations</t>
        </is>
      </c>
      <c r="C148" t="inlineStr">
        <is>
          <t>Italy</t>
        </is>
      </c>
      <c r="D148" t="n">
        <v>2014</v>
      </c>
      <c r="E148" s="17">
        <f>SUMIFS(Source_Evolution!$E$3:$E$731,Source_Evolution!$A$3:$A$731,$A148)</f>
        <v/>
      </c>
      <c r="F148" s="17">
        <f>SUMIFS(Source_Evolution!$F$3:$F$731,Source_Evolution!$A$3:$A$731,$A148)</f>
        <v/>
      </c>
      <c r="G148" s="17">
        <f>SUMIFS(Source_Evolution!$G$3:$G$731,Source_Evolution!$A$3:$A$731,$A148)</f>
        <v/>
      </c>
      <c r="H148" s="17">
        <f>SUMIFS(Source_Evolution!$H$3:$H$731,Source_Evolution!$A$3:$A$731,$A148)</f>
        <v/>
      </c>
      <c r="I148" s="17">
        <f>SUMIFS(Source_Evolution!$I$3:$I$731,Source_Evolution!$A$3:$A$731,$A148)</f>
        <v/>
      </c>
      <c r="J148" s="17">
        <f>SUMIFS(Source_Evolution!$J$3:$J$731,Source_Evolution!$A$3:$A$731,$A148)</f>
        <v/>
      </c>
      <c r="K148" s="17">
        <f>SUMIFS(Source_Evolution!$K$3:$K$731,Source_Evolution!$A$3:$A$731,$A148)</f>
        <v/>
      </c>
      <c r="L148" s="17">
        <f>SUMIFS(Source_Evolution!$L$3:$L$731,Source_Evolution!$A$3:$A$731,$A148)</f>
        <v/>
      </c>
      <c r="M148" s="17">
        <f>SUMIFS(Source_Evolution!$M$3:$M$731,Source_Evolution!$A$3:$A$731,$A148)</f>
        <v/>
      </c>
      <c r="N148" s="17">
        <f>SUMIFS(Source_Evolution!$N$3:$N$731,Source_Evolution!$A$3:$A$731,$A148)</f>
        <v/>
      </c>
      <c r="O148" s="17">
        <f>SUMIFS(Source_Evolution!$O$3:$O$731,Source_Evolution!$A$3:$A$731,$A148)</f>
        <v/>
      </c>
      <c r="P148" s="17">
        <f>SUMIFS(Source_Evolution!$P$3:$P$731,Source_Evolution!$A$3:$A$731,$A148)</f>
        <v/>
      </c>
      <c r="Q148" s="17">
        <f>SUMIFS(Source_Evolution!$Q$3:$Q$731,Source_Evolution!$A$3:$A$731,$A148)</f>
        <v/>
      </c>
      <c r="R148" s="17">
        <f>SUM(E148:Q148)</f>
        <v/>
      </c>
      <c r="S148" s="17">
        <f>Q148</f>
        <v/>
      </c>
      <c r="T148">
        <f>IF(B148="Software",1,0)</f>
        <v/>
      </c>
      <c r="U148" s="18">
        <f>SUMPRODUCT((Source_Evolution!$A$3:$A$731=$A148)*(Source_Evolution!$E$3:$E$731&gt;0))</f>
        <v/>
      </c>
      <c r="V148" s="18">
        <f>SUMPRODUCT((Source_Evolution!$A$3:$A$731=$A148)*(Source_Evolution!$F$3:$F$731&gt;0))</f>
        <v/>
      </c>
      <c r="W148" s="18">
        <f>SUMPRODUCT((Source_Evolution!$A$3:$A$731=$A148)*(Source_Evolution!$G$3:$G$731&gt;0))</f>
        <v/>
      </c>
      <c r="X148" s="18">
        <f>SUMPRODUCT((Source_Evolution!$A$3:$A$731=$A148)*(Source_Evolution!$H$3:$H$731&gt;0))</f>
        <v/>
      </c>
      <c r="Y148" s="18">
        <f>SUMPRODUCT((Source_Evolution!$A$3:$A$731=$A148)*(Source_Evolution!$I$3:$I$731&gt;0))</f>
        <v/>
      </c>
      <c r="Z148" s="18">
        <f>SUMPRODUCT((Source_Evolution!$A$3:$A$731=$A148)*(Source_Evolution!$J$3:$J$731&gt;0))</f>
        <v/>
      </c>
      <c r="AA148" s="18">
        <f>SUMPRODUCT((Source_Evolution!$A$3:$A$731=$A148)*(Source_Evolution!$K$3:$K$731&gt;0))</f>
        <v/>
      </c>
      <c r="AB148" s="18">
        <f>SUMPRODUCT((Source_Evolution!$A$3:$A$731=$A148)*(Source_Evolution!$L$3:$L$731&gt;0))</f>
        <v/>
      </c>
      <c r="AC148" s="18">
        <f>SUMPRODUCT((Source_Evolution!$A$3:$A$731=$A148)*(Source_Evolution!$M$3:$M$731&gt;0))</f>
        <v/>
      </c>
      <c r="AD148" s="18">
        <f>SUMPRODUCT((Source_Evolution!$A$3:$A$731=$A148)*(Source_Evolution!$N$3:$N$731&gt;0))</f>
        <v/>
      </c>
      <c r="AE148" s="18">
        <f>SUMPRODUCT((Source_Evolution!$A$3:$A$731=$A148)*(Source_Evolution!$O$3:$O$731&gt;0))</f>
        <v/>
      </c>
      <c r="AF148" s="18">
        <f>SUMPRODUCT((Source_Evolution!$A$3:$A$731=$A148)*(Source_Evolution!$P$3:$P$731&gt;0))</f>
        <v/>
      </c>
      <c r="AG148" s="18">
        <f>SUMPRODUCT((Source_Evolution!$A$3:$A$731=$A148)*(Source_Evolution!$Q$3:$Q$731&gt;0))</f>
        <v/>
      </c>
    </row>
    <row r="149">
      <c r="A149" t="inlineStr">
        <is>
          <t>Company 230</t>
        </is>
      </c>
      <c r="B149" t="inlineStr">
        <is>
          <t>Operations</t>
        </is>
      </c>
      <c r="C149" t="inlineStr">
        <is>
          <t>UK</t>
        </is>
      </c>
      <c r="D149" t="n">
        <v>2023</v>
      </c>
      <c r="E149" s="17">
        <f>SUMIFS(Source_Evolution!$E$3:$E$731,Source_Evolution!$A$3:$A$731,$A149)</f>
        <v/>
      </c>
      <c r="F149" s="17">
        <f>SUMIFS(Source_Evolution!$F$3:$F$731,Source_Evolution!$A$3:$A$731,$A149)</f>
        <v/>
      </c>
      <c r="G149" s="17">
        <f>SUMIFS(Source_Evolution!$G$3:$G$731,Source_Evolution!$A$3:$A$731,$A149)</f>
        <v/>
      </c>
      <c r="H149" s="17">
        <f>SUMIFS(Source_Evolution!$H$3:$H$731,Source_Evolution!$A$3:$A$731,$A149)</f>
        <v/>
      </c>
      <c r="I149" s="17">
        <f>SUMIFS(Source_Evolution!$I$3:$I$731,Source_Evolution!$A$3:$A$731,$A149)</f>
        <v/>
      </c>
      <c r="J149" s="17">
        <f>SUMIFS(Source_Evolution!$J$3:$J$731,Source_Evolution!$A$3:$A$731,$A149)</f>
        <v/>
      </c>
      <c r="K149" s="17">
        <f>SUMIFS(Source_Evolution!$K$3:$K$731,Source_Evolution!$A$3:$A$731,$A149)</f>
        <v/>
      </c>
      <c r="L149" s="17">
        <f>SUMIFS(Source_Evolution!$L$3:$L$731,Source_Evolution!$A$3:$A$731,$A149)</f>
        <v/>
      </c>
      <c r="M149" s="17">
        <f>SUMIFS(Source_Evolution!$M$3:$M$731,Source_Evolution!$A$3:$A$731,$A149)</f>
        <v/>
      </c>
      <c r="N149" s="17">
        <f>SUMIFS(Source_Evolution!$N$3:$N$731,Source_Evolution!$A$3:$A$731,$A149)</f>
        <v/>
      </c>
      <c r="O149" s="17">
        <f>SUMIFS(Source_Evolution!$O$3:$O$731,Source_Evolution!$A$3:$A$731,$A149)</f>
        <v/>
      </c>
      <c r="P149" s="17">
        <f>SUMIFS(Source_Evolution!$P$3:$P$731,Source_Evolution!$A$3:$A$731,$A149)</f>
        <v/>
      </c>
      <c r="Q149" s="17">
        <f>SUMIFS(Source_Evolution!$Q$3:$Q$731,Source_Evolution!$A$3:$A$731,$A149)</f>
        <v/>
      </c>
      <c r="R149" s="17">
        <f>SUM(E149:Q149)</f>
        <v/>
      </c>
      <c r="S149" s="17">
        <f>Q149</f>
        <v/>
      </c>
      <c r="T149">
        <f>IF(B149="Software",1,0)</f>
        <v/>
      </c>
      <c r="U149" s="18">
        <f>SUMPRODUCT((Source_Evolution!$A$3:$A$731=$A149)*(Source_Evolution!$E$3:$E$731&gt;0))</f>
        <v/>
      </c>
      <c r="V149" s="18">
        <f>SUMPRODUCT((Source_Evolution!$A$3:$A$731=$A149)*(Source_Evolution!$F$3:$F$731&gt;0))</f>
        <v/>
      </c>
      <c r="W149" s="18">
        <f>SUMPRODUCT((Source_Evolution!$A$3:$A$731=$A149)*(Source_Evolution!$G$3:$G$731&gt;0))</f>
        <v/>
      </c>
      <c r="X149" s="18">
        <f>SUMPRODUCT((Source_Evolution!$A$3:$A$731=$A149)*(Source_Evolution!$H$3:$H$731&gt;0))</f>
        <v/>
      </c>
      <c r="Y149" s="18">
        <f>SUMPRODUCT((Source_Evolution!$A$3:$A$731=$A149)*(Source_Evolution!$I$3:$I$731&gt;0))</f>
        <v/>
      </c>
      <c r="Z149" s="18">
        <f>SUMPRODUCT((Source_Evolution!$A$3:$A$731=$A149)*(Source_Evolution!$J$3:$J$731&gt;0))</f>
        <v/>
      </c>
      <c r="AA149" s="18">
        <f>SUMPRODUCT((Source_Evolution!$A$3:$A$731=$A149)*(Source_Evolution!$K$3:$K$731&gt;0))</f>
        <v/>
      </c>
      <c r="AB149" s="18">
        <f>SUMPRODUCT((Source_Evolution!$A$3:$A$731=$A149)*(Source_Evolution!$L$3:$L$731&gt;0))</f>
        <v/>
      </c>
      <c r="AC149" s="18">
        <f>SUMPRODUCT((Source_Evolution!$A$3:$A$731=$A149)*(Source_Evolution!$M$3:$M$731&gt;0))</f>
        <v/>
      </c>
      <c r="AD149" s="18">
        <f>SUMPRODUCT((Source_Evolution!$A$3:$A$731=$A149)*(Source_Evolution!$N$3:$N$731&gt;0))</f>
        <v/>
      </c>
      <c r="AE149" s="18">
        <f>SUMPRODUCT((Source_Evolution!$A$3:$A$731=$A149)*(Source_Evolution!$O$3:$O$731&gt;0))</f>
        <v/>
      </c>
      <c r="AF149" s="18">
        <f>SUMPRODUCT((Source_Evolution!$A$3:$A$731=$A149)*(Source_Evolution!$P$3:$P$731&gt;0))</f>
        <v/>
      </c>
      <c r="AG149" s="18">
        <f>SUMPRODUCT((Source_Evolution!$A$3:$A$731=$A149)*(Source_Evolution!$Q$3:$Q$731&gt;0))</f>
        <v/>
      </c>
    </row>
    <row r="150">
      <c r="A150" t="inlineStr">
        <is>
          <t>Company 231</t>
        </is>
      </c>
      <c r="B150" t="inlineStr">
        <is>
          <t>Software</t>
        </is>
      </c>
      <c r="C150" t="inlineStr">
        <is>
          <t>Italy</t>
        </is>
      </c>
      <c r="D150" t="n">
        <v>2014</v>
      </c>
      <c r="E150" s="17">
        <f>SUMIFS(Source_Evolution!$E$3:$E$731,Source_Evolution!$A$3:$A$731,$A150)</f>
        <v/>
      </c>
      <c r="F150" s="17">
        <f>SUMIFS(Source_Evolution!$F$3:$F$731,Source_Evolution!$A$3:$A$731,$A150)</f>
        <v/>
      </c>
      <c r="G150" s="17">
        <f>SUMIFS(Source_Evolution!$G$3:$G$731,Source_Evolution!$A$3:$A$731,$A150)</f>
        <v/>
      </c>
      <c r="H150" s="17">
        <f>SUMIFS(Source_Evolution!$H$3:$H$731,Source_Evolution!$A$3:$A$731,$A150)</f>
        <v/>
      </c>
      <c r="I150" s="17">
        <f>SUMIFS(Source_Evolution!$I$3:$I$731,Source_Evolution!$A$3:$A$731,$A150)</f>
        <v/>
      </c>
      <c r="J150" s="17">
        <f>SUMIFS(Source_Evolution!$J$3:$J$731,Source_Evolution!$A$3:$A$731,$A150)</f>
        <v/>
      </c>
      <c r="K150" s="17">
        <f>SUMIFS(Source_Evolution!$K$3:$K$731,Source_Evolution!$A$3:$A$731,$A150)</f>
        <v/>
      </c>
      <c r="L150" s="17">
        <f>SUMIFS(Source_Evolution!$L$3:$L$731,Source_Evolution!$A$3:$A$731,$A150)</f>
        <v/>
      </c>
      <c r="M150" s="17">
        <f>SUMIFS(Source_Evolution!$M$3:$M$731,Source_Evolution!$A$3:$A$731,$A150)</f>
        <v/>
      </c>
      <c r="N150" s="17">
        <f>SUMIFS(Source_Evolution!$N$3:$N$731,Source_Evolution!$A$3:$A$731,$A150)</f>
        <v/>
      </c>
      <c r="O150" s="17">
        <f>SUMIFS(Source_Evolution!$O$3:$O$731,Source_Evolution!$A$3:$A$731,$A150)</f>
        <v/>
      </c>
      <c r="P150" s="17">
        <f>SUMIFS(Source_Evolution!$P$3:$P$731,Source_Evolution!$A$3:$A$731,$A150)</f>
        <v/>
      </c>
      <c r="Q150" s="17">
        <f>SUMIFS(Source_Evolution!$Q$3:$Q$731,Source_Evolution!$A$3:$A$731,$A150)</f>
        <v/>
      </c>
      <c r="R150" s="17">
        <f>SUM(E150:Q150)</f>
        <v/>
      </c>
      <c r="S150" s="17">
        <f>Q150</f>
        <v/>
      </c>
      <c r="T150">
        <f>IF(B150="Software",1,0)</f>
        <v/>
      </c>
      <c r="U150" s="18">
        <f>SUMPRODUCT((Source_Evolution!$A$3:$A$731=$A150)*(Source_Evolution!$E$3:$E$731&gt;0))</f>
        <v/>
      </c>
      <c r="V150" s="18">
        <f>SUMPRODUCT((Source_Evolution!$A$3:$A$731=$A150)*(Source_Evolution!$F$3:$F$731&gt;0))</f>
        <v/>
      </c>
      <c r="W150" s="18">
        <f>SUMPRODUCT((Source_Evolution!$A$3:$A$731=$A150)*(Source_Evolution!$G$3:$G$731&gt;0))</f>
        <v/>
      </c>
      <c r="X150" s="18">
        <f>SUMPRODUCT((Source_Evolution!$A$3:$A$731=$A150)*(Source_Evolution!$H$3:$H$731&gt;0))</f>
        <v/>
      </c>
      <c r="Y150" s="18">
        <f>SUMPRODUCT((Source_Evolution!$A$3:$A$731=$A150)*(Source_Evolution!$I$3:$I$731&gt;0))</f>
        <v/>
      </c>
      <c r="Z150" s="18">
        <f>SUMPRODUCT((Source_Evolution!$A$3:$A$731=$A150)*(Source_Evolution!$J$3:$J$731&gt;0))</f>
        <v/>
      </c>
      <c r="AA150" s="18">
        <f>SUMPRODUCT((Source_Evolution!$A$3:$A$731=$A150)*(Source_Evolution!$K$3:$K$731&gt;0))</f>
        <v/>
      </c>
      <c r="AB150" s="18">
        <f>SUMPRODUCT((Source_Evolution!$A$3:$A$731=$A150)*(Source_Evolution!$L$3:$L$731&gt;0))</f>
        <v/>
      </c>
      <c r="AC150" s="18">
        <f>SUMPRODUCT((Source_Evolution!$A$3:$A$731=$A150)*(Source_Evolution!$M$3:$M$731&gt;0))</f>
        <v/>
      </c>
      <c r="AD150" s="18">
        <f>SUMPRODUCT((Source_Evolution!$A$3:$A$731=$A150)*(Source_Evolution!$N$3:$N$731&gt;0))</f>
        <v/>
      </c>
      <c r="AE150" s="18">
        <f>SUMPRODUCT((Source_Evolution!$A$3:$A$731=$A150)*(Source_Evolution!$O$3:$O$731&gt;0))</f>
        <v/>
      </c>
      <c r="AF150" s="18">
        <f>SUMPRODUCT((Source_Evolution!$A$3:$A$731=$A150)*(Source_Evolution!$P$3:$P$731&gt;0))</f>
        <v/>
      </c>
      <c r="AG150" s="18">
        <f>SUMPRODUCT((Source_Evolution!$A$3:$A$731=$A150)*(Source_Evolution!$Q$3:$Q$731&gt;0))</f>
        <v/>
      </c>
    </row>
    <row r="151">
      <c r="A151" t="inlineStr">
        <is>
          <t>Company 232</t>
        </is>
      </c>
      <c r="B151" t="inlineStr">
        <is>
          <t>Operations</t>
        </is>
      </c>
      <c r="C151" t="inlineStr">
        <is>
          <t>Germany</t>
        </is>
      </c>
      <c r="D151" t="n">
        <v>2014</v>
      </c>
      <c r="E151" s="17">
        <f>SUMIFS(Source_Evolution!$E$3:$E$731,Source_Evolution!$A$3:$A$731,$A151)</f>
        <v/>
      </c>
      <c r="F151" s="17">
        <f>SUMIFS(Source_Evolution!$F$3:$F$731,Source_Evolution!$A$3:$A$731,$A151)</f>
        <v/>
      </c>
      <c r="G151" s="17">
        <f>SUMIFS(Source_Evolution!$G$3:$G$731,Source_Evolution!$A$3:$A$731,$A151)</f>
        <v/>
      </c>
      <c r="H151" s="17">
        <f>SUMIFS(Source_Evolution!$H$3:$H$731,Source_Evolution!$A$3:$A$731,$A151)</f>
        <v/>
      </c>
      <c r="I151" s="17">
        <f>SUMIFS(Source_Evolution!$I$3:$I$731,Source_Evolution!$A$3:$A$731,$A151)</f>
        <v/>
      </c>
      <c r="J151" s="17">
        <f>SUMIFS(Source_Evolution!$J$3:$J$731,Source_Evolution!$A$3:$A$731,$A151)</f>
        <v/>
      </c>
      <c r="K151" s="17">
        <f>SUMIFS(Source_Evolution!$K$3:$K$731,Source_Evolution!$A$3:$A$731,$A151)</f>
        <v/>
      </c>
      <c r="L151" s="17">
        <f>SUMIFS(Source_Evolution!$L$3:$L$731,Source_Evolution!$A$3:$A$731,$A151)</f>
        <v/>
      </c>
      <c r="M151" s="17">
        <f>SUMIFS(Source_Evolution!$M$3:$M$731,Source_Evolution!$A$3:$A$731,$A151)</f>
        <v/>
      </c>
      <c r="N151" s="17">
        <f>SUMIFS(Source_Evolution!$N$3:$N$731,Source_Evolution!$A$3:$A$731,$A151)</f>
        <v/>
      </c>
      <c r="O151" s="17">
        <f>SUMIFS(Source_Evolution!$O$3:$O$731,Source_Evolution!$A$3:$A$731,$A151)</f>
        <v/>
      </c>
      <c r="P151" s="17">
        <f>SUMIFS(Source_Evolution!$P$3:$P$731,Source_Evolution!$A$3:$A$731,$A151)</f>
        <v/>
      </c>
      <c r="Q151" s="17">
        <f>SUMIFS(Source_Evolution!$Q$3:$Q$731,Source_Evolution!$A$3:$A$731,$A151)</f>
        <v/>
      </c>
      <c r="R151" s="17">
        <f>SUM(E151:Q151)</f>
        <v/>
      </c>
      <c r="S151" s="17">
        <f>Q151</f>
        <v/>
      </c>
      <c r="T151">
        <f>IF(B151="Software",1,0)</f>
        <v/>
      </c>
      <c r="U151" s="18">
        <f>SUMPRODUCT((Source_Evolution!$A$3:$A$731=$A151)*(Source_Evolution!$E$3:$E$731&gt;0))</f>
        <v/>
      </c>
      <c r="V151" s="18">
        <f>SUMPRODUCT((Source_Evolution!$A$3:$A$731=$A151)*(Source_Evolution!$F$3:$F$731&gt;0))</f>
        <v/>
      </c>
      <c r="W151" s="18">
        <f>SUMPRODUCT((Source_Evolution!$A$3:$A$731=$A151)*(Source_Evolution!$G$3:$G$731&gt;0))</f>
        <v/>
      </c>
      <c r="X151" s="18">
        <f>SUMPRODUCT((Source_Evolution!$A$3:$A$731=$A151)*(Source_Evolution!$H$3:$H$731&gt;0))</f>
        <v/>
      </c>
      <c r="Y151" s="18">
        <f>SUMPRODUCT((Source_Evolution!$A$3:$A$731=$A151)*(Source_Evolution!$I$3:$I$731&gt;0))</f>
        <v/>
      </c>
      <c r="Z151" s="18">
        <f>SUMPRODUCT((Source_Evolution!$A$3:$A$731=$A151)*(Source_Evolution!$J$3:$J$731&gt;0))</f>
        <v/>
      </c>
      <c r="AA151" s="18">
        <f>SUMPRODUCT((Source_Evolution!$A$3:$A$731=$A151)*(Source_Evolution!$K$3:$K$731&gt;0))</f>
        <v/>
      </c>
      <c r="AB151" s="18">
        <f>SUMPRODUCT((Source_Evolution!$A$3:$A$731=$A151)*(Source_Evolution!$L$3:$L$731&gt;0))</f>
        <v/>
      </c>
      <c r="AC151" s="18">
        <f>SUMPRODUCT((Source_Evolution!$A$3:$A$731=$A151)*(Source_Evolution!$M$3:$M$731&gt;0))</f>
        <v/>
      </c>
      <c r="AD151" s="18">
        <f>SUMPRODUCT((Source_Evolution!$A$3:$A$731=$A151)*(Source_Evolution!$N$3:$N$731&gt;0))</f>
        <v/>
      </c>
      <c r="AE151" s="18">
        <f>SUMPRODUCT((Source_Evolution!$A$3:$A$731=$A151)*(Source_Evolution!$O$3:$O$731&gt;0))</f>
        <v/>
      </c>
      <c r="AF151" s="18">
        <f>SUMPRODUCT((Source_Evolution!$A$3:$A$731=$A151)*(Source_Evolution!$P$3:$P$731&gt;0))</f>
        <v/>
      </c>
      <c r="AG151" s="18">
        <f>SUMPRODUCT((Source_Evolution!$A$3:$A$731=$A151)*(Source_Evolution!$Q$3:$Q$731&gt;0))</f>
        <v/>
      </c>
    </row>
    <row r="152">
      <c r="A152" t="inlineStr">
        <is>
          <t>Company 233</t>
        </is>
      </c>
      <c r="B152" t="inlineStr">
        <is>
          <t>Software</t>
        </is>
      </c>
      <c r="C152" t="inlineStr">
        <is>
          <t>Germany</t>
        </is>
      </c>
      <c r="D152" t="n">
        <v>2014</v>
      </c>
      <c r="E152" s="17">
        <f>SUMIFS(Source_Evolution!$E$3:$E$731,Source_Evolution!$A$3:$A$731,$A152)</f>
        <v/>
      </c>
      <c r="F152" s="17">
        <f>SUMIFS(Source_Evolution!$F$3:$F$731,Source_Evolution!$A$3:$A$731,$A152)</f>
        <v/>
      </c>
      <c r="G152" s="17">
        <f>SUMIFS(Source_Evolution!$G$3:$G$731,Source_Evolution!$A$3:$A$731,$A152)</f>
        <v/>
      </c>
      <c r="H152" s="17">
        <f>SUMIFS(Source_Evolution!$H$3:$H$731,Source_Evolution!$A$3:$A$731,$A152)</f>
        <v/>
      </c>
      <c r="I152" s="17">
        <f>SUMIFS(Source_Evolution!$I$3:$I$731,Source_Evolution!$A$3:$A$731,$A152)</f>
        <v/>
      </c>
      <c r="J152" s="17">
        <f>SUMIFS(Source_Evolution!$J$3:$J$731,Source_Evolution!$A$3:$A$731,$A152)</f>
        <v/>
      </c>
      <c r="K152" s="17">
        <f>SUMIFS(Source_Evolution!$K$3:$K$731,Source_Evolution!$A$3:$A$731,$A152)</f>
        <v/>
      </c>
      <c r="L152" s="17">
        <f>SUMIFS(Source_Evolution!$L$3:$L$731,Source_Evolution!$A$3:$A$731,$A152)</f>
        <v/>
      </c>
      <c r="M152" s="17">
        <f>SUMIFS(Source_Evolution!$M$3:$M$731,Source_Evolution!$A$3:$A$731,$A152)</f>
        <v/>
      </c>
      <c r="N152" s="17">
        <f>SUMIFS(Source_Evolution!$N$3:$N$731,Source_Evolution!$A$3:$A$731,$A152)</f>
        <v/>
      </c>
      <c r="O152" s="17">
        <f>SUMIFS(Source_Evolution!$O$3:$O$731,Source_Evolution!$A$3:$A$731,$A152)</f>
        <v/>
      </c>
      <c r="P152" s="17">
        <f>SUMIFS(Source_Evolution!$P$3:$P$731,Source_Evolution!$A$3:$A$731,$A152)</f>
        <v/>
      </c>
      <c r="Q152" s="17">
        <f>SUMIFS(Source_Evolution!$Q$3:$Q$731,Source_Evolution!$A$3:$A$731,$A152)</f>
        <v/>
      </c>
      <c r="R152" s="17">
        <f>SUM(E152:Q152)</f>
        <v/>
      </c>
      <c r="S152" s="17">
        <f>Q152</f>
        <v/>
      </c>
      <c r="T152">
        <f>IF(B152="Software",1,0)</f>
        <v/>
      </c>
      <c r="U152" s="18">
        <f>SUMPRODUCT((Source_Evolution!$A$3:$A$731=$A152)*(Source_Evolution!$E$3:$E$731&gt;0))</f>
        <v/>
      </c>
      <c r="V152" s="18">
        <f>SUMPRODUCT((Source_Evolution!$A$3:$A$731=$A152)*(Source_Evolution!$F$3:$F$731&gt;0))</f>
        <v/>
      </c>
      <c r="W152" s="18">
        <f>SUMPRODUCT((Source_Evolution!$A$3:$A$731=$A152)*(Source_Evolution!$G$3:$G$731&gt;0))</f>
        <v/>
      </c>
      <c r="X152" s="18">
        <f>SUMPRODUCT((Source_Evolution!$A$3:$A$731=$A152)*(Source_Evolution!$H$3:$H$731&gt;0))</f>
        <v/>
      </c>
      <c r="Y152" s="18">
        <f>SUMPRODUCT((Source_Evolution!$A$3:$A$731=$A152)*(Source_Evolution!$I$3:$I$731&gt;0))</f>
        <v/>
      </c>
      <c r="Z152" s="18">
        <f>SUMPRODUCT((Source_Evolution!$A$3:$A$731=$A152)*(Source_Evolution!$J$3:$J$731&gt;0))</f>
        <v/>
      </c>
      <c r="AA152" s="18">
        <f>SUMPRODUCT((Source_Evolution!$A$3:$A$731=$A152)*(Source_Evolution!$K$3:$K$731&gt;0))</f>
        <v/>
      </c>
      <c r="AB152" s="18">
        <f>SUMPRODUCT((Source_Evolution!$A$3:$A$731=$A152)*(Source_Evolution!$L$3:$L$731&gt;0))</f>
        <v/>
      </c>
      <c r="AC152" s="18">
        <f>SUMPRODUCT((Source_Evolution!$A$3:$A$731=$A152)*(Source_Evolution!$M$3:$M$731&gt;0))</f>
        <v/>
      </c>
      <c r="AD152" s="18">
        <f>SUMPRODUCT((Source_Evolution!$A$3:$A$731=$A152)*(Source_Evolution!$N$3:$N$731&gt;0))</f>
        <v/>
      </c>
      <c r="AE152" s="18">
        <f>SUMPRODUCT((Source_Evolution!$A$3:$A$731=$A152)*(Source_Evolution!$O$3:$O$731&gt;0))</f>
        <v/>
      </c>
      <c r="AF152" s="18">
        <f>SUMPRODUCT((Source_Evolution!$A$3:$A$731=$A152)*(Source_Evolution!$P$3:$P$731&gt;0))</f>
        <v/>
      </c>
      <c r="AG152" s="18">
        <f>SUMPRODUCT((Source_Evolution!$A$3:$A$731=$A152)*(Source_Evolution!$Q$3:$Q$731&gt;0))</f>
        <v/>
      </c>
    </row>
    <row r="153">
      <c r="A153" t="inlineStr">
        <is>
          <t>Company 234</t>
        </is>
      </c>
      <c r="B153" t="inlineStr">
        <is>
          <t>Software</t>
        </is>
      </c>
      <c r="C153" t="inlineStr">
        <is>
          <t>France</t>
        </is>
      </c>
      <c r="D153" t="n">
        <v>2014</v>
      </c>
      <c r="E153" s="17">
        <f>SUMIFS(Source_Evolution!$E$3:$E$731,Source_Evolution!$A$3:$A$731,$A153)</f>
        <v/>
      </c>
      <c r="F153" s="17">
        <f>SUMIFS(Source_Evolution!$F$3:$F$731,Source_Evolution!$A$3:$A$731,$A153)</f>
        <v/>
      </c>
      <c r="G153" s="17">
        <f>SUMIFS(Source_Evolution!$G$3:$G$731,Source_Evolution!$A$3:$A$731,$A153)</f>
        <v/>
      </c>
      <c r="H153" s="17">
        <f>SUMIFS(Source_Evolution!$H$3:$H$731,Source_Evolution!$A$3:$A$731,$A153)</f>
        <v/>
      </c>
      <c r="I153" s="17">
        <f>SUMIFS(Source_Evolution!$I$3:$I$731,Source_Evolution!$A$3:$A$731,$A153)</f>
        <v/>
      </c>
      <c r="J153" s="17">
        <f>SUMIFS(Source_Evolution!$J$3:$J$731,Source_Evolution!$A$3:$A$731,$A153)</f>
        <v/>
      </c>
      <c r="K153" s="17">
        <f>SUMIFS(Source_Evolution!$K$3:$K$731,Source_Evolution!$A$3:$A$731,$A153)</f>
        <v/>
      </c>
      <c r="L153" s="17">
        <f>SUMIFS(Source_Evolution!$L$3:$L$731,Source_Evolution!$A$3:$A$731,$A153)</f>
        <v/>
      </c>
      <c r="M153" s="17">
        <f>SUMIFS(Source_Evolution!$M$3:$M$731,Source_Evolution!$A$3:$A$731,$A153)</f>
        <v/>
      </c>
      <c r="N153" s="17">
        <f>SUMIFS(Source_Evolution!$N$3:$N$731,Source_Evolution!$A$3:$A$731,$A153)</f>
        <v/>
      </c>
      <c r="O153" s="17">
        <f>SUMIFS(Source_Evolution!$O$3:$O$731,Source_Evolution!$A$3:$A$731,$A153)</f>
        <v/>
      </c>
      <c r="P153" s="17">
        <f>SUMIFS(Source_Evolution!$P$3:$P$731,Source_Evolution!$A$3:$A$731,$A153)</f>
        <v/>
      </c>
      <c r="Q153" s="17">
        <f>SUMIFS(Source_Evolution!$Q$3:$Q$731,Source_Evolution!$A$3:$A$731,$A153)</f>
        <v/>
      </c>
      <c r="R153" s="17">
        <f>SUM(E153:Q153)</f>
        <v/>
      </c>
      <c r="S153" s="17">
        <f>Q153</f>
        <v/>
      </c>
      <c r="T153">
        <f>IF(B153="Software",1,0)</f>
        <v/>
      </c>
      <c r="U153" s="18">
        <f>SUMPRODUCT((Source_Evolution!$A$3:$A$731=$A153)*(Source_Evolution!$E$3:$E$731&gt;0))</f>
        <v/>
      </c>
      <c r="V153" s="18">
        <f>SUMPRODUCT((Source_Evolution!$A$3:$A$731=$A153)*(Source_Evolution!$F$3:$F$731&gt;0))</f>
        <v/>
      </c>
      <c r="W153" s="18">
        <f>SUMPRODUCT((Source_Evolution!$A$3:$A$731=$A153)*(Source_Evolution!$G$3:$G$731&gt;0))</f>
        <v/>
      </c>
      <c r="X153" s="18">
        <f>SUMPRODUCT((Source_Evolution!$A$3:$A$731=$A153)*(Source_Evolution!$H$3:$H$731&gt;0))</f>
        <v/>
      </c>
      <c r="Y153" s="18">
        <f>SUMPRODUCT((Source_Evolution!$A$3:$A$731=$A153)*(Source_Evolution!$I$3:$I$731&gt;0))</f>
        <v/>
      </c>
      <c r="Z153" s="18">
        <f>SUMPRODUCT((Source_Evolution!$A$3:$A$731=$A153)*(Source_Evolution!$J$3:$J$731&gt;0))</f>
        <v/>
      </c>
      <c r="AA153" s="18">
        <f>SUMPRODUCT((Source_Evolution!$A$3:$A$731=$A153)*(Source_Evolution!$K$3:$K$731&gt;0))</f>
        <v/>
      </c>
      <c r="AB153" s="18">
        <f>SUMPRODUCT((Source_Evolution!$A$3:$A$731=$A153)*(Source_Evolution!$L$3:$L$731&gt;0))</f>
        <v/>
      </c>
      <c r="AC153" s="18">
        <f>SUMPRODUCT((Source_Evolution!$A$3:$A$731=$A153)*(Source_Evolution!$M$3:$M$731&gt;0))</f>
        <v/>
      </c>
      <c r="AD153" s="18">
        <f>SUMPRODUCT((Source_Evolution!$A$3:$A$731=$A153)*(Source_Evolution!$N$3:$N$731&gt;0))</f>
        <v/>
      </c>
      <c r="AE153" s="18">
        <f>SUMPRODUCT((Source_Evolution!$A$3:$A$731=$A153)*(Source_Evolution!$O$3:$O$731&gt;0))</f>
        <v/>
      </c>
      <c r="AF153" s="18">
        <f>SUMPRODUCT((Source_Evolution!$A$3:$A$731=$A153)*(Source_Evolution!$P$3:$P$731&gt;0))</f>
        <v/>
      </c>
      <c r="AG153" s="18">
        <f>SUMPRODUCT((Source_Evolution!$A$3:$A$731=$A153)*(Source_Evolution!$Q$3:$Q$731&gt;0))</f>
        <v/>
      </c>
    </row>
    <row r="154">
      <c r="A154" t="inlineStr">
        <is>
          <t>Company 235</t>
        </is>
      </c>
      <c r="B154" t="inlineStr">
        <is>
          <t>Software</t>
        </is>
      </c>
      <c r="C154" t="inlineStr">
        <is>
          <t>France</t>
        </is>
      </c>
      <c r="D154" t="n">
        <v>2014</v>
      </c>
      <c r="E154" s="17">
        <f>SUMIFS(Source_Evolution!$E$3:$E$731,Source_Evolution!$A$3:$A$731,$A154)</f>
        <v/>
      </c>
      <c r="F154" s="17">
        <f>SUMIFS(Source_Evolution!$F$3:$F$731,Source_Evolution!$A$3:$A$731,$A154)</f>
        <v/>
      </c>
      <c r="G154" s="17">
        <f>SUMIFS(Source_Evolution!$G$3:$G$731,Source_Evolution!$A$3:$A$731,$A154)</f>
        <v/>
      </c>
      <c r="H154" s="17">
        <f>SUMIFS(Source_Evolution!$H$3:$H$731,Source_Evolution!$A$3:$A$731,$A154)</f>
        <v/>
      </c>
      <c r="I154" s="17">
        <f>SUMIFS(Source_Evolution!$I$3:$I$731,Source_Evolution!$A$3:$A$731,$A154)</f>
        <v/>
      </c>
      <c r="J154" s="17">
        <f>SUMIFS(Source_Evolution!$J$3:$J$731,Source_Evolution!$A$3:$A$731,$A154)</f>
        <v/>
      </c>
      <c r="K154" s="17">
        <f>SUMIFS(Source_Evolution!$K$3:$K$731,Source_Evolution!$A$3:$A$731,$A154)</f>
        <v/>
      </c>
      <c r="L154" s="17">
        <f>SUMIFS(Source_Evolution!$L$3:$L$731,Source_Evolution!$A$3:$A$731,$A154)</f>
        <v/>
      </c>
      <c r="M154" s="17">
        <f>SUMIFS(Source_Evolution!$M$3:$M$731,Source_Evolution!$A$3:$A$731,$A154)</f>
        <v/>
      </c>
      <c r="N154" s="17">
        <f>SUMIFS(Source_Evolution!$N$3:$N$731,Source_Evolution!$A$3:$A$731,$A154)</f>
        <v/>
      </c>
      <c r="O154" s="17">
        <f>SUMIFS(Source_Evolution!$O$3:$O$731,Source_Evolution!$A$3:$A$731,$A154)</f>
        <v/>
      </c>
      <c r="P154" s="17">
        <f>SUMIFS(Source_Evolution!$P$3:$P$731,Source_Evolution!$A$3:$A$731,$A154)</f>
        <v/>
      </c>
      <c r="Q154" s="17">
        <f>SUMIFS(Source_Evolution!$Q$3:$Q$731,Source_Evolution!$A$3:$A$731,$A154)</f>
        <v/>
      </c>
      <c r="R154" s="17">
        <f>SUM(E154:Q154)</f>
        <v/>
      </c>
      <c r="S154" s="17">
        <f>Q154</f>
        <v/>
      </c>
      <c r="T154">
        <f>IF(B154="Software",1,0)</f>
        <v/>
      </c>
      <c r="U154" s="18">
        <f>SUMPRODUCT((Source_Evolution!$A$3:$A$731=$A154)*(Source_Evolution!$E$3:$E$731&gt;0))</f>
        <v/>
      </c>
      <c r="V154" s="18">
        <f>SUMPRODUCT((Source_Evolution!$A$3:$A$731=$A154)*(Source_Evolution!$F$3:$F$731&gt;0))</f>
        <v/>
      </c>
      <c r="W154" s="18">
        <f>SUMPRODUCT((Source_Evolution!$A$3:$A$731=$A154)*(Source_Evolution!$G$3:$G$731&gt;0))</f>
        <v/>
      </c>
      <c r="X154" s="18">
        <f>SUMPRODUCT((Source_Evolution!$A$3:$A$731=$A154)*(Source_Evolution!$H$3:$H$731&gt;0))</f>
        <v/>
      </c>
      <c r="Y154" s="18">
        <f>SUMPRODUCT((Source_Evolution!$A$3:$A$731=$A154)*(Source_Evolution!$I$3:$I$731&gt;0))</f>
        <v/>
      </c>
      <c r="Z154" s="18">
        <f>SUMPRODUCT((Source_Evolution!$A$3:$A$731=$A154)*(Source_Evolution!$J$3:$J$731&gt;0))</f>
        <v/>
      </c>
      <c r="AA154" s="18">
        <f>SUMPRODUCT((Source_Evolution!$A$3:$A$731=$A154)*(Source_Evolution!$K$3:$K$731&gt;0))</f>
        <v/>
      </c>
      <c r="AB154" s="18">
        <f>SUMPRODUCT((Source_Evolution!$A$3:$A$731=$A154)*(Source_Evolution!$L$3:$L$731&gt;0))</f>
        <v/>
      </c>
      <c r="AC154" s="18">
        <f>SUMPRODUCT((Source_Evolution!$A$3:$A$731=$A154)*(Source_Evolution!$M$3:$M$731&gt;0))</f>
        <v/>
      </c>
      <c r="AD154" s="18">
        <f>SUMPRODUCT((Source_Evolution!$A$3:$A$731=$A154)*(Source_Evolution!$N$3:$N$731&gt;0))</f>
        <v/>
      </c>
      <c r="AE154" s="18">
        <f>SUMPRODUCT((Source_Evolution!$A$3:$A$731=$A154)*(Source_Evolution!$O$3:$O$731&gt;0))</f>
        <v/>
      </c>
      <c r="AF154" s="18">
        <f>SUMPRODUCT((Source_Evolution!$A$3:$A$731=$A154)*(Source_Evolution!$P$3:$P$731&gt;0))</f>
        <v/>
      </c>
      <c r="AG154" s="18">
        <f>SUMPRODUCT((Source_Evolution!$A$3:$A$731=$A154)*(Source_Evolution!$Q$3:$Q$731&gt;0))</f>
        <v/>
      </c>
    </row>
    <row r="155">
      <c r="A155" t="inlineStr">
        <is>
          <t>Company 236</t>
        </is>
      </c>
      <c r="B155" t="inlineStr">
        <is>
          <t>Software</t>
        </is>
      </c>
      <c r="C155" t="inlineStr">
        <is>
          <t>Netherlands</t>
        </is>
      </c>
      <c r="D155" t="n">
        <v>2014</v>
      </c>
      <c r="E155" s="17">
        <f>SUMIFS(Source_Evolution!$E$3:$E$731,Source_Evolution!$A$3:$A$731,$A155)</f>
        <v/>
      </c>
      <c r="F155" s="17">
        <f>SUMIFS(Source_Evolution!$F$3:$F$731,Source_Evolution!$A$3:$A$731,$A155)</f>
        <v/>
      </c>
      <c r="G155" s="17">
        <f>SUMIFS(Source_Evolution!$G$3:$G$731,Source_Evolution!$A$3:$A$731,$A155)</f>
        <v/>
      </c>
      <c r="H155" s="17">
        <f>SUMIFS(Source_Evolution!$H$3:$H$731,Source_Evolution!$A$3:$A$731,$A155)</f>
        <v/>
      </c>
      <c r="I155" s="17">
        <f>SUMIFS(Source_Evolution!$I$3:$I$731,Source_Evolution!$A$3:$A$731,$A155)</f>
        <v/>
      </c>
      <c r="J155" s="17">
        <f>SUMIFS(Source_Evolution!$J$3:$J$731,Source_Evolution!$A$3:$A$731,$A155)</f>
        <v/>
      </c>
      <c r="K155" s="17">
        <f>SUMIFS(Source_Evolution!$K$3:$K$731,Source_Evolution!$A$3:$A$731,$A155)</f>
        <v/>
      </c>
      <c r="L155" s="17">
        <f>SUMIFS(Source_Evolution!$L$3:$L$731,Source_Evolution!$A$3:$A$731,$A155)</f>
        <v/>
      </c>
      <c r="M155" s="17">
        <f>SUMIFS(Source_Evolution!$M$3:$M$731,Source_Evolution!$A$3:$A$731,$A155)</f>
        <v/>
      </c>
      <c r="N155" s="17">
        <f>SUMIFS(Source_Evolution!$N$3:$N$731,Source_Evolution!$A$3:$A$731,$A155)</f>
        <v/>
      </c>
      <c r="O155" s="17">
        <f>SUMIFS(Source_Evolution!$O$3:$O$731,Source_Evolution!$A$3:$A$731,$A155)</f>
        <v/>
      </c>
      <c r="P155" s="17">
        <f>SUMIFS(Source_Evolution!$P$3:$P$731,Source_Evolution!$A$3:$A$731,$A155)</f>
        <v/>
      </c>
      <c r="Q155" s="17">
        <f>SUMIFS(Source_Evolution!$Q$3:$Q$731,Source_Evolution!$A$3:$A$731,$A155)</f>
        <v/>
      </c>
      <c r="R155" s="17">
        <f>SUM(E155:Q155)</f>
        <v/>
      </c>
      <c r="S155" s="17">
        <f>Q155</f>
        <v/>
      </c>
      <c r="T155">
        <f>IF(B155="Software",1,0)</f>
        <v/>
      </c>
      <c r="U155" s="18">
        <f>SUMPRODUCT((Source_Evolution!$A$3:$A$731=$A155)*(Source_Evolution!$E$3:$E$731&gt;0))</f>
        <v/>
      </c>
      <c r="V155" s="18">
        <f>SUMPRODUCT((Source_Evolution!$A$3:$A$731=$A155)*(Source_Evolution!$F$3:$F$731&gt;0))</f>
        <v/>
      </c>
      <c r="W155" s="18">
        <f>SUMPRODUCT((Source_Evolution!$A$3:$A$731=$A155)*(Source_Evolution!$G$3:$G$731&gt;0))</f>
        <v/>
      </c>
      <c r="X155" s="18">
        <f>SUMPRODUCT((Source_Evolution!$A$3:$A$731=$A155)*(Source_Evolution!$H$3:$H$731&gt;0))</f>
        <v/>
      </c>
      <c r="Y155" s="18">
        <f>SUMPRODUCT((Source_Evolution!$A$3:$A$731=$A155)*(Source_Evolution!$I$3:$I$731&gt;0))</f>
        <v/>
      </c>
      <c r="Z155" s="18">
        <f>SUMPRODUCT((Source_Evolution!$A$3:$A$731=$A155)*(Source_Evolution!$J$3:$J$731&gt;0))</f>
        <v/>
      </c>
      <c r="AA155" s="18">
        <f>SUMPRODUCT((Source_Evolution!$A$3:$A$731=$A155)*(Source_Evolution!$K$3:$K$731&gt;0))</f>
        <v/>
      </c>
      <c r="AB155" s="18">
        <f>SUMPRODUCT((Source_Evolution!$A$3:$A$731=$A155)*(Source_Evolution!$L$3:$L$731&gt;0))</f>
        <v/>
      </c>
      <c r="AC155" s="18">
        <f>SUMPRODUCT((Source_Evolution!$A$3:$A$731=$A155)*(Source_Evolution!$M$3:$M$731&gt;0))</f>
        <v/>
      </c>
      <c r="AD155" s="18">
        <f>SUMPRODUCT((Source_Evolution!$A$3:$A$731=$A155)*(Source_Evolution!$N$3:$N$731&gt;0))</f>
        <v/>
      </c>
      <c r="AE155" s="18">
        <f>SUMPRODUCT((Source_Evolution!$A$3:$A$731=$A155)*(Source_Evolution!$O$3:$O$731&gt;0))</f>
        <v/>
      </c>
      <c r="AF155" s="18">
        <f>SUMPRODUCT((Source_Evolution!$A$3:$A$731=$A155)*(Source_Evolution!$P$3:$P$731&gt;0))</f>
        <v/>
      </c>
      <c r="AG155" s="18">
        <f>SUMPRODUCT((Source_Evolution!$A$3:$A$731=$A155)*(Source_Evolution!$Q$3:$Q$731&gt;0))</f>
        <v/>
      </c>
    </row>
    <row r="156">
      <c r="A156" t="inlineStr">
        <is>
          <t>Company 237</t>
        </is>
      </c>
      <c r="B156" t="inlineStr">
        <is>
          <t>Operations</t>
        </is>
      </c>
      <c r="C156" t="inlineStr">
        <is>
          <t>Spain</t>
        </is>
      </c>
      <c r="D156" t="n">
        <v>2014</v>
      </c>
      <c r="E156" s="17">
        <f>SUMIFS(Source_Evolution!$E$3:$E$731,Source_Evolution!$A$3:$A$731,$A156)</f>
        <v/>
      </c>
      <c r="F156" s="17">
        <f>SUMIFS(Source_Evolution!$F$3:$F$731,Source_Evolution!$A$3:$A$731,$A156)</f>
        <v/>
      </c>
      <c r="G156" s="17">
        <f>SUMIFS(Source_Evolution!$G$3:$G$731,Source_Evolution!$A$3:$A$731,$A156)</f>
        <v/>
      </c>
      <c r="H156" s="17">
        <f>SUMIFS(Source_Evolution!$H$3:$H$731,Source_Evolution!$A$3:$A$731,$A156)</f>
        <v/>
      </c>
      <c r="I156" s="17">
        <f>SUMIFS(Source_Evolution!$I$3:$I$731,Source_Evolution!$A$3:$A$731,$A156)</f>
        <v/>
      </c>
      <c r="J156" s="17">
        <f>SUMIFS(Source_Evolution!$J$3:$J$731,Source_Evolution!$A$3:$A$731,$A156)</f>
        <v/>
      </c>
      <c r="K156" s="17">
        <f>SUMIFS(Source_Evolution!$K$3:$K$731,Source_Evolution!$A$3:$A$731,$A156)</f>
        <v/>
      </c>
      <c r="L156" s="17">
        <f>SUMIFS(Source_Evolution!$L$3:$L$731,Source_Evolution!$A$3:$A$731,$A156)</f>
        <v/>
      </c>
      <c r="M156" s="17">
        <f>SUMIFS(Source_Evolution!$M$3:$M$731,Source_Evolution!$A$3:$A$731,$A156)</f>
        <v/>
      </c>
      <c r="N156" s="17">
        <f>SUMIFS(Source_Evolution!$N$3:$N$731,Source_Evolution!$A$3:$A$731,$A156)</f>
        <v/>
      </c>
      <c r="O156" s="17">
        <f>SUMIFS(Source_Evolution!$O$3:$O$731,Source_Evolution!$A$3:$A$731,$A156)</f>
        <v/>
      </c>
      <c r="P156" s="17">
        <f>SUMIFS(Source_Evolution!$P$3:$P$731,Source_Evolution!$A$3:$A$731,$A156)</f>
        <v/>
      </c>
      <c r="Q156" s="17">
        <f>SUMIFS(Source_Evolution!$Q$3:$Q$731,Source_Evolution!$A$3:$A$731,$A156)</f>
        <v/>
      </c>
      <c r="R156" s="17">
        <f>SUM(E156:Q156)</f>
        <v/>
      </c>
      <c r="S156" s="17">
        <f>Q156</f>
        <v/>
      </c>
      <c r="T156">
        <f>IF(B156="Software",1,0)</f>
        <v/>
      </c>
      <c r="U156" s="18">
        <f>SUMPRODUCT((Source_Evolution!$A$3:$A$731=$A156)*(Source_Evolution!$E$3:$E$731&gt;0))</f>
        <v/>
      </c>
      <c r="V156" s="18">
        <f>SUMPRODUCT((Source_Evolution!$A$3:$A$731=$A156)*(Source_Evolution!$F$3:$F$731&gt;0))</f>
        <v/>
      </c>
      <c r="W156" s="18">
        <f>SUMPRODUCT((Source_Evolution!$A$3:$A$731=$A156)*(Source_Evolution!$G$3:$G$731&gt;0))</f>
        <v/>
      </c>
      <c r="X156" s="18">
        <f>SUMPRODUCT((Source_Evolution!$A$3:$A$731=$A156)*(Source_Evolution!$H$3:$H$731&gt;0))</f>
        <v/>
      </c>
      <c r="Y156" s="18">
        <f>SUMPRODUCT((Source_Evolution!$A$3:$A$731=$A156)*(Source_Evolution!$I$3:$I$731&gt;0))</f>
        <v/>
      </c>
      <c r="Z156" s="18">
        <f>SUMPRODUCT((Source_Evolution!$A$3:$A$731=$A156)*(Source_Evolution!$J$3:$J$731&gt;0))</f>
        <v/>
      </c>
      <c r="AA156" s="18">
        <f>SUMPRODUCT((Source_Evolution!$A$3:$A$731=$A156)*(Source_Evolution!$K$3:$K$731&gt;0))</f>
        <v/>
      </c>
      <c r="AB156" s="18">
        <f>SUMPRODUCT((Source_Evolution!$A$3:$A$731=$A156)*(Source_Evolution!$L$3:$L$731&gt;0))</f>
        <v/>
      </c>
      <c r="AC156" s="18">
        <f>SUMPRODUCT((Source_Evolution!$A$3:$A$731=$A156)*(Source_Evolution!$M$3:$M$731&gt;0))</f>
        <v/>
      </c>
      <c r="AD156" s="18">
        <f>SUMPRODUCT((Source_Evolution!$A$3:$A$731=$A156)*(Source_Evolution!$N$3:$N$731&gt;0))</f>
        <v/>
      </c>
      <c r="AE156" s="18">
        <f>SUMPRODUCT((Source_Evolution!$A$3:$A$731=$A156)*(Source_Evolution!$O$3:$O$731&gt;0))</f>
        <v/>
      </c>
      <c r="AF156" s="18">
        <f>SUMPRODUCT((Source_Evolution!$A$3:$A$731=$A156)*(Source_Evolution!$P$3:$P$731&gt;0))</f>
        <v/>
      </c>
      <c r="AG156" s="18">
        <f>SUMPRODUCT((Source_Evolution!$A$3:$A$731=$A156)*(Source_Evolution!$Q$3:$Q$731&gt;0))</f>
        <v/>
      </c>
    </row>
    <row r="157">
      <c r="A157" t="inlineStr">
        <is>
          <t>Company 238</t>
        </is>
      </c>
      <c r="B157" t="inlineStr">
        <is>
          <t>Software</t>
        </is>
      </c>
      <c r="C157" t="inlineStr">
        <is>
          <t>Netherlands</t>
        </is>
      </c>
      <c r="D157" t="n">
        <v>2014</v>
      </c>
      <c r="E157" s="17">
        <f>SUMIFS(Source_Evolution!$E$3:$E$731,Source_Evolution!$A$3:$A$731,$A157)</f>
        <v/>
      </c>
      <c r="F157" s="17">
        <f>SUMIFS(Source_Evolution!$F$3:$F$731,Source_Evolution!$A$3:$A$731,$A157)</f>
        <v/>
      </c>
      <c r="G157" s="17">
        <f>SUMIFS(Source_Evolution!$G$3:$G$731,Source_Evolution!$A$3:$A$731,$A157)</f>
        <v/>
      </c>
      <c r="H157" s="17">
        <f>SUMIFS(Source_Evolution!$H$3:$H$731,Source_Evolution!$A$3:$A$731,$A157)</f>
        <v/>
      </c>
      <c r="I157" s="17">
        <f>SUMIFS(Source_Evolution!$I$3:$I$731,Source_Evolution!$A$3:$A$731,$A157)</f>
        <v/>
      </c>
      <c r="J157" s="17">
        <f>SUMIFS(Source_Evolution!$J$3:$J$731,Source_Evolution!$A$3:$A$731,$A157)</f>
        <v/>
      </c>
      <c r="K157" s="17">
        <f>SUMIFS(Source_Evolution!$K$3:$K$731,Source_Evolution!$A$3:$A$731,$A157)</f>
        <v/>
      </c>
      <c r="L157" s="17">
        <f>SUMIFS(Source_Evolution!$L$3:$L$731,Source_Evolution!$A$3:$A$731,$A157)</f>
        <v/>
      </c>
      <c r="M157" s="17">
        <f>SUMIFS(Source_Evolution!$M$3:$M$731,Source_Evolution!$A$3:$A$731,$A157)</f>
        <v/>
      </c>
      <c r="N157" s="17">
        <f>SUMIFS(Source_Evolution!$N$3:$N$731,Source_Evolution!$A$3:$A$731,$A157)</f>
        <v/>
      </c>
      <c r="O157" s="17">
        <f>SUMIFS(Source_Evolution!$O$3:$O$731,Source_Evolution!$A$3:$A$731,$A157)</f>
        <v/>
      </c>
      <c r="P157" s="17">
        <f>SUMIFS(Source_Evolution!$P$3:$P$731,Source_Evolution!$A$3:$A$731,$A157)</f>
        <v/>
      </c>
      <c r="Q157" s="17">
        <f>SUMIFS(Source_Evolution!$Q$3:$Q$731,Source_Evolution!$A$3:$A$731,$A157)</f>
        <v/>
      </c>
      <c r="R157" s="17">
        <f>SUM(E157:Q157)</f>
        <v/>
      </c>
      <c r="S157" s="17">
        <f>Q157</f>
        <v/>
      </c>
      <c r="T157">
        <f>IF(B157="Software",1,0)</f>
        <v/>
      </c>
      <c r="U157" s="18">
        <f>SUMPRODUCT((Source_Evolution!$A$3:$A$731=$A157)*(Source_Evolution!$E$3:$E$731&gt;0))</f>
        <v/>
      </c>
      <c r="V157" s="18">
        <f>SUMPRODUCT((Source_Evolution!$A$3:$A$731=$A157)*(Source_Evolution!$F$3:$F$731&gt;0))</f>
        <v/>
      </c>
      <c r="W157" s="18">
        <f>SUMPRODUCT((Source_Evolution!$A$3:$A$731=$A157)*(Source_Evolution!$G$3:$G$731&gt;0))</f>
        <v/>
      </c>
      <c r="X157" s="18">
        <f>SUMPRODUCT((Source_Evolution!$A$3:$A$731=$A157)*(Source_Evolution!$H$3:$H$731&gt;0))</f>
        <v/>
      </c>
      <c r="Y157" s="18">
        <f>SUMPRODUCT((Source_Evolution!$A$3:$A$731=$A157)*(Source_Evolution!$I$3:$I$731&gt;0))</f>
        <v/>
      </c>
      <c r="Z157" s="18">
        <f>SUMPRODUCT((Source_Evolution!$A$3:$A$731=$A157)*(Source_Evolution!$J$3:$J$731&gt;0))</f>
        <v/>
      </c>
      <c r="AA157" s="18">
        <f>SUMPRODUCT((Source_Evolution!$A$3:$A$731=$A157)*(Source_Evolution!$K$3:$K$731&gt;0))</f>
        <v/>
      </c>
      <c r="AB157" s="18">
        <f>SUMPRODUCT((Source_Evolution!$A$3:$A$731=$A157)*(Source_Evolution!$L$3:$L$731&gt;0))</f>
        <v/>
      </c>
      <c r="AC157" s="18">
        <f>SUMPRODUCT((Source_Evolution!$A$3:$A$731=$A157)*(Source_Evolution!$M$3:$M$731&gt;0))</f>
        <v/>
      </c>
      <c r="AD157" s="18">
        <f>SUMPRODUCT((Source_Evolution!$A$3:$A$731=$A157)*(Source_Evolution!$N$3:$N$731&gt;0))</f>
        <v/>
      </c>
      <c r="AE157" s="18">
        <f>SUMPRODUCT((Source_Evolution!$A$3:$A$731=$A157)*(Source_Evolution!$O$3:$O$731&gt;0))</f>
        <v/>
      </c>
      <c r="AF157" s="18">
        <f>SUMPRODUCT((Source_Evolution!$A$3:$A$731=$A157)*(Source_Evolution!$P$3:$P$731&gt;0))</f>
        <v/>
      </c>
      <c r="AG157" s="18">
        <f>SUMPRODUCT((Source_Evolution!$A$3:$A$731=$A157)*(Source_Evolution!$Q$3:$Q$731&gt;0))</f>
        <v/>
      </c>
    </row>
    <row r="158">
      <c r="A158" t="inlineStr">
        <is>
          <t>Company 239</t>
        </is>
      </c>
      <c r="B158" t="inlineStr">
        <is>
          <t>Power</t>
        </is>
      </c>
      <c r="C158" t="inlineStr">
        <is>
          <t>UK</t>
        </is>
      </c>
      <c r="D158" t="n">
        <v>2014</v>
      </c>
      <c r="E158" s="17">
        <f>SUMIFS(Source_Evolution!$E$3:$E$731,Source_Evolution!$A$3:$A$731,$A158)</f>
        <v/>
      </c>
      <c r="F158" s="17">
        <f>SUMIFS(Source_Evolution!$F$3:$F$731,Source_Evolution!$A$3:$A$731,$A158)</f>
        <v/>
      </c>
      <c r="G158" s="17">
        <f>SUMIFS(Source_Evolution!$G$3:$G$731,Source_Evolution!$A$3:$A$731,$A158)</f>
        <v/>
      </c>
      <c r="H158" s="17">
        <f>SUMIFS(Source_Evolution!$H$3:$H$731,Source_Evolution!$A$3:$A$731,$A158)</f>
        <v/>
      </c>
      <c r="I158" s="17">
        <f>SUMIFS(Source_Evolution!$I$3:$I$731,Source_Evolution!$A$3:$A$731,$A158)</f>
        <v/>
      </c>
      <c r="J158" s="17">
        <f>SUMIFS(Source_Evolution!$J$3:$J$731,Source_Evolution!$A$3:$A$731,$A158)</f>
        <v/>
      </c>
      <c r="K158" s="17">
        <f>SUMIFS(Source_Evolution!$K$3:$K$731,Source_Evolution!$A$3:$A$731,$A158)</f>
        <v/>
      </c>
      <c r="L158" s="17">
        <f>SUMIFS(Source_Evolution!$L$3:$L$731,Source_Evolution!$A$3:$A$731,$A158)</f>
        <v/>
      </c>
      <c r="M158" s="17">
        <f>SUMIFS(Source_Evolution!$M$3:$M$731,Source_Evolution!$A$3:$A$731,$A158)</f>
        <v/>
      </c>
      <c r="N158" s="17">
        <f>SUMIFS(Source_Evolution!$N$3:$N$731,Source_Evolution!$A$3:$A$731,$A158)</f>
        <v/>
      </c>
      <c r="O158" s="17">
        <f>SUMIFS(Source_Evolution!$O$3:$O$731,Source_Evolution!$A$3:$A$731,$A158)</f>
        <v/>
      </c>
      <c r="P158" s="17">
        <f>SUMIFS(Source_Evolution!$P$3:$P$731,Source_Evolution!$A$3:$A$731,$A158)</f>
        <v/>
      </c>
      <c r="Q158" s="17">
        <f>SUMIFS(Source_Evolution!$Q$3:$Q$731,Source_Evolution!$A$3:$A$731,$A158)</f>
        <v/>
      </c>
      <c r="R158" s="17">
        <f>SUM(E158:Q158)</f>
        <v/>
      </c>
      <c r="S158" s="17">
        <f>Q158</f>
        <v/>
      </c>
      <c r="T158">
        <f>IF(B158="Software",1,0)</f>
        <v/>
      </c>
      <c r="U158" s="18">
        <f>SUMPRODUCT((Source_Evolution!$A$3:$A$731=$A158)*(Source_Evolution!$E$3:$E$731&gt;0))</f>
        <v/>
      </c>
      <c r="V158" s="18">
        <f>SUMPRODUCT((Source_Evolution!$A$3:$A$731=$A158)*(Source_Evolution!$F$3:$F$731&gt;0))</f>
        <v/>
      </c>
      <c r="W158" s="18">
        <f>SUMPRODUCT((Source_Evolution!$A$3:$A$731=$A158)*(Source_Evolution!$G$3:$G$731&gt;0))</f>
        <v/>
      </c>
      <c r="X158" s="18">
        <f>SUMPRODUCT((Source_Evolution!$A$3:$A$731=$A158)*(Source_Evolution!$H$3:$H$731&gt;0))</f>
        <v/>
      </c>
      <c r="Y158" s="18">
        <f>SUMPRODUCT((Source_Evolution!$A$3:$A$731=$A158)*(Source_Evolution!$I$3:$I$731&gt;0))</f>
        <v/>
      </c>
      <c r="Z158" s="18">
        <f>SUMPRODUCT((Source_Evolution!$A$3:$A$731=$A158)*(Source_Evolution!$J$3:$J$731&gt;0))</f>
        <v/>
      </c>
      <c r="AA158" s="18">
        <f>SUMPRODUCT((Source_Evolution!$A$3:$A$731=$A158)*(Source_Evolution!$K$3:$K$731&gt;0))</f>
        <v/>
      </c>
      <c r="AB158" s="18">
        <f>SUMPRODUCT((Source_Evolution!$A$3:$A$731=$A158)*(Source_Evolution!$L$3:$L$731&gt;0))</f>
        <v/>
      </c>
      <c r="AC158" s="18">
        <f>SUMPRODUCT((Source_Evolution!$A$3:$A$731=$A158)*(Source_Evolution!$M$3:$M$731&gt;0))</f>
        <v/>
      </c>
      <c r="AD158" s="18">
        <f>SUMPRODUCT((Source_Evolution!$A$3:$A$731=$A158)*(Source_Evolution!$N$3:$N$731&gt;0))</f>
        <v/>
      </c>
      <c r="AE158" s="18">
        <f>SUMPRODUCT((Source_Evolution!$A$3:$A$731=$A158)*(Source_Evolution!$O$3:$O$731&gt;0))</f>
        <v/>
      </c>
      <c r="AF158" s="18">
        <f>SUMPRODUCT((Source_Evolution!$A$3:$A$731=$A158)*(Source_Evolution!$P$3:$P$731&gt;0))</f>
        <v/>
      </c>
      <c r="AG158" s="18">
        <f>SUMPRODUCT((Source_Evolution!$A$3:$A$731=$A158)*(Source_Evolution!$Q$3:$Q$731&gt;0))</f>
        <v/>
      </c>
    </row>
    <row r="159">
      <c r="A159" t="inlineStr">
        <is>
          <t>Company 24</t>
        </is>
      </c>
      <c r="B159" t="inlineStr">
        <is>
          <t>Software</t>
        </is>
      </c>
      <c r="C159" t="inlineStr">
        <is>
          <t>France</t>
        </is>
      </c>
      <c r="D159" t="n">
        <v>2014</v>
      </c>
      <c r="E159" s="17">
        <f>SUMIFS(Source_Evolution!$E$3:$E$731,Source_Evolution!$A$3:$A$731,$A159)</f>
        <v/>
      </c>
      <c r="F159" s="17">
        <f>SUMIFS(Source_Evolution!$F$3:$F$731,Source_Evolution!$A$3:$A$731,$A159)</f>
        <v/>
      </c>
      <c r="G159" s="17">
        <f>SUMIFS(Source_Evolution!$G$3:$G$731,Source_Evolution!$A$3:$A$731,$A159)</f>
        <v/>
      </c>
      <c r="H159" s="17">
        <f>SUMIFS(Source_Evolution!$H$3:$H$731,Source_Evolution!$A$3:$A$731,$A159)</f>
        <v/>
      </c>
      <c r="I159" s="17">
        <f>SUMIFS(Source_Evolution!$I$3:$I$731,Source_Evolution!$A$3:$A$731,$A159)</f>
        <v/>
      </c>
      <c r="J159" s="17">
        <f>SUMIFS(Source_Evolution!$J$3:$J$731,Source_Evolution!$A$3:$A$731,$A159)</f>
        <v/>
      </c>
      <c r="K159" s="17">
        <f>SUMIFS(Source_Evolution!$K$3:$K$731,Source_Evolution!$A$3:$A$731,$A159)</f>
        <v/>
      </c>
      <c r="L159" s="17">
        <f>SUMIFS(Source_Evolution!$L$3:$L$731,Source_Evolution!$A$3:$A$731,$A159)</f>
        <v/>
      </c>
      <c r="M159" s="17">
        <f>SUMIFS(Source_Evolution!$M$3:$M$731,Source_Evolution!$A$3:$A$731,$A159)</f>
        <v/>
      </c>
      <c r="N159" s="17">
        <f>SUMIFS(Source_Evolution!$N$3:$N$731,Source_Evolution!$A$3:$A$731,$A159)</f>
        <v/>
      </c>
      <c r="O159" s="17">
        <f>SUMIFS(Source_Evolution!$O$3:$O$731,Source_Evolution!$A$3:$A$731,$A159)</f>
        <v/>
      </c>
      <c r="P159" s="17">
        <f>SUMIFS(Source_Evolution!$P$3:$P$731,Source_Evolution!$A$3:$A$731,$A159)</f>
        <v/>
      </c>
      <c r="Q159" s="17">
        <f>SUMIFS(Source_Evolution!$Q$3:$Q$731,Source_Evolution!$A$3:$A$731,$A159)</f>
        <v/>
      </c>
      <c r="R159" s="17">
        <f>SUM(E159:Q159)</f>
        <v/>
      </c>
      <c r="S159" s="17">
        <f>Q159</f>
        <v/>
      </c>
      <c r="T159">
        <f>IF(B159="Software",1,0)</f>
        <v/>
      </c>
      <c r="U159" s="18">
        <f>SUMPRODUCT((Source_Evolution!$A$3:$A$731=$A159)*(Source_Evolution!$E$3:$E$731&gt;0))</f>
        <v/>
      </c>
      <c r="V159" s="18">
        <f>SUMPRODUCT((Source_Evolution!$A$3:$A$731=$A159)*(Source_Evolution!$F$3:$F$731&gt;0))</f>
        <v/>
      </c>
      <c r="W159" s="18">
        <f>SUMPRODUCT((Source_Evolution!$A$3:$A$731=$A159)*(Source_Evolution!$G$3:$G$731&gt;0))</f>
        <v/>
      </c>
      <c r="X159" s="18">
        <f>SUMPRODUCT((Source_Evolution!$A$3:$A$731=$A159)*(Source_Evolution!$H$3:$H$731&gt;0))</f>
        <v/>
      </c>
      <c r="Y159" s="18">
        <f>SUMPRODUCT((Source_Evolution!$A$3:$A$731=$A159)*(Source_Evolution!$I$3:$I$731&gt;0))</f>
        <v/>
      </c>
      <c r="Z159" s="18">
        <f>SUMPRODUCT((Source_Evolution!$A$3:$A$731=$A159)*(Source_Evolution!$J$3:$J$731&gt;0))</f>
        <v/>
      </c>
      <c r="AA159" s="18">
        <f>SUMPRODUCT((Source_Evolution!$A$3:$A$731=$A159)*(Source_Evolution!$K$3:$K$731&gt;0))</f>
        <v/>
      </c>
      <c r="AB159" s="18">
        <f>SUMPRODUCT((Source_Evolution!$A$3:$A$731=$A159)*(Source_Evolution!$L$3:$L$731&gt;0))</f>
        <v/>
      </c>
      <c r="AC159" s="18">
        <f>SUMPRODUCT((Source_Evolution!$A$3:$A$731=$A159)*(Source_Evolution!$M$3:$M$731&gt;0))</f>
        <v/>
      </c>
      <c r="AD159" s="18">
        <f>SUMPRODUCT((Source_Evolution!$A$3:$A$731=$A159)*(Source_Evolution!$N$3:$N$731&gt;0))</f>
        <v/>
      </c>
      <c r="AE159" s="18">
        <f>SUMPRODUCT((Source_Evolution!$A$3:$A$731=$A159)*(Source_Evolution!$O$3:$O$731&gt;0))</f>
        <v/>
      </c>
      <c r="AF159" s="18">
        <f>SUMPRODUCT((Source_Evolution!$A$3:$A$731=$A159)*(Source_Evolution!$P$3:$P$731&gt;0))</f>
        <v/>
      </c>
      <c r="AG159" s="18">
        <f>SUMPRODUCT((Source_Evolution!$A$3:$A$731=$A159)*(Source_Evolution!$Q$3:$Q$731&gt;0))</f>
        <v/>
      </c>
    </row>
    <row r="160">
      <c r="A160" t="inlineStr">
        <is>
          <t>Company 240</t>
        </is>
      </c>
      <c r="B160" t="inlineStr">
        <is>
          <t>Operations</t>
        </is>
      </c>
      <c r="C160" t="inlineStr">
        <is>
          <t>France</t>
        </is>
      </c>
      <c r="D160" t="n">
        <v>2014</v>
      </c>
      <c r="E160" s="17">
        <f>SUMIFS(Source_Evolution!$E$3:$E$731,Source_Evolution!$A$3:$A$731,$A160)</f>
        <v/>
      </c>
      <c r="F160" s="17">
        <f>SUMIFS(Source_Evolution!$F$3:$F$731,Source_Evolution!$A$3:$A$731,$A160)</f>
        <v/>
      </c>
      <c r="G160" s="17">
        <f>SUMIFS(Source_Evolution!$G$3:$G$731,Source_Evolution!$A$3:$A$731,$A160)</f>
        <v/>
      </c>
      <c r="H160" s="17">
        <f>SUMIFS(Source_Evolution!$H$3:$H$731,Source_Evolution!$A$3:$A$731,$A160)</f>
        <v/>
      </c>
      <c r="I160" s="17">
        <f>SUMIFS(Source_Evolution!$I$3:$I$731,Source_Evolution!$A$3:$A$731,$A160)</f>
        <v/>
      </c>
      <c r="J160" s="17">
        <f>SUMIFS(Source_Evolution!$J$3:$J$731,Source_Evolution!$A$3:$A$731,$A160)</f>
        <v/>
      </c>
      <c r="K160" s="17">
        <f>SUMIFS(Source_Evolution!$K$3:$K$731,Source_Evolution!$A$3:$A$731,$A160)</f>
        <v/>
      </c>
      <c r="L160" s="17">
        <f>SUMIFS(Source_Evolution!$L$3:$L$731,Source_Evolution!$A$3:$A$731,$A160)</f>
        <v/>
      </c>
      <c r="M160" s="17">
        <f>SUMIFS(Source_Evolution!$M$3:$M$731,Source_Evolution!$A$3:$A$731,$A160)</f>
        <v/>
      </c>
      <c r="N160" s="17">
        <f>SUMIFS(Source_Evolution!$N$3:$N$731,Source_Evolution!$A$3:$A$731,$A160)</f>
        <v/>
      </c>
      <c r="O160" s="17">
        <f>SUMIFS(Source_Evolution!$O$3:$O$731,Source_Evolution!$A$3:$A$731,$A160)</f>
        <v/>
      </c>
      <c r="P160" s="17">
        <f>SUMIFS(Source_Evolution!$P$3:$P$731,Source_Evolution!$A$3:$A$731,$A160)</f>
        <v/>
      </c>
      <c r="Q160" s="17">
        <f>SUMIFS(Source_Evolution!$Q$3:$Q$731,Source_Evolution!$A$3:$A$731,$A160)</f>
        <v/>
      </c>
      <c r="R160" s="17">
        <f>SUM(E160:Q160)</f>
        <v/>
      </c>
      <c r="S160" s="17">
        <f>Q160</f>
        <v/>
      </c>
      <c r="T160">
        <f>IF(B160="Software",1,0)</f>
        <v/>
      </c>
      <c r="U160" s="18">
        <f>SUMPRODUCT((Source_Evolution!$A$3:$A$731=$A160)*(Source_Evolution!$E$3:$E$731&gt;0))</f>
        <v/>
      </c>
      <c r="V160" s="18">
        <f>SUMPRODUCT((Source_Evolution!$A$3:$A$731=$A160)*(Source_Evolution!$F$3:$F$731&gt;0))</f>
        <v/>
      </c>
      <c r="W160" s="18">
        <f>SUMPRODUCT((Source_Evolution!$A$3:$A$731=$A160)*(Source_Evolution!$G$3:$G$731&gt;0))</f>
        <v/>
      </c>
      <c r="X160" s="18">
        <f>SUMPRODUCT((Source_Evolution!$A$3:$A$731=$A160)*(Source_Evolution!$H$3:$H$731&gt;0))</f>
        <v/>
      </c>
      <c r="Y160" s="18">
        <f>SUMPRODUCT((Source_Evolution!$A$3:$A$731=$A160)*(Source_Evolution!$I$3:$I$731&gt;0))</f>
        <v/>
      </c>
      <c r="Z160" s="18">
        <f>SUMPRODUCT((Source_Evolution!$A$3:$A$731=$A160)*(Source_Evolution!$J$3:$J$731&gt;0))</f>
        <v/>
      </c>
      <c r="AA160" s="18">
        <f>SUMPRODUCT((Source_Evolution!$A$3:$A$731=$A160)*(Source_Evolution!$K$3:$K$731&gt;0))</f>
        <v/>
      </c>
      <c r="AB160" s="18">
        <f>SUMPRODUCT((Source_Evolution!$A$3:$A$731=$A160)*(Source_Evolution!$L$3:$L$731&gt;0))</f>
        <v/>
      </c>
      <c r="AC160" s="18">
        <f>SUMPRODUCT((Source_Evolution!$A$3:$A$731=$A160)*(Source_Evolution!$M$3:$M$731&gt;0))</f>
        <v/>
      </c>
      <c r="AD160" s="18">
        <f>SUMPRODUCT((Source_Evolution!$A$3:$A$731=$A160)*(Source_Evolution!$N$3:$N$731&gt;0))</f>
        <v/>
      </c>
      <c r="AE160" s="18">
        <f>SUMPRODUCT((Source_Evolution!$A$3:$A$731=$A160)*(Source_Evolution!$O$3:$O$731&gt;0))</f>
        <v/>
      </c>
      <c r="AF160" s="18">
        <f>SUMPRODUCT((Source_Evolution!$A$3:$A$731=$A160)*(Source_Evolution!$P$3:$P$731&gt;0))</f>
        <v/>
      </c>
      <c r="AG160" s="18">
        <f>SUMPRODUCT((Source_Evolution!$A$3:$A$731=$A160)*(Source_Evolution!$Q$3:$Q$731&gt;0))</f>
        <v/>
      </c>
    </row>
    <row r="161">
      <c r="A161" t="inlineStr">
        <is>
          <t>Company 241</t>
        </is>
      </c>
      <c r="B161" t="inlineStr">
        <is>
          <t>Operations</t>
        </is>
      </c>
      <c r="C161" t="inlineStr">
        <is>
          <t>UK</t>
        </is>
      </c>
      <c r="D161" t="n">
        <v>2017</v>
      </c>
      <c r="E161" s="17">
        <f>SUMIFS(Source_Evolution!$E$3:$E$731,Source_Evolution!$A$3:$A$731,$A161)</f>
        <v/>
      </c>
      <c r="F161" s="17">
        <f>SUMIFS(Source_Evolution!$F$3:$F$731,Source_Evolution!$A$3:$A$731,$A161)</f>
        <v/>
      </c>
      <c r="G161" s="17">
        <f>SUMIFS(Source_Evolution!$G$3:$G$731,Source_Evolution!$A$3:$A$731,$A161)</f>
        <v/>
      </c>
      <c r="H161" s="17">
        <f>SUMIFS(Source_Evolution!$H$3:$H$731,Source_Evolution!$A$3:$A$731,$A161)</f>
        <v/>
      </c>
      <c r="I161" s="17">
        <f>SUMIFS(Source_Evolution!$I$3:$I$731,Source_Evolution!$A$3:$A$731,$A161)</f>
        <v/>
      </c>
      <c r="J161" s="17">
        <f>SUMIFS(Source_Evolution!$J$3:$J$731,Source_Evolution!$A$3:$A$731,$A161)</f>
        <v/>
      </c>
      <c r="K161" s="17">
        <f>SUMIFS(Source_Evolution!$K$3:$K$731,Source_Evolution!$A$3:$A$731,$A161)</f>
        <v/>
      </c>
      <c r="L161" s="17">
        <f>SUMIFS(Source_Evolution!$L$3:$L$731,Source_Evolution!$A$3:$A$731,$A161)</f>
        <v/>
      </c>
      <c r="M161" s="17">
        <f>SUMIFS(Source_Evolution!$M$3:$M$731,Source_Evolution!$A$3:$A$731,$A161)</f>
        <v/>
      </c>
      <c r="N161" s="17">
        <f>SUMIFS(Source_Evolution!$N$3:$N$731,Source_Evolution!$A$3:$A$731,$A161)</f>
        <v/>
      </c>
      <c r="O161" s="17">
        <f>SUMIFS(Source_Evolution!$O$3:$O$731,Source_Evolution!$A$3:$A$731,$A161)</f>
        <v/>
      </c>
      <c r="P161" s="17">
        <f>SUMIFS(Source_Evolution!$P$3:$P$731,Source_Evolution!$A$3:$A$731,$A161)</f>
        <v/>
      </c>
      <c r="Q161" s="17">
        <f>SUMIFS(Source_Evolution!$Q$3:$Q$731,Source_Evolution!$A$3:$A$731,$A161)</f>
        <v/>
      </c>
      <c r="R161" s="17">
        <f>SUM(E161:Q161)</f>
        <v/>
      </c>
      <c r="S161" s="17">
        <f>Q161</f>
        <v/>
      </c>
      <c r="T161">
        <f>IF(B161="Software",1,0)</f>
        <v/>
      </c>
      <c r="U161" s="18">
        <f>SUMPRODUCT((Source_Evolution!$A$3:$A$731=$A161)*(Source_Evolution!$E$3:$E$731&gt;0))</f>
        <v/>
      </c>
      <c r="V161" s="18">
        <f>SUMPRODUCT((Source_Evolution!$A$3:$A$731=$A161)*(Source_Evolution!$F$3:$F$731&gt;0))</f>
        <v/>
      </c>
      <c r="W161" s="18">
        <f>SUMPRODUCT((Source_Evolution!$A$3:$A$731=$A161)*(Source_Evolution!$G$3:$G$731&gt;0))</f>
        <v/>
      </c>
      <c r="X161" s="18">
        <f>SUMPRODUCT((Source_Evolution!$A$3:$A$731=$A161)*(Source_Evolution!$H$3:$H$731&gt;0))</f>
        <v/>
      </c>
      <c r="Y161" s="18">
        <f>SUMPRODUCT((Source_Evolution!$A$3:$A$731=$A161)*(Source_Evolution!$I$3:$I$731&gt;0))</f>
        <v/>
      </c>
      <c r="Z161" s="18">
        <f>SUMPRODUCT((Source_Evolution!$A$3:$A$731=$A161)*(Source_Evolution!$J$3:$J$731&gt;0))</f>
        <v/>
      </c>
      <c r="AA161" s="18">
        <f>SUMPRODUCT((Source_Evolution!$A$3:$A$731=$A161)*(Source_Evolution!$K$3:$K$731&gt;0))</f>
        <v/>
      </c>
      <c r="AB161" s="18">
        <f>SUMPRODUCT((Source_Evolution!$A$3:$A$731=$A161)*(Source_Evolution!$L$3:$L$731&gt;0))</f>
        <v/>
      </c>
      <c r="AC161" s="18">
        <f>SUMPRODUCT((Source_Evolution!$A$3:$A$731=$A161)*(Source_Evolution!$M$3:$M$731&gt;0))</f>
        <v/>
      </c>
      <c r="AD161" s="18">
        <f>SUMPRODUCT((Source_Evolution!$A$3:$A$731=$A161)*(Source_Evolution!$N$3:$N$731&gt;0))</f>
        <v/>
      </c>
      <c r="AE161" s="18">
        <f>SUMPRODUCT((Source_Evolution!$A$3:$A$731=$A161)*(Source_Evolution!$O$3:$O$731&gt;0))</f>
        <v/>
      </c>
      <c r="AF161" s="18">
        <f>SUMPRODUCT((Source_Evolution!$A$3:$A$731=$A161)*(Source_Evolution!$P$3:$P$731&gt;0))</f>
        <v/>
      </c>
      <c r="AG161" s="18">
        <f>SUMPRODUCT((Source_Evolution!$A$3:$A$731=$A161)*(Source_Evolution!$Q$3:$Q$731&gt;0))</f>
        <v/>
      </c>
    </row>
    <row r="162">
      <c r="A162" t="inlineStr">
        <is>
          <t>Company 242</t>
        </is>
      </c>
      <c r="B162" t="inlineStr">
        <is>
          <t>Software</t>
        </is>
      </c>
      <c r="C162" t="inlineStr">
        <is>
          <t>UK</t>
        </is>
      </c>
      <c r="D162" t="n">
        <v>2014</v>
      </c>
      <c r="E162" s="17">
        <f>SUMIFS(Source_Evolution!$E$3:$E$731,Source_Evolution!$A$3:$A$731,$A162)</f>
        <v/>
      </c>
      <c r="F162" s="17">
        <f>SUMIFS(Source_Evolution!$F$3:$F$731,Source_Evolution!$A$3:$A$731,$A162)</f>
        <v/>
      </c>
      <c r="G162" s="17">
        <f>SUMIFS(Source_Evolution!$G$3:$G$731,Source_Evolution!$A$3:$A$731,$A162)</f>
        <v/>
      </c>
      <c r="H162" s="17">
        <f>SUMIFS(Source_Evolution!$H$3:$H$731,Source_Evolution!$A$3:$A$731,$A162)</f>
        <v/>
      </c>
      <c r="I162" s="17">
        <f>SUMIFS(Source_Evolution!$I$3:$I$731,Source_Evolution!$A$3:$A$731,$A162)</f>
        <v/>
      </c>
      <c r="J162" s="17">
        <f>SUMIFS(Source_Evolution!$J$3:$J$731,Source_Evolution!$A$3:$A$731,$A162)</f>
        <v/>
      </c>
      <c r="K162" s="17">
        <f>SUMIFS(Source_Evolution!$K$3:$K$731,Source_Evolution!$A$3:$A$731,$A162)</f>
        <v/>
      </c>
      <c r="L162" s="17">
        <f>SUMIFS(Source_Evolution!$L$3:$L$731,Source_Evolution!$A$3:$A$731,$A162)</f>
        <v/>
      </c>
      <c r="M162" s="17">
        <f>SUMIFS(Source_Evolution!$M$3:$M$731,Source_Evolution!$A$3:$A$731,$A162)</f>
        <v/>
      </c>
      <c r="N162" s="17">
        <f>SUMIFS(Source_Evolution!$N$3:$N$731,Source_Evolution!$A$3:$A$731,$A162)</f>
        <v/>
      </c>
      <c r="O162" s="17">
        <f>SUMIFS(Source_Evolution!$O$3:$O$731,Source_Evolution!$A$3:$A$731,$A162)</f>
        <v/>
      </c>
      <c r="P162" s="17">
        <f>SUMIFS(Source_Evolution!$P$3:$P$731,Source_Evolution!$A$3:$A$731,$A162)</f>
        <v/>
      </c>
      <c r="Q162" s="17">
        <f>SUMIFS(Source_Evolution!$Q$3:$Q$731,Source_Evolution!$A$3:$A$731,$A162)</f>
        <v/>
      </c>
      <c r="R162" s="17">
        <f>SUM(E162:Q162)</f>
        <v/>
      </c>
      <c r="S162" s="17">
        <f>Q162</f>
        <v/>
      </c>
      <c r="T162">
        <f>IF(B162="Software",1,0)</f>
        <v/>
      </c>
      <c r="U162" s="18">
        <f>SUMPRODUCT((Source_Evolution!$A$3:$A$731=$A162)*(Source_Evolution!$E$3:$E$731&gt;0))</f>
        <v/>
      </c>
      <c r="V162" s="18">
        <f>SUMPRODUCT((Source_Evolution!$A$3:$A$731=$A162)*(Source_Evolution!$F$3:$F$731&gt;0))</f>
        <v/>
      </c>
      <c r="W162" s="18">
        <f>SUMPRODUCT((Source_Evolution!$A$3:$A$731=$A162)*(Source_Evolution!$G$3:$G$731&gt;0))</f>
        <v/>
      </c>
      <c r="X162" s="18">
        <f>SUMPRODUCT((Source_Evolution!$A$3:$A$731=$A162)*(Source_Evolution!$H$3:$H$731&gt;0))</f>
        <v/>
      </c>
      <c r="Y162" s="18">
        <f>SUMPRODUCT((Source_Evolution!$A$3:$A$731=$A162)*(Source_Evolution!$I$3:$I$731&gt;0))</f>
        <v/>
      </c>
      <c r="Z162" s="18">
        <f>SUMPRODUCT((Source_Evolution!$A$3:$A$731=$A162)*(Source_Evolution!$J$3:$J$731&gt;0))</f>
        <v/>
      </c>
      <c r="AA162" s="18">
        <f>SUMPRODUCT((Source_Evolution!$A$3:$A$731=$A162)*(Source_Evolution!$K$3:$K$731&gt;0))</f>
        <v/>
      </c>
      <c r="AB162" s="18">
        <f>SUMPRODUCT((Source_Evolution!$A$3:$A$731=$A162)*(Source_Evolution!$L$3:$L$731&gt;0))</f>
        <v/>
      </c>
      <c r="AC162" s="18">
        <f>SUMPRODUCT((Source_Evolution!$A$3:$A$731=$A162)*(Source_Evolution!$M$3:$M$731&gt;0))</f>
        <v/>
      </c>
      <c r="AD162" s="18">
        <f>SUMPRODUCT((Source_Evolution!$A$3:$A$731=$A162)*(Source_Evolution!$N$3:$N$731&gt;0))</f>
        <v/>
      </c>
      <c r="AE162" s="18">
        <f>SUMPRODUCT((Source_Evolution!$A$3:$A$731=$A162)*(Source_Evolution!$O$3:$O$731&gt;0))</f>
        <v/>
      </c>
      <c r="AF162" s="18">
        <f>SUMPRODUCT((Source_Evolution!$A$3:$A$731=$A162)*(Source_Evolution!$P$3:$P$731&gt;0))</f>
        <v/>
      </c>
      <c r="AG162" s="18">
        <f>SUMPRODUCT((Source_Evolution!$A$3:$A$731=$A162)*(Source_Evolution!$Q$3:$Q$731&gt;0))</f>
        <v/>
      </c>
    </row>
    <row r="163">
      <c r="A163" t="inlineStr">
        <is>
          <t>Company 243</t>
        </is>
      </c>
      <c r="B163" t="inlineStr">
        <is>
          <t>Software</t>
        </is>
      </c>
      <c r="C163" t="inlineStr">
        <is>
          <t>UK</t>
        </is>
      </c>
      <c r="D163" t="n">
        <v>2014</v>
      </c>
      <c r="E163" s="17">
        <f>SUMIFS(Source_Evolution!$E$3:$E$731,Source_Evolution!$A$3:$A$731,$A163)</f>
        <v/>
      </c>
      <c r="F163" s="17">
        <f>SUMIFS(Source_Evolution!$F$3:$F$731,Source_Evolution!$A$3:$A$731,$A163)</f>
        <v/>
      </c>
      <c r="G163" s="17">
        <f>SUMIFS(Source_Evolution!$G$3:$G$731,Source_Evolution!$A$3:$A$731,$A163)</f>
        <v/>
      </c>
      <c r="H163" s="17">
        <f>SUMIFS(Source_Evolution!$H$3:$H$731,Source_Evolution!$A$3:$A$731,$A163)</f>
        <v/>
      </c>
      <c r="I163" s="17">
        <f>SUMIFS(Source_Evolution!$I$3:$I$731,Source_Evolution!$A$3:$A$731,$A163)</f>
        <v/>
      </c>
      <c r="J163" s="17">
        <f>SUMIFS(Source_Evolution!$J$3:$J$731,Source_Evolution!$A$3:$A$731,$A163)</f>
        <v/>
      </c>
      <c r="K163" s="17">
        <f>SUMIFS(Source_Evolution!$K$3:$K$731,Source_Evolution!$A$3:$A$731,$A163)</f>
        <v/>
      </c>
      <c r="L163" s="17">
        <f>SUMIFS(Source_Evolution!$L$3:$L$731,Source_Evolution!$A$3:$A$731,$A163)</f>
        <v/>
      </c>
      <c r="M163" s="17">
        <f>SUMIFS(Source_Evolution!$M$3:$M$731,Source_Evolution!$A$3:$A$731,$A163)</f>
        <v/>
      </c>
      <c r="N163" s="17">
        <f>SUMIFS(Source_Evolution!$N$3:$N$731,Source_Evolution!$A$3:$A$731,$A163)</f>
        <v/>
      </c>
      <c r="O163" s="17">
        <f>SUMIFS(Source_Evolution!$O$3:$O$731,Source_Evolution!$A$3:$A$731,$A163)</f>
        <v/>
      </c>
      <c r="P163" s="17">
        <f>SUMIFS(Source_Evolution!$P$3:$P$731,Source_Evolution!$A$3:$A$731,$A163)</f>
        <v/>
      </c>
      <c r="Q163" s="17">
        <f>SUMIFS(Source_Evolution!$Q$3:$Q$731,Source_Evolution!$A$3:$A$731,$A163)</f>
        <v/>
      </c>
      <c r="R163" s="17">
        <f>SUM(E163:Q163)</f>
        <v/>
      </c>
      <c r="S163" s="17">
        <f>Q163</f>
        <v/>
      </c>
      <c r="T163">
        <f>IF(B163="Software",1,0)</f>
        <v/>
      </c>
      <c r="U163" s="18">
        <f>SUMPRODUCT((Source_Evolution!$A$3:$A$731=$A163)*(Source_Evolution!$E$3:$E$731&gt;0))</f>
        <v/>
      </c>
      <c r="V163" s="18">
        <f>SUMPRODUCT((Source_Evolution!$A$3:$A$731=$A163)*(Source_Evolution!$F$3:$F$731&gt;0))</f>
        <v/>
      </c>
      <c r="W163" s="18">
        <f>SUMPRODUCT((Source_Evolution!$A$3:$A$731=$A163)*(Source_Evolution!$G$3:$G$731&gt;0))</f>
        <v/>
      </c>
      <c r="X163" s="18">
        <f>SUMPRODUCT((Source_Evolution!$A$3:$A$731=$A163)*(Source_Evolution!$H$3:$H$731&gt;0))</f>
        <v/>
      </c>
      <c r="Y163" s="18">
        <f>SUMPRODUCT((Source_Evolution!$A$3:$A$731=$A163)*(Source_Evolution!$I$3:$I$731&gt;0))</f>
        <v/>
      </c>
      <c r="Z163" s="18">
        <f>SUMPRODUCT((Source_Evolution!$A$3:$A$731=$A163)*(Source_Evolution!$J$3:$J$731&gt;0))</f>
        <v/>
      </c>
      <c r="AA163" s="18">
        <f>SUMPRODUCT((Source_Evolution!$A$3:$A$731=$A163)*(Source_Evolution!$K$3:$K$731&gt;0))</f>
        <v/>
      </c>
      <c r="AB163" s="18">
        <f>SUMPRODUCT((Source_Evolution!$A$3:$A$731=$A163)*(Source_Evolution!$L$3:$L$731&gt;0))</f>
        <v/>
      </c>
      <c r="AC163" s="18">
        <f>SUMPRODUCT((Source_Evolution!$A$3:$A$731=$A163)*(Source_Evolution!$M$3:$M$731&gt;0))</f>
        <v/>
      </c>
      <c r="AD163" s="18">
        <f>SUMPRODUCT((Source_Evolution!$A$3:$A$731=$A163)*(Source_Evolution!$N$3:$N$731&gt;0))</f>
        <v/>
      </c>
      <c r="AE163" s="18">
        <f>SUMPRODUCT((Source_Evolution!$A$3:$A$731=$A163)*(Source_Evolution!$O$3:$O$731&gt;0))</f>
        <v/>
      </c>
      <c r="AF163" s="18">
        <f>SUMPRODUCT((Source_Evolution!$A$3:$A$731=$A163)*(Source_Evolution!$P$3:$P$731&gt;0))</f>
        <v/>
      </c>
      <c r="AG163" s="18">
        <f>SUMPRODUCT((Source_Evolution!$A$3:$A$731=$A163)*(Source_Evolution!$Q$3:$Q$731&gt;0))</f>
        <v/>
      </c>
    </row>
    <row r="164">
      <c r="A164" t="inlineStr">
        <is>
          <t>Company 244</t>
        </is>
      </c>
      <c r="B164" t="inlineStr">
        <is>
          <t>Operations</t>
        </is>
      </c>
      <c r="C164" t="inlineStr">
        <is>
          <t>Italy</t>
        </is>
      </c>
      <c r="D164" t="n">
        <v>2025</v>
      </c>
      <c r="E164" s="17">
        <f>SUMIFS(Source_Evolution!$E$3:$E$731,Source_Evolution!$A$3:$A$731,$A164)</f>
        <v/>
      </c>
      <c r="F164" s="17">
        <f>SUMIFS(Source_Evolution!$F$3:$F$731,Source_Evolution!$A$3:$A$731,$A164)</f>
        <v/>
      </c>
      <c r="G164" s="17">
        <f>SUMIFS(Source_Evolution!$G$3:$G$731,Source_Evolution!$A$3:$A$731,$A164)</f>
        <v/>
      </c>
      <c r="H164" s="17">
        <f>SUMIFS(Source_Evolution!$H$3:$H$731,Source_Evolution!$A$3:$A$731,$A164)</f>
        <v/>
      </c>
      <c r="I164" s="17">
        <f>SUMIFS(Source_Evolution!$I$3:$I$731,Source_Evolution!$A$3:$A$731,$A164)</f>
        <v/>
      </c>
      <c r="J164" s="17">
        <f>SUMIFS(Source_Evolution!$J$3:$J$731,Source_Evolution!$A$3:$A$731,$A164)</f>
        <v/>
      </c>
      <c r="K164" s="17">
        <f>SUMIFS(Source_Evolution!$K$3:$K$731,Source_Evolution!$A$3:$A$731,$A164)</f>
        <v/>
      </c>
      <c r="L164" s="17">
        <f>SUMIFS(Source_Evolution!$L$3:$L$731,Source_Evolution!$A$3:$A$731,$A164)</f>
        <v/>
      </c>
      <c r="M164" s="17">
        <f>SUMIFS(Source_Evolution!$M$3:$M$731,Source_Evolution!$A$3:$A$731,$A164)</f>
        <v/>
      </c>
      <c r="N164" s="17">
        <f>SUMIFS(Source_Evolution!$N$3:$N$731,Source_Evolution!$A$3:$A$731,$A164)</f>
        <v/>
      </c>
      <c r="O164" s="17">
        <f>SUMIFS(Source_Evolution!$O$3:$O$731,Source_Evolution!$A$3:$A$731,$A164)</f>
        <v/>
      </c>
      <c r="P164" s="17">
        <f>SUMIFS(Source_Evolution!$P$3:$P$731,Source_Evolution!$A$3:$A$731,$A164)</f>
        <v/>
      </c>
      <c r="Q164" s="17">
        <f>SUMIFS(Source_Evolution!$Q$3:$Q$731,Source_Evolution!$A$3:$A$731,$A164)</f>
        <v/>
      </c>
      <c r="R164" s="17">
        <f>SUM(E164:Q164)</f>
        <v/>
      </c>
      <c r="S164" s="17">
        <f>Q164</f>
        <v/>
      </c>
      <c r="T164">
        <f>IF(B164="Software",1,0)</f>
        <v/>
      </c>
      <c r="U164" s="18">
        <f>SUMPRODUCT((Source_Evolution!$A$3:$A$731=$A164)*(Source_Evolution!$E$3:$E$731&gt;0))</f>
        <v/>
      </c>
      <c r="V164" s="18">
        <f>SUMPRODUCT((Source_Evolution!$A$3:$A$731=$A164)*(Source_Evolution!$F$3:$F$731&gt;0))</f>
        <v/>
      </c>
      <c r="W164" s="18">
        <f>SUMPRODUCT((Source_Evolution!$A$3:$A$731=$A164)*(Source_Evolution!$G$3:$G$731&gt;0))</f>
        <v/>
      </c>
      <c r="X164" s="18">
        <f>SUMPRODUCT((Source_Evolution!$A$3:$A$731=$A164)*(Source_Evolution!$H$3:$H$731&gt;0))</f>
        <v/>
      </c>
      <c r="Y164" s="18">
        <f>SUMPRODUCT((Source_Evolution!$A$3:$A$731=$A164)*(Source_Evolution!$I$3:$I$731&gt;0))</f>
        <v/>
      </c>
      <c r="Z164" s="18">
        <f>SUMPRODUCT((Source_Evolution!$A$3:$A$731=$A164)*(Source_Evolution!$J$3:$J$731&gt;0))</f>
        <v/>
      </c>
      <c r="AA164" s="18">
        <f>SUMPRODUCT((Source_Evolution!$A$3:$A$731=$A164)*(Source_Evolution!$K$3:$K$731&gt;0))</f>
        <v/>
      </c>
      <c r="AB164" s="18">
        <f>SUMPRODUCT((Source_Evolution!$A$3:$A$731=$A164)*(Source_Evolution!$L$3:$L$731&gt;0))</f>
        <v/>
      </c>
      <c r="AC164" s="18">
        <f>SUMPRODUCT((Source_Evolution!$A$3:$A$731=$A164)*(Source_Evolution!$M$3:$M$731&gt;0))</f>
        <v/>
      </c>
      <c r="AD164" s="18">
        <f>SUMPRODUCT((Source_Evolution!$A$3:$A$731=$A164)*(Source_Evolution!$N$3:$N$731&gt;0))</f>
        <v/>
      </c>
      <c r="AE164" s="18">
        <f>SUMPRODUCT((Source_Evolution!$A$3:$A$731=$A164)*(Source_Evolution!$O$3:$O$731&gt;0))</f>
        <v/>
      </c>
      <c r="AF164" s="18">
        <f>SUMPRODUCT((Source_Evolution!$A$3:$A$731=$A164)*(Source_Evolution!$P$3:$P$731&gt;0))</f>
        <v/>
      </c>
      <c r="AG164" s="18">
        <f>SUMPRODUCT((Source_Evolution!$A$3:$A$731=$A164)*(Source_Evolution!$Q$3:$Q$731&gt;0))</f>
        <v/>
      </c>
    </row>
    <row r="165">
      <c r="A165" t="inlineStr">
        <is>
          <t>Company 245</t>
        </is>
      </c>
      <c r="B165" t="inlineStr">
        <is>
          <t>Software</t>
        </is>
      </c>
      <c r="C165" t="inlineStr">
        <is>
          <t>UK</t>
        </is>
      </c>
      <c r="D165" t="n">
        <v>2014</v>
      </c>
      <c r="E165" s="17">
        <f>SUMIFS(Source_Evolution!$E$3:$E$731,Source_Evolution!$A$3:$A$731,$A165)</f>
        <v/>
      </c>
      <c r="F165" s="17">
        <f>SUMIFS(Source_Evolution!$F$3:$F$731,Source_Evolution!$A$3:$A$731,$A165)</f>
        <v/>
      </c>
      <c r="G165" s="17">
        <f>SUMIFS(Source_Evolution!$G$3:$G$731,Source_Evolution!$A$3:$A$731,$A165)</f>
        <v/>
      </c>
      <c r="H165" s="17">
        <f>SUMIFS(Source_Evolution!$H$3:$H$731,Source_Evolution!$A$3:$A$731,$A165)</f>
        <v/>
      </c>
      <c r="I165" s="17">
        <f>SUMIFS(Source_Evolution!$I$3:$I$731,Source_Evolution!$A$3:$A$731,$A165)</f>
        <v/>
      </c>
      <c r="J165" s="17">
        <f>SUMIFS(Source_Evolution!$J$3:$J$731,Source_Evolution!$A$3:$A$731,$A165)</f>
        <v/>
      </c>
      <c r="K165" s="17">
        <f>SUMIFS(Source_Evolution!$K$3:$K$731,Source_Evolution!$A$3:$A$731,$A165)</f>
        <v/>
      </c>
      <c r="L165" s="17">
        <f>SUMIFS(Source_Evolution!$L$3:$L$731,Source_Evolution!$A$3:$A$731,$A165)</f>
        <v/>
      </c>
      <c r="M165" s="17">
        <f>SUMIFS(Source_Evolution!$M$3:$M$731,Source_Evolution!$A$3:$A$731,$A165)</f>
        <v/>
      </c>
      <c r="N165" s="17">
        <f>SUMIFS(Source_Evolution!$N$3:$N$731,Source_Evolution!$A$3:$A$731,$A165)</f>
        <v/>
      </c>
      <c r="O165" s="17">
        <f>SUMIFS(Source_Evolution!$O$3:$O$731,Source_Evolution!$A$3:$A$731,$A165)</f>
        <v/>
      </c>
      <c r="P165" s="17">
        <f>SUMIFS(Source_Evolution!$P$3:$P$731,Source_Evolution!$A$3:$A$731,$A165)</f>
        <v/>
      </c>
      <c r="Q165" s="17">
        <f>SUMIFS(Source_Evolution!$Q$3:$Q$731,Source_Evolution!$A$3:$A$731,$A165)</f>
        <v/>
      </c>
      <c r="R165" s="17">
        <f>SUM(E165:Q165)</f>
        <v/>
      </c>
      <c r="S165" s="17">
        <f>Q165</f>
        <v/>
      </c>
      <c r="T165">
        <f>IF(B165="Software",1,0)</f>
        <v/>
      </c>
      <c r="U165" s="18">
        <f>SUMPRODUCT((Source_Evolution!$A$3:$A$731=$A165)*(Source_Evolution!$E$3:$E$731&gt;0))</f>
        <v/>
      </c>
      <c r="V165" s="18">
        <f>SUMPRODUCT((Source_Evolution!$A$3:$A$731=$A165)*(Source_Evolution!$F$3:$F$731&gt;0))</f>
        <v/>
      </c>
      <c r="W165" s="18">
        <f>SUMPRODUCT((Source_Evolution!$A$3:$A$731=$A165)*(Source_Evolution!$G$3:$G$731&gt;0))</f>
        <v/>
      </c>
      <c r="X165" s="18">
        <f>SUMPRODUCT((Source_Evolution!$A$3:$A$731=$A165)*(Source_Evolution!$H$3:$H$731&gt;0))</f>
        <v/>
      </c>
      <c r="Y165" s="18">
        <f>SUMPRODUCT((Source_Evolution!$A$3:$A$731=$A165)*(Source_Evolution!$I$3:$I$731&gt;0))</f>
        <v/>
      </c>
      <c r="Z165" s="18">
        <f>SUMPRODUCT((Source_Evolution!$A$3:$A$731=$A165)*(Source_Evolution!$J$3:$J$731&gt;0))</f>
        <v/>
      </c>
      <c r="AA165" s="18">
        <f>SUMPRODUCT((Source_Evolution!$A$3:$A$731=$A165)*(Source_Evolution!$K$3:$K$731&gt;0))</f>
        <v/>
      </c>
      <c r="AB165" s="18">
        <f>SUMPRODUCT((Source_Evolution!$A$3:$A$731=$A165)*(Source_Evolution!$L$3:$L$731&gt;0))</f>
        <v/>
      </c>
      <c r="AC165" s="18">
        <f>SUMPRODUCT((Source_Evolution!$A$3:$A$731=$A165)*(Source_Evolution!$M$3:$M$731&gt;0))</f>
        <v/>
      </c>
      <c r="AD165" s="18">
        <f>SUMPRODUCT((Source_Evolution!$A$3:$A$731=$A165)*(Source_Evolution!$N$3:$N$731&gt;0))</f>
        <v/>
      </c>
      <c r="AE165" s="18">
        <f>SUMPRODUCT((Source_Evolution!$A$3:$A$731=$A165)*(Source_Evolution!$O$3:$O$731&gt;0))</f>
        <v/>
      </c>
      <c r="AF165" s="18">
        <f>SUMPRODUCT((Source_Evolution!$A$3:$A$731=$A165)*(Source_Evolution!$P$3:$P$731&gt;0))</f>
        <v/>
      </c>
      <c r="AG165" s="18">
        <f>SUMPRODUCT((Source_Evolution!$A$3:$A$731=$A165)*(Source_Evolution!$Q$3:$Q$731&gt;0))</f>
        <v/>
      </c>
    </row>
    <row r="166">
      <c r="A166" t="inlineStr">
        <is>
          <t>Company 246</t>
        </is>
      </c>
      <c r="B166" t="inlineStr">
        <is>
          <t>Operations</t>
        </is>
      </c>
      <c r="C166" t="inlineStr">
        <is>
          <t>Italy</t>
        </is>
      </c>
      <c r="D166" t="n">
        <v>2014</v>
      </c>
      <c r="E166" s="17">
        <f>SUMIFS(Source_Evolution!$E$3:$E$731,Source_Evolution!$A$3:$A$731,$A166)</f>
        <v/>
      </c>
      <c r="F166" s="17">
        <f>SUMIFS(Source_Evolution!$F$3:$F$731,Source_Evolution!$A$3:$A$731,$A166)</f>
        <v/>
      </c>
      <c r="G166" s="17">
        <f>SUMIFS(Source_Evolution!$G$3:$G$731,Source_Evolution!$A$3:$A$731,$A166)</f>
        <v/>
      </c>
      <c r="H166" s="17">
        <f>SUMIFS(Source_Evolution!$H$3:$H$731,Source_Evolution!$A$3:$A$731,$A166)</f>
        <v/>
      </c>
      <c r="I166" s="17">
        <f>SUMIFS(Source_Evolution!$I$3:$I$731,Source_Evolution!$A$3:$A$731,$A166)</f>
        <v/>
      </c>
      <c r="J166" s="17">
        <f>SUMIFS(Source_Evolution!$J$3:$J$731,Source_Evolution!$A$3:$A$731,$A166)</f>
        <v/>
      </c>
      <c r="K166" s="17">
        <f>SUMIFS(Source_Evolution!$K$3:$K$731,Source_Evolution!$A$3:$A$731,$A166)</f>
        <v/>
      </c>
      <c r="L166" s="17">
        <f>SUMIFS(Source_Evolution!$L$3:$L$731,Source_Evolution!$A$3:$A$731,$A166)</f>
        <v/>
      </c>
      <c r="M166" s="17">
        <f>SUMIFS(Source_Evolution!$M$3:$M$731,Source_Evolution!$A$3:$A$731,$A166)</f>
        <v/>
      </c>
      <c r="N166" s="17">
        <f>SUMIFS(Source_Evolution!$N$3:$N$731,Source_Evolution!$A$3:$A$731,$A166)</f>
        <v/>
      </c>
      <c r="O166" s="17">
        <f>SUMIFS(Source_Evolution!$O$3:$O$731,Source_Evolution!$A$3:$A$731,$A166)</f>
        <v/>
      </c>
      <c r="P166" s="17">
        <f>SUMIFS(Source_Evolution!$P$3:$P$731,Source_Evolution!$A$3:$A$731,$A166)</f>
        <v/>
      </c>
      <c r="Q166" s="17">
        <f>SUMIFS(Source_Evolution!$Q$3:$Q$731,Source_Evolution!$A$3:$A$731,$A166)</f>
        <v/>
      </c>
      <c r="R166" s="17">
        <f>SUM(E166:Q166)</f>
        <v/>
      </c>
      <c r="S166" s="17">
        <f>Q166</f>
        <v/>
      </c>
      <c r="T166">
        <f>IF(B166="Software",1,0)</f>
        <v/>
      </c>
      <c r="U166" s="18">
        <f>SUMPRODUCT((Source_Evolution!$A$3:$A$731=$A166)*(Source_Evolution!$E$3:$E$731&gt;0))</f>
        <v/>
      </c>
      <c r="V166" s="18">
        <f>SUMPRODUCT((Source_Evolution!$A$3:$A$731=$A166)*(Source_Evolution!$F$3:$F$731&gt;0))</f>
        <v/>
      </c>
      <c r="W166" s="18">
        <f>SUMPRODUCT((Source_Evolution!$A$3:$A$731=$A166)*(Source_Evolution!$G$3:$G$731&gt;0))</f>
        <v/>
      </c>
      <c r="X166" s="18">
        <f>SUMPRODUCT((Source_Evolution!$A$3:$A$731=$A166)*(Source_Evolution!$H$3:$H$731&gt;0))</f>
        <v/>
      </c>
      <c r="Y166" s="18">
        <f>SUMPRODUCT((Source_Evolution!$A$3:$A$731=$A166)*(Source_Evolution!$I$3:$I$731&gt;0))</f>
        <v/>
      </c>
      <c r="Z166" s="18">
        <f>SUMPRODUCT((Source_Evolution!$A$3:$A$731=$A166)*(Source_Evolution!$J$3:$J$731&gt;0))</f>
        <v/>
      </c>
      <c r="AA166" s="18">
        <f>SUMPRODUCT((Source_Evolution!$A$3:$A$731=$A166)*(Source_Evolution!$K$3:$K$731&gt;0))</f>
        <v/>
      </c>
      <c r="AB166" s="18">
        <f>SUMPRODUCT((Source_Evolution!$A$3:$A$731=$A166)*(Source_Evolution!$L$3:$L$731&gt;0))</f>
        <v/>
      </c>
      <c r="AC166" s="18">
        <f>SUMPRODUCT((Source_Evolution!$A$3:$A$731=$A166)*(Source_Evolution!$M$3:$M$731&gt;0))</f>
        <v/>
      </c>
      <c r="AD166" s="18">
        <f>SUMPRODUCT((Source_Evolution!$A$3:$A$731=$A166)*(Source_Evolution!$N$3:$N$731&gt;0))</f>
        <v/>
      </c>
      <c r="AE166" s="18">
        <f>SUMPRODUCT((Source_Evolution!$A$3:$A$731=$A166)*(Source_Evolution!$O$3:$O$731&gt;0))</f>
        <v/>
      </c>
      <c r="AF166" s="18">
        <f>SUMPRODUCT((Source_Evolution!$A$3:$A$731=$A166)*(Source_Evolution!$P$3:$P$731&gt;0))</f>
        <v/>
      </c>
      <c r="AG166" s="18">
        <f>SUMPRODUCT((Source_Evolution!$A$3:$A$731=$A166)*(Source_Evolution!$Q$3:$Q$731&gt;0))</f>
        <v/>
      </c>
    </row>
    <row r="167">
      <c r="A167" t="inlineStr">
        <is>
          <t>Company 247</t>
        </is>
      </c>
      <c r="B167" t="inlineStr">
        <is>
          <t>Software</t>
        </is>
      </c>
      <c r="C167" t="inlineStr">
        <is>
          <t>Italy</t>
        </is>
      </c>
      <c r="D167" t="n">
        <v>2014</v>
      </c>
      <c r="E167" s="17">
        <f>SUMIFS(Source_Evolution!$E$3:$E$731,Source_Evolution!$A$3:$A$731,$A167)</f>
        <v/>
      </c>
      <c r="F167" s="17">
        <f>SUMIFS(Source_Evolution!$F$3:$F$731,Source_Evolution!$A$3:$A$731,$A167)</f>
        <v/>
      </c>
      <c r="G167" s="17">
        <f>SUMIFS(Source_Evolution!$G$3:$G$731,Source_Evolution!$A$3:$A$731,$A167)</f>
        <v/>
      </c>
      <c r="H167" s="17">
        <f>SUMIFS(Source_Evolution!$H$3:$H$731,Source_Evolution!$A$3:$A$731,$A167)</f>
        <v/>
      </c>
      <c r="I167" s="17">
        <f>SUMIFS(Source_Evolution!$I$3:$I$731,Source_Evolution!$A$3:$A$731,$A167)</f>
        <v/>
      </c>
      <c r="J167" s="17">
        <f>SUMIFS(Source_Evolution!$J$3:$J$731,Source_Evolution!$A$3:$A$731,$A167)</f>
        <v/>
      </c>
      <c r="K167" s="17">
        <f>SUMIFS(Source_Evolution!$K$3:$K$731,Source_Evolution!$A$3:$A$731,$A167)</f>
        <v/>
      </c>
      <c r="L167" s="17">
        <f>SUMIFS(Source_Evolution!$L$3:$L$731,Source_Evolution!$A$3:$A$731,$A167)</f>
        <v/>
      </c>
      <c r="M167" s="17">
        <f>SUMIFS(Source_Evolution!$M$3:$M$731,Source_Evolution!$A$3:$A$731,$A167)</f>
        <v/>
      </c>
      <c r="N167" s="17">
        <f>SUMIFS(Source_Evolution!$N$3:$N$731,Source_Evolution!$A$3:$A$731,$A167)</f>
        <v/>
      </c>
      <c r="O167" s="17">
        <f>SUMIFS(Source_Evolution!$O$3:$O$731,Source_Evolution!$A$3:$A$731,$A167)</f>
        <v/>
      </c>
      <c r="P167" s="17">
        <f>SUMIFS(Source_Evolution!$P$3:$P$731,Source_Evolution!$A$3:$A$731,$A167)</f>
        <v/>
      </c>
      <c r="Q167" s="17">
        <f>SUMIFS(Source_Evolution!$Q$3:$Q$731,Source_Evolution!$A$3:$A$731,$A167)</f>
        <v/>
      </c>
      <c r="R167" s="17">
        <f>SUM(E167:Q167)</f>
        <v/>
      </c>
      <c r="S167" s="17">
        <f>Q167</f>
        <v/>
      </c>
      <c r="T167">
        <f>IF(B167="Software",1,0)</f>
        <v/>
      </c>
      <c r="U167" s="18">
        <f>SUMPRODUCT((Source_Evolution!$A$3:$A$731=$A167)*(Source_Evolution!$E$3:$E$731&gt;0))</f>
        <v/>
      </c>
      <c r="V167" s="18">
        <f>SUMPRODUCT((Source_Evolution!$A$3:$A$731=$A167)*(Source_Evolution!$F$3:$F$731&gt;0))</f>
        <v/>
      </c>
      <c r="W167" s="18">
        <f>SUMPRODUCT((Source_Evolution!$A$3:$A$731=$A167)*(Source_Evolution!$G$3:$G$731&gt;0))</f>
        <v/>
      </c>
      <c r="X167" s="18">
        <f>SUMPRODUCT((Source_Evolution!$A$3:$A$731=$A167)*(Source_Evolution!$H$3:$H$731&gt;0))</f>
        <v/>
      </c>
      <c r="Y167" s="18">
        <f>SUMPRODUCT((Source_Evolution!$A$3:$A$731=$A167)*(Source_Evolution!$I$3:$I$731&gt;0))</f>
        <v/>
      </c>
      <c r="Z167" s="18">
        <f>SUMPRODUCT((Source_Evolution!$A$3:$A$731=$A167)*(Source_Evolution!$J$3:$J$731&gt;0))</f>
        <v/>
      </c>
      <c r="AA167" s="18">
        <f>SUMPRODUCT((Source_Evolution!$A$3:$A$731=$A167)*(Source_Evolution!$K$3:$K$731&gt;0))</f>
        <v/>
      </c>
      <c r="AB167" s="18">
        <f>SUMPRODUCT((Source_Evolution!$A$3:$A$731=$A167)*(Source_Evolution!$L$3:$L$731&gt;0))</f>
        <v/>
      </c>
      <c r="AC167" s="18">
        <f>SUMPRODUCT((Source_Evolution!$A$3:$A$731=$A167)*(Source_Evolution!$M$3:$M$731&gt;0))</f>
        <v/>
      </c>
      <c r="AD167" s="18">
        <f>SUMPRODUCT((Source_Evolution!$A$3:$A$731=$A167)*(Source_Evolution!$N$3:$N$731&gt;0))</f>
        <v/>
      </c>
      <c r="AE167" s="18">
        <f>SUMPRODUCT((Source_Evolution!$A$3:$A$731=$A167)*(Source_Evolution!$O$3:$O$731&gt;0))</f>
        <v/>
      </c>
      <c r="AF167" s="18">
        <f>SUMPRODUCT((Source_Evolution!$A$3:$A$731=$A167)*(Source_Evolution!$P$3:$P$731&gt;0))</f>
        <v/>
      </c>
      <c r="AG167" s="18">
        <f>SUMPRODUCT((Source_Evolution!$A$3:$A$731=$A167)*(Source_Evolution!$Q$3:$Q$731&gt;0))</f>
        <v/>
      </c>
    </row>
    <row r="168">
      <c r="A168" t="inlineStr">
        <is>
          <t>Company 248</t>
        </is>
      </c>
      <c r="B168" t="inlineStr">
        <is>
          <t>Software</t>
        </is>
      </c>
      <c r="C168" t="inlineStr">
        <is>
          <t>Germany</t>
        </is>
      </c>
      <c r="D168" t="n">
        <v>2016</v>
      </c>
      <c r="E168" s="17">
        <f>SUMIFS(Source_Evolution!$E$3:$E$731,Source_Evolution!$A$3:$A$731,$A168)</f>
        <v/>
      </c>
      <c r="F168" s="17">
        <f>SUMIFS(Source_Evolution!$F$3:$F$731,Source_Evolution!$A$3:$A$731,$A168)</f>
        <v/>
      </c>
      <c r="G168" s="17">
        <f>SUMIFS(Source_Evolution!$G$3:$G$731,Source_Evolution!$A$3:$A$731,$A168)</f>
        <v/>
      </c>
      <c r="H168" s="17">
        <f>SUMIFS(Source_Evolution!$H$3:$H$731,Source_Evolution!$A$3:$A$731,$A168)</f>
        <v/>
      </c>
      <c r="I168" s="17">
        <f>SUMIFS(Source_Evolution!$I$3:$I$731,Source_Evolution!$A$3:$A$731,$A168)</f>
        <v/>
      </c>
      <c r="J168" s="17">
        <f>SUMIFS(Source_Evolution!$J$3:$J$731,Source_Evolution!$A$3:$A$731,$A168)</f>
        <v/>
      </c>
      <c r="K168" s="17">
        <f>SUMIFS(Source_Evolution!$K$3:$K$731,Source_Evolution!$A$3:$A$731,$A168)</f>
        <v/>
      </c>
      <c r="L168" s="17">
        <f>SUMIFS(Source_Evolution!$L$3:$L$731,Source_Evolution!$A$3:$A$731,$A168)</f>
        <v/>
      </c>
      <c r="M168" s="17">
        <f>SUMIFS(Source_Evolution!$M$3:$M$731,Source_Evolution!$A$3:$A$731,$A168)</f>
        <v/>
      </c>
      <c r="N168" s="17">
        <f>SUMIFS(Source_Evolution!$N$3:$N$731,Source_Evolution!$A$3:$A$731,$A168)</f>
        <v/>
      </c>
      <c r="O168" s="17">
        <f>SUMIFS(Source_Evolution!$O$3:$O$731,Source_Evolution!$A$3:$A$731,$A168)</f>
        <v/>
      </c>
      <c r="P168" s="17">
        <f>SUMIFS(Source_Evolution!$P$3:$P$731,Source_Evolution!$A$3:$A$731,$A168)</f>
        <v/>
      </c>
      <c r="Q168" s="17">
        <f>SUMIFS(Source_Evolution!$Q$3:$Q$731,Source_Evolution!$A$3:$A$731,$A168)</f>
        <v/>
      </c>
      <c r="R168" s="17">
        <f>SUM(E168:Q168)</f>
        <v/>
      </c>
      <c r="S168" s="17">
        <f>Q168</f>
        <v/>
      </c>
      <c r="T168">
        <f>IF(B168="Software",1,0)</f>
        <v/>
      </c>
      <c r="U168" s="18">
        <f>SUMPRODUCT((Source_Evolution!$A$3:$A$731=$A168)*(Source_Evolution!$E$3:$E$731&gt;0))</f>
        <v/>
      </c>
      <c r="V168" s="18">
        <f>SUMPRODUCT((Source_Evolution!$A$3:$A$731=$A168)*(Source_Evolution!$F$3:$F$731&gt;0))</f>
        <v/>
      </c>
      <c r="W168" s="18">
        <f>SUMPRODUCT((Source_Evolution!$A$3:$A$731=$A168)*(Source_Evolution!$G$3:$G$731&gt;0))</f>
        <v/>
      </c>
      <c r="X168" s="18">
        <f>SUMPRODUCT((Source_Evolution!$A$3:$A$731=$A168)*(Source_Evolution!$H$3:$H$731&gt;0))</f>
        <v/>
      </c>
      <c r="Y168" s="18">
        <f>SUMPRODUCT((Source_Evolution!$A$3:$A$731=$A168)*(Source_Evolution!$I$3:$I$731&gt;0))</f>
        <v/>
      </c>
      <c r="Z168" s="18">
        <f>SUMPRODUCT((Source_Evolution!$A$3:$A$731=$A168)*(Source_Evolution!$J$3:$J$731&gt;0))</f>
        <v/>
      </c>
      <c r="AA168" s="18">
        <f>SUMPRODUCT((Source_Evolution!$A$3:$A$731=$A168)*(Source_Evolution!$K$3:$K$731&gt;0))</f>
        <v/>
      </c>
      <c r="AB168" s="18">
        <f>SUMPRODUCT((Source_Evolution!$A$3:$A$731=$A168)*(Source_Evolution!$L$3:$L$731&gt;0))</f>
        <v/>
      </c>
      <c r="AC168" s="18">
        <f>SUMPRODUCT((Source_Evolution!$A$3:$A$731=$A168)*(Source_Evolution!$M$3:$M$731&gt;0))</f>
        <v/>
      </c>
      <c r="AD168" s="18">
        <f>SUMPRODUCT((Source_Evolution!$A$3:$A$731=$A168)*(Source_Evolution!$N$3:$N$731&gt;0))</f>
        <v/>
      </c>
      <c r="AE168" s="18">
        <f>SUMPRODUCT((Source_Evolution!$A$3:$A$731=$A168)*(Source_Evolution!$O$3:$O$731&gt;0))</f>
        <v/>
      </c>
      <c r="AF168" s="18">
        <f>SUMPRODUCT((Source_Evolution!$A$3:$A$731=$A168)*(Source_Evolution!$P$3:$P$731&gt;0))</f>
        <v/>
      </c>
      <c r="AG168" s="18">
        <f>SUMPRODUCT((Source_Evolution!$A$3:$A$731=$A168)*(Source_Evolution!$Q$3:$Q$731&gt;0))</f>
        <v/>
      </c>
    </row>
    <row r="169">
      <c r="A169" t="inlineStr">
        <is>
          <t>Company 249</t>
        </is>
      </c>
      <c r="B169" t="inlineStr">
        <is>
          <t>Power</t>
        </is>
      </c>
      <c r="C169" t="inlineStr">
        <is>
          <t>Germany</t>
        </is>
      </c>
      <c r="D169" t="n">
        <v>2014</v>
      </c>
      <c r="E169" s="17">
        <f>SUMIFS(Source_Evolution!$E$3:$E$731,Source_Evolution!$A$3:$A$731,$A169)</f>
        <v/>
      </c>
      <c r="F169" s="17">
        <f>SUMIFS(Source_Evolution!$F$3:$F$731,Source_Evolution!$A$3:$A$731,$A169)</f>
        <v/>
      </c>
      <c r="G169" s="17">
        <f>SUMIFS(Source_Evolution!$G$3:$G$731,Source_Evolution!$A$3:$A$731,$A169)</f>
        <v/>
      </c>
      <c r="H169" s="17">
        <f>SUMIFS(Source_Evolution!$H$3:$H$731,Source_Evolution!$A$3:$A$731,$A169)</f>
        <v/>
      </c>
      <c r="I169" s="17">
        <f>SUMIFS(Source_Evolution!$I$3:$I$731,Source_Evolution!$A$3:$A$731,$A169)</f>
        <v/>
      </c>
      <c r="J169" s="17">
        <f>SUMIFS(Source_Evolution!$J$3:$J$731,Source_Evolution!$A$3:$A$731,$A169)</f>
        <v/>
      </c>
      <c r="K169" s="17">
        <f>SUMIFS(Source_Evolution!$K$3:$K$731,Source_Evolution!$A$3:$A$731,$A169)</f>
        <v/>
      </c>
      <c r="L169" s="17">
        <f>SUMIFS(Source_Evolution!$L$3:$L$731,Source_Evolution!$A$3:$A$731,$A169)</f>
        <v/>
      </c>
      <c r="M169" s="17">
        <f>SUMIFS(Source_Evolution!$M$3:$M$731,Source_Evolution!$A$3:$A$731,$A169)</f>
        <v/>
      </c>
      <c r="N169" s="17">
        <f>SUMIFS(Source_Evolution!$N$3:$N$731,Source_Evolution!$A$3:$A$731,$A169)</f>
        <v/>
      </c>
      <c r="O169" s="17">
        <f>SUMIFS(Source_Evolution!$O$3:$O$731,Source_Evolution!$A$3:$A$731,$A169)</f>
        <v/>
      </c>
      <c r="P169" s="17">
        <f>SUMIFS(Source_Evolution!$P$3:$P$731,Source_Evolution!$A$3:$A$731,$A169)</f>
        <v/>
      </c>
      <c r="Q169" s="17">
        <f>SUMIFS(Source_Evolution!$Q$3:$Q$731,Source_Evolution!$A$3:$A$731,$A169)</f>
        <v/>
      </c>
      <c r="R169" s="17">
        <f>SUM(E169:Q169)</f>
        <v/>
      </c>
      <c r="S169" s="17">
        <f>Q169</f>
        <v/>
      </c>
      <c r="T169">
        <f>IF(B169="Software",1,0)</f>
        <v/>
      </c>
      <c r="U169" s="18">
        <f>SUMPRODUCT((Source_Evolution!$A$3:$A$731=$A169)*(Source_Evolution!$E$3:$E$731&gt;0))</f>
        <v/>
      </c>
      <c r="V169" s="18">
        <f>SUMPRODUCT((Source_Evolution!$A$3:$A$731=$A169)*(Source_Evolution!$F$3:$F$731&gt;0))</f>
        <v/>
      </c>
      <c r="W169" s="18">
        <f>SUMPRODUCT((Source_Evolution!$A$3:$A$731=$A169)*(Source_Evolution!$G$3:$G$731&gt;0))</f>
        <v/>
      </c>
      <c r="X169" s="18">
        <f>SUMPRODUCT((Source_Evolution!$A$3:$A$731=$A169)*(Source_Evolution!$H$3:$H$731&gt;0))</f>
        <v/>
      </c>
      <c r="Y169" s="18">
        <f>SUMPRODUCT((Source_Evolution!$A$3:$A$731=$A169)*(Source_Evolution!$I$3:$I$731&gt;0))</f>
        <v/>
      </c>
      <c r="Z169" s="18">
        <f>SUMPRODUCT((Source_Evolution!$A$3:$A$731=$A169)*(Source_Evolution!$J$3:$J$731&gt;0))</f>
        <v/>
      </c>
      <c r="AA169" s="18">
        <f>SUMPRODUCT((Source_Evolution!$A$3:$A$731=$A169)*(Source_Evolution!$K$3:$K$731&gt;0))</f>
        <v/>
      </c>
      <c r="AB169" s="18">
        <f>SUMPRODUCT((Source_Evolution!$A$3:$A$731=$A169)*(Source_Evolution!$L$3:$L$731&gt;0))</f>
        <v/>
      </c>
      <c r="AC169" s="18">
        <f>SUMPRODUCT((Source_Evolution!$A$3:$A$731=$A169)*(Source_Evolution!$M$3:$M$731&gt;0))</f>
        <v/>
      </c>
      <c r="AD169" s="18">
        <f>SUMPRODUCT((Source_Evolution!$A$3:$A$731=$A169)*(Source_Evolution!$N$3:$N$731&gt;0))</f>
        <v/>
      </c>
      <c r="AE169" s="18">
        <f>SUMPRODUCT((Source_Evolution!$A$3:$A$731=$A169)*(Source_Evolution!$O$3:$O$731&gt;0))</f>
        <v/>
      </c>
      <c r="AF169" s="18">
        <f>SUMPRODUCT((Source_Evolution!$A$3:$A$731=$A169)*(Source_Evolution!$P$3:$P$731&gt;0))</f>
        <v/>
      </c>
      <c r="AG169" s="18">
        <f>SUMPRODUCT((Source_Evolution!$A$3:$A$731=$A169)*(Source_Evolution!$Q$3:$Q$731&gt;0))</f>
        <v/>
      </c>
    </row>
    <row r="170">
      <c r="A170" t="inlineStr">
        <is>
          <t>Company 25</t>
        </is>
      </c>
      <c r="B170" t="inlineStr">
        <is>
          <t>Operations</t>
        </is>
      </c>
      <c r="C170" t="inlineStr">
        <is>
          <t>Italy</t>
        </is>
      </c>
      <c r="D170" t="n">
        <v>2014</v>
      </c>
      <c r="E170" s="17">
        <f>SUMIFS(Source_Evolution!$E$3:$E$731,Source_Evolution!$A$3:$A$731,$A170)</f>
        <v/>
      </c>
      <c r="F170" s="17">
        <f>SUMIFS(Source_Evolution!$F$3:$F$731,Source_Evolution!$A$3:$A$731,$A170)</f>
        <v/>
      </c>
      <c r="G170" s="17">
        <f>SUMIFS(Source_Evolution!$G$3:$G$731,Source_Evolution!$A$3:$A$731,$A170)</f>
        <v/>
      </c>
      <c r="H170" s="17">
        <f>SUMIFS(Source_Evolution!$H$3:$H$731,Source_Evolution!$A$3:$A$731,$A170)</f>
        <v/>
      </c>
      <c r="I170" s="17">
        <f>SUMIFS(Source_Evolution!$I$3:$I$731,Source_Evolution!$A$3:$A$731,$A170)</f>
        <v/>
      </c>
      <c r="J170" s="17">
        <f>SUMIFS(Source_Evolution!$J$3:$J$731,Source_Evolution!$A$3:$A$731,$A170)</f>
        <v/>
      </c>
      <c r="K170" s="17">
        <f>SUMIFS(Source_Evolution!$K$3:$K$731,Source_Evolution!$A$3:$A$731,$A170)</f>
        <v/>
      </c>
      <c r="L170" s="17">
        <f>SUMIFS(Source_Evolution!$L$3:$L$731,Source_Evolution!$A$3:$A$731,$A170)</f>
        <v/>
      </c>
      <c r="M170" s="17">
        <f>SUMIFS(Source_Evolution!$M$3:$M$731,Source_Evolution!$A$3:$A$731,$A170)</f>
        <v/>
      </c>
      <c r="N170" s="17">
        <f>SUMIFS(Source_Evolution!$N$3:$N$731,Source_Evolution!$A$3:$A$731,$A170)</f>
        <v/>
      </c>
      <c r="O170" s="17">
        <f>SUMIFS(Source_Evolution!$O$3:$O$731,Source_Evolution!$A$3:$A$731,$A170)</f>
        <v/>
      </c>
      <c r="P170" s="17">
        <f>SUMIFS(Source_Evolution!$P$3:$P$731,Source_Evolution!$A$3:$A$731,$A170)</f>
        <v/>
      </c>
      <c r="Q170" s="17">
        <f>SUMIFS(Source_Evolution!$Q$3:$Q$731,Source_Evolution!$A$3:$A$731,$A170)</f>
        <v/>
      </c>
      <c r="R170" s="17">
        <f>SUM(E170:Q170)</f>
        <v/>
      </c>
      <c r="S170" s="17">
        <f>Q170</f>
        <v/>
      </c>
      <c r="T170">
        <f>IF(B170="Software",1,0)</f>
        <v/>
      </c>
      <c r="U170" s="18">
        <f>SUMPRODUCT((Source_Evolution!$A$3:$A$731=$A170)*(Source_Evolution!$E$3:$E$731&gt;0))</f>
        <v/>
      </c>
      <c r="V170" s="18">
        <f>SUMPRODUCT((Source_Evolution!$A$3:$A$731=$A170)*(Source_Evolution!$F$3:$F$731&gt;0))</f>
        <v/>
      </c>
      <c r="W170" s="18">
        <f>SUMPRODUCT((Source_Evolution!$A$3:$A$731=$A170)*(Source_Evolution!$G$3:$G$731&gt;0))</f>
        <v/>
      </c>
      <c r="X170" s="18">
        <f>SUMPRODUCT((Source_Evolution!$A$3:$A$731=$A170)*(Source_Evolution!$H$3:$H$731&gt;0))</f>
        <v/>
      </c>
      <c r="Y170" s="18">
        <f>SUMPRODUCT((Source_Evolution!$A$3:$A$731=$A170)*(Source_Evolution!$I$3:$I$731&gt;0))</f>
        <v/>
      </c>
      <c r="Z170" s="18">
        <f>SUMPRODUCT((Source_Evolution!$A$3:$A$731=$A170)*(Source_Evolution!$J$3:$J$731&gt;0))</f>
        <v/>
      </c>
      <c r="AA170" s="18">
        <f>SUMPRODUCT((Source_Evolution!$A$3:$A$731=$A170)*(Source_Evolution!$K$3:$K$731&gt;0))</f>
        <v/>
      </c>
      <c r="AB170" s="18">
        <f>SUMPRODUCT((Source_Evolution!$A$3:$A$731=$A170)*(Source_Evolution!$L$3:$L$731&gt;0))</f>
        <v/>
      </c>
      <c r="AC170" s="18">
        <f>SUMPRODUCT((Source_Evolution!$A$3:$A$731=$A170)*(Source_Evolution!$M$3:$M$731&gt;0))</f>
        <v/>
      </c>
      <c r="AD170" s="18">
        <f>SUMPRODUCT((Source_Evolution!$A$3:$A$731=$A170)*(Source_Evolution!$N$3:$N$731&gt;0))</f>
        <v/>
      </c>
      <c r="AE170" s="18">
        <f>SUMPRODUCT((Source_Evolution!$A$3:$A$731=$A170)*(Source_Evolution!$O$3:$O$731&gt;0))</f>
        <v/>
      </c>
      <c r="AF170" s="18">
        <f>SUMPRODUCT((Source_Evolution!$A$3:$A$731=$A170)*(Source_Evolution!$P$3:$P$731&gt;0))</f>
        <v/>
      </c>
      <c r="AG170" s="18">
        <f>SUMPRODUCT((Source_Evolution!$A$3:$A$731=$A170)*(Source_Evolution!$Q$3:$Q$731&gt;0))</f>
        <v/>
      </c>
    </row>
    <row r="171">
      <c r="A171" t="inlineStr">
        <is>
          <t>Company 250</t>
        </is>
      </c>
      <c r="B171" t="inlineStr">
        <is>
          <t>Software</t>
        </is>
      </c>
      <c r="C171" t="inlineStr">
        <is>
          <t>Austria</t>
        </is>
      </c>
      <c r="D171" t="n">
        <v>2022</v>
      </c>
      <c r="E171" s="17">
        <f>SUMIFS(Source_Evolution!$E$3:$E$731,Source_Evolution!$A$3:$A$731,$A171)</f>
        <v/>
      </c>
      <c r="F171" s="17">
        <f>SUMIFS(Source_Evolution!$F$3:$F$731,Source_Evolution!$A$3:$A$731,$A171)</f>
        <v/>
      </c>
      <c r="G171" s="17">
        <f>SUMIFS(Source_Evolution!$G$3:$G$731,Source_Evolution!$A$3:$A$731,$A171)</f>
        <v/>
      </c>
      <c r="H171" s="17">
        <f>SUMIFS(Source_Evolution!$H$3:$H$731,Source_Evolution!$A$3:$A$731,$A171)</f>
        <v/>
      </c>
      <c r="I171" s="17">
        <f>SUMIFS(Source_Evolution!$I$3:$I$731,Source_Evolution!$A$3:$A$731,$A171)</f>
        <v/>
      </c>
      <c r="J171" s="17">
        <f>SUMIFS(Source_Evolution!$J$3:$J$731,Source_Evolution!$A$3:$A$731,$A171)</f>
        <v/>
      </c>
      <c r="K171" s="17">
        <f>SUMIFS(Source_Evolution!$K$3:$K$731,Source_Evolution!$A$3:$A$731,$A171)</f>
        <v/>
      </c>
      <c r="L171" s="17">
        <f>SUMIFS(Source_Evolution!$L$3:$L$731,Source_Evolution!$A$3:$A$731,$A171)</f>
        <v/>
      </c>
      <c r="M171" s="17">
        <f>SUMIFS(Source_Evolution!$M$3:$M$731,Source_Evolution!$A$3:$A$731,$A171)</f>
        <v/>
      </c>
      <c r="N171" s="17">
        <f>SUMIFS(Source_Evolution!$N$3:$N$731,Source_Evolution!$A$3:$A$731,$A171)</f>
        <v/>
      </c>
      <c r="O171" s="17">
        <f>SUMIFS(Source_Evolution!$O$3:$O$731,Source_Evolution!$A$3:$A$731,$A171)</f>
        <v/>
      </c>
      <c r="P171" s="17">
        <f>SUMIFS(Source_Evolution!$P$3:$P$731,Source_Evolution!$A$3:$A$731,$A171)</f>
        <v/>
      </c>
      <c r="Q171" s="17">
        <f>SUMIFS(Source_Evolution!$Q$3:$Q$731,Source_Evolution!$A$3:$A$731,$A171)</f>
        <v/>
      </c>
      <c r="R171" s="17">
        <f>SUM(E171:Q171)</f>
        <v/>
      </c>
      <c r="S171" s="17">
        <f>Q171</f>
        <v/>
      </c>
      <c r="T171">
        <f>IF(B171="Software",1,0)</f>
        <v/>
      </c>
      <c r="U171" s="18">
        <f>SUMPRODUCT((Source_Evolution!$A$3:$A$731=$A171)*(Source_Evolution!$E$3:$E$731&gt;0))</f>
        <v/>
      </c>
      <c r="V171" s="18">
        <f>SUMPRODUCT((Source_Evolution!$A$3:$A$731=$A171)*(Source_Evolution!$F$3:$F$731&gt;0))</f>
        <v/>
      </c>
      <c r="W171" s="18">
        <f>SUMPRODUCT((Source_Evolution!$A$3:$A$731=$A171)*(Source_Evolution!$G$3:$G$731&gt;0))</f>
        <v/>
      </c>
      <c r="X171" s="18">
        <f>SUMPRODUCT((Source_Evolution!$A$3:$A$731=$A171)*(Source_Evolution!$H$3:$H$731&gt;0))</f>
        <v/>
      </c>
      <c r="Y171" s="18">
        <f>SUMPRODUCT((Source_Evolution!$A$3:$A$731=$A171)*(Source_Evolution!$I$3:$I$731&gt;0))</f>
        <v/>
      </c>
      <c r="Z171" s="18">
        <f>SUMPRODUCT((Source_Evolution!$A$3:$A$731=$A171)*(Source_Evolution!$J$3:$J$731&gt;0))</f>
        <v/>
      </c>
      <c r="AA171" s="18">
        <f>SUMPRODUCT((Source_Evolution!$A$3:$A$731=$A171)*(Source_Evolution!$K$3:$K$731&gt;0))</f>
        <v/>
      </c>
      <c r="AB171" s="18">
        <f>SUMPRODUCT((Source_Evolution!$A$3:$A$731=$A171)*(Source_Evolution!$L$3:$L$731&gt;0))</f>
        <v/>
      </c>
      <c r="AC171" s="18">
        <f>SUMPRODUCT((Source_Evolution!$A$3:$A$731=$A171)*(Source_Evolution!$M$3:$M$731&gt;0))</f>
        <v/>
      </c>
      <c r="AD171" s="18">
        <f>SUMPRODUCT((Source_Evolution!$A$3:$A$731=$A171)*(Source_Evolution!$N$3:$N$731&gt;0))</f>
        <v/>
      </c>
      <c r="AE171" s="18">
        <f>SUMPRODUCT((Source_Evolution!$A$3:$A$731=$A171)*(Source_Evolution!$O$3:$O$731&gt;0))</f>
        <v/>
      </c>
      <c r="AF171" s="18">
        <f>SUMPRODUCT((Source_Evolution!$A$3:$A$731=$A171)*(Source_Evolution!$P$3:$P$731&gt;0))</f>
        <v/>
      </c>
      <c r="AG171" s="18">
        <f>SUMPRODUCT((Source_Evolution!$A$3:$A$731=$A171)*(Source_Evolution!$Q$3:$Q$731&gt;0))</f>
        <v/>
      </c>
    </row>
    <row r="172">
      <c r="A172" t="inlineStr">
        <is>
          <t>Company 252</t>
        </is>
      </c>
      <c r="B172" t="inlineStr">
        <is>
          <t>Operations</t>
        </is>
      </c>
      <c r="C172" t="inlineStr">
        <is>
          <t>UK</t>
        </is>
      </c>
      <c r="D172" t="n">
        <v>2015</v>
      </c>
      <c r="E172" s="17">
        <f>SUMIFS(Source_Evolution!$E$3:$E$731,Source_Evolution!$A$3:$A$731,$A172)</f>
        <v/>
      </c>
      <c r="F172" s="17">
        <f>SUMIFS(Source_Evolution!$F$3:$F$731,Source_Evolution!$A$3:$A$731,$A172)</f>
        <v/>
      </c>
      <c r="G172" s="17">
        <f>SUMIFS(Source_Evolution!$G$3:$G$731,Source_Evolution!$A$3:$A$731,$A172)</f>
        <v/>
      </c>
      <c r="H172" s="17">
        <f>SUMIFS(Source_Evolution!$H$3:$H$731,Source_Evolution!$A$3:$A$731,$A172)</f>
        <v/>
      </c>
      <c r="I172" s="17">
        <f>SUMIFS(Source_Evolution!$I$3:$I$731,Source_Evolution!$A$3:$A$731,$A172)</f>
        <v/>
      </c>
      <c r="J172" s="17">
        <f>SUMIFS(Source_Evolution!$J$3:$J$731,Source_Evolution!$A$3:$A$731,$A172)</f>
        <v/>
      </c>
      <c r="K172" s="17">
        <f>SUMIFS(Source_Evolution!$K$3:$K$731,Source_Evolution!$A$3:$A$731,$A172)</f>
        <v/>
      </c>
      <c r="L172" s="17">
        <f>SUMIFS(Source_Evolution!$L$3:$L$731,Source_Evolution!$A$3:$A$731,$A172)</f>
        <v/>
      </c>
      <c r="M172" s="17">
        <f>SUMIFS(Source_Evolution!$M$3:$M$731,Source_Evolution!$A$3:$A$731,$A172)</f>
        <v/>
      </c>
      <c r="N172" s="17">
        <f>SUMIFS(Source_Evolution!$N$3:$N$731,Source_Evolution!$A$3:$A$731,$A172)</f>
        <v/>
      </c>
      <c r="O172" s="17">
        <f>SUMIFS(Source_Evolution!$O$3:$O$731,Source_Evolution!$A$3:$A$731,$A172)</f>
        <v/>
      </c>
      <c r="P172" s="17">
        <f>SUMIFS(Source_Evolution!$P$3:$P$731,Source_Evolution!$A$3:$A$731,$A172)</f>
        <v/>
      </c>
      <c r="Q172" s="17">
        <f>SUMIFS(Source_Evolution!$Q$3:$Q$731,Source_Evolution!$A$3:$A$731,$A172)</f>
        <v/>
      </c>
      <c r="R172" s="17">
        <f>SUM(E172:Q172)</f>
        <v/>
      </c>
      <c r="S172" s="17">
        <f>Q172</f>
        <v/>
      </c>
      <c r="T172">
        <f>IF(B172="Software",1,0)</f>
        <v/>
      </c>
      <c r="U172" s="18">
        <f>SUMPRODUCT((Source_Evolution!$A$3:$A$731=$A172)*(Source_Evolution!$E$3:$E$731&gt;0))</f>
        <v/>
      </c>
      <c r="V172" s="18">
        <f>SUMPRODUCT((Source_Evolution!$A$3:$A$731=$A172)*(Source_Evolution!$F$3:$F$731&gt;0))</f>
        <v/>
      </c>
      <c r="W172" s="18">
        <f>SUMPRODUCT((Source_Evolution!$A$3:$A$731=$A172)*(Source_Evolution!$G$3:$G$731&gt;0))</f>
        <v/>
      </c>
      <c r="X172" s="18">
        <f>SUMPRODUCT((Source_Evolution!$A$3:$A$731=$A172)*(Source_Evolution!$H$3:$H$731&gt;0))</f>
        <v/>
      </c>
      <c r="Y172" s="18">
        <f>SUMPRODUCT((Source_Evolution!$A$3:$A$731=$A172)*(Source_Evolution!$I$3:$I$731&gt;0))</f>
        <v/>
      </c>
      <c r="Z172" s="18">
        <f>SUMPRODUCT((Source_Evolution!$A$3:$A$731=$A172)*(Source_Evolution!$J$3:$J$731&gt;0))</f>
        <v/>
      </c>
      <c r="AA172" s="18">
        <f>SUMPRODUCT((Source_Evolution!$A$3:$A$731=$A172)*(Source_Evolution!$K$3:$K$731&gt;0))</f>
        <v/>
      </c>
      <c r="AB172" s="18">
        <f>SUMPRODUCT((Source_Evolution!$A$3:$A$731=$A172)*(Source_Evolution!$L$3:$L$731&gt;0))</f>
        <v/>
      </c>
      <c r="AC172" s="18">
        <f>SUMPRODUCT((Source_Evolution!$A$3:$A$731=$A172)*(Source_Evolution!$M$3:$M$731&gt;0))</f>
        <v/>
      </c>
      <c r="AD172" s="18">
        <f>SUMPRODUCT((Source_Evolution!$A$3:$A$731=$A172)*(Source_Evolution!$N$3:$N$731&gt;0))</f>
        <v/>
      </c>
      <c r="AE172" s="18">
        <f>SUMPRODUCT((Source_Evolution!$A$3:$A$731=$A172)*(Source_Evolution!$O$3:$O$731&gt;0))</f>
        <v/>
      </c>
      <c r="AF172" s="18">
        <f>SUMPRODUCT((Source_Evolution!$A$3:$A$731=$A172)*(Source_Evolution!$P$3:$P$731&gt;0))</f>
        <v/>
      </c>
      <c r="AG172" s="18">
        <f>SUMPRODUCT((Source_Evolution!$A$3:$A$731=$A172)*(Source_Evolution!$Q$3:$Q$731&gt;0))</f>
        <v/>
      </c>
    </row>
    <row r="173">
      <c r="A173" t="inlineStr">
        <is>
          <t>Company 253</t>
        </is>
      </c>
      <c r="B173" t="inlineStr">
        <is>
          <t>Operations</t>
        </is>
      </c>
      <c r="C173" t="inlineStr">
        <is>
          <t>UK</t>
        </is>
      </c>
      <c r="D173" t="n">
        <v>2014</v>
      </c>
      <c r="E173" s="17">
        <f>SUMIFS(Source_Evolution!$E$3:$E$731,Source_Evolution!$A$3:$A$731,$A173)</f>
        <v/>
      </c>
      <c r="F173" s="17">
        <f>SUMIFS(Source_Evolution!$F$3:$F$731,Source_Evolution!$A$3:$A$731,$A173)</f>
        <v/>
      </c>
      <c r="G173" s="17">
        <f>SUMIFS(Source_Evolution!$G$3:$G$731,Source_Evolution!$A$3:$A$731,$A173)</f>
        <v/>
      </c>
      <c r="H173" s="17">
        <f>SUMIFS(Source_Evolution!$H$3:$H$731,Source_Evolution!$A$3:$A$731,$A173)</f>
        <v/>
      </c>
      <c r="I173" s="17">
        <f>SUMIFS(Source_Evolution!$I$3:$I$731,Source_Evolution!$A$3:$A$731,$A173)</f>
        <v/>
      </c>
      <c r="J173" s="17">
        <f>SUMIFS(Source_Evolution!$J$3:$J$731,Source_Evolution!$A$3:$A$731,$A173)</f>
        <v/>
      </c>
      <c r="K173" s="17">
        <f>SUMIFS(Source_Evolution!$K$3:$K$731,Source_Evolution!$A$3:$A$731,$A173)</f>
        <v/>
      </c>
      <c r="L173" s="17">
        <f>SUMIFS(Source_Evolution!$L$3:$L$731,Source_Evolution!$A$3:$A$731,$A173)</f>
        <v/>
      </c>
      <c r="M173" s="17">
        <f>SUMIFS(Source_Evolution!$M$3:$M$731,Source_Evolution!$A$3:$A$731,$A173)</f>
        <v/>
      </c>
      <c r="N173" s="17">
        <f>SUMIFS(Source_Evolution!$N$3:$N$731,Source_Evolution!$A$3:$A$731,$A173)</f>
        <v/>
      </c>
      <c r="O173" s="17">
        <f>SUMIFS(Source_Evolution!$O$3:$O$731,Source_Evolution!$A$3:$A$731,$A173)</f>
        <v/>
      </c>
      <c r="P173" s="17">
        <f>SUMIFS(Source_Evolution!$P$3:$P$731,Source_Evolution!$A$3:$A$731,$A173)</f>
        <v/>
      </c>
      <c r="Q173" s="17">
        <f>SUMIFS(Source_Evolution!$Q$3:$Q$731,Source_Evolution!$A$3:$A$731,$A173)</f>
        <v/>
      </c>
      <c r="R173" s="17">
        <f>SUM(E173:Q173)</f>
        <v/>
      </c>
      <c r="S173" s="17">
        <f>Q173</f>
        <v/>
      </c>
      <c r="T173">
        <f>IF(B173="Software",1,0)</f>
        <v/>
      </c>
      <c r="U173" s="18">
        <f>SUMPRODUCT((Source_Evolution!$A$3:$A$731=$A173)*(Source_Evolution!$E$3:$E$731&gt;0))</f>
        <v/>
      </c>
      <c r="V173" s="18">
        <f>SUMPRODUCT((Source_Evolution!$A$3:$A$731=$A173)*(Source_Evolution!$F$3:$F$731&gt;0))</f>
        <v/>
      </c>
      <c r="W173" s="18">
        <f>SUMPRODUCT((Source_Evolution!$A$3:$A$731=$A173)*(Source_Evolution!$G$3:$G$731&gt;0))</f>
        <v/>
      </c>
      <c r="X173" s="18">
        <f>SUMPRODUCT((Source_Evolution!$A$3:$A$731=$A173)*(Source_Evolution!$H$3:$H$731&gt;0))</f>
        <v/>
      </c>
      <c r="Y173" s="18">
        <f>SUMPRODUCT((Source_Evolution!$A$3:$A$731=$A173)*(Source_Evolution!$I$3:$I$731&gt;0))</f>
        <v/>
      </c>
      <c r="Z173" s="18">
        <f>SUMPRODUCT((Source_Evolution!$A$3:$A$731=$A173)*(Source_Evolution!$J$3:$J$731&gt;0))</f>
        <v/>
      </c>
      <c r="AA173" s="18">
        <f>SUMPRODUCT((Source_Evolution!$A$3:$A$731=$A173)*(Source_Evolution!$K$3:$K$731&gt;0))</f>
        <v/>
      </c>
      <c r="AB173" s="18">
        <f>SUMPRODUCT((Source_Evolution!$A$3:$A$731=$A173)*(Source_Evolution!$L$3:$L$731&gt;0))</f>
        <v/>
      </c>
      <c r="AC173" s="18">
        <f>SUMPRODUCT((Source_Evolution!$A$3:$A$731=$A173)*(Source_Evolution!$M$3:$M$731&gt;0))</f>
        <v/>
      </c>
      <c r="AD173" s="18">
        <f>SUMPRODUCT((Source_Evolution!$A$3:$A$731=$A173)*(Source_Evolution!$N$3:$N$731&gt;0))</f>
        <v/>
      </c>
      <c r="AE173" s="18">
        <f>SUMPRODUCT((Source_Evolution!$A$3:$A$731=$A173)*(Source_Evolution!$O$3:$O$731&gt;0))</f>
        <v/>
      </c>
      <c r="AF173" s="18">
        <f>SUMPRODUCT((Source_Evolution!$A$3:$A$731=$A173)*(Source_Evolution!$P$3:$P$731&gt;0))</f>
        <v/>
      </c>
      <c r="AG173" s="18">
        <f>SUMPRODUCT((Source_Evolution!$A$3:$A$731=$A173)*(Source_Evolution!$Q$3:$Q$731&gt;0))</f>
        <v/>
      </c>
    </row>
    <row r="174">
      <c r="A174" t="inlineStr">
        <is>
          <t>Company 254</t>
        </is>
      </c>
      <c r="B174" t="inlineStr">
        <is>
          <t>Operations</t>
        </is>
      </c>
      <c r="C174" t="inlineStr">
        <is>
          <t>UK</t>
        </is>
      </c>
      <c r="D174" t="n">
        <v>2014</v>
      </c>
      <c r="E174" s="17">
        <f>SUMIFS(Source_Evolution!$E$3:$E$731,Source_Evolution!$A$3:$A$731,$A174)</f>
        <v/>
      </c>
      <c r="F174" s="17">
        <f>SUMIFS(Source_Evolution!$F$3:$F$731,Source_Evolution!$A$3:$A$731,$A174)</f>
        <v/>
      </c>
      <c r="G174" s="17">
        <f>SUMIFS(Source_Evolution!$G$3:$G$731,Source_Evolution!$A$3:$A$731,$A174)</f>
        <v/>
      </c>
      <c r="H174" s="17">
        <f>SUMIFS(Source_Evolution!$H$3:$H$731,Source_Evolution!$A$3:$A$731,$A174)</f>
        <v/>
      </c>
      <c r="I174" s="17">
        <f>SUMIFS(Source_Evolution!$I$3:$I$731,Source_Evolution!$A$3:$A$731,$A174)</f>
        <v/>
      </c>
      <c r="J174" s="17">
        <f>SUMIFS(Source_Evolution!$J$3:$J$731,Source_Evolution!$A$3:$A$731,$A174)</f>
        <v/>
      </c>
      <c r="K174" s="17">
        <f>SUMIFS(Source_Evolution!$K$3:$K$731,Source_Evolution!$A$3:$A$731,$A174)</f>
        <v/>
      </c>
      <c r="L174" s="17">
        <f>SUMIFS(Source_Evolution!$L$3:$L$731,Source_Evolution!$A$3:$A$731,$A174)</f>
        <v/>
      </c>
      <c r="M174" s="17">
        <f>SUMIFS(Source_Evolution!$M$3:$M$731,Source_Evolution!$A$3:$A$731,$A174)</f>
        <v/>
      </c>
      <c r="N174" s="17">
        <f>SUMIFS(Source_Evolution!$N$3:$N$731,Source_Evolution!$A$3:$A$731,$A174)</f>
        <v/>
      </c>
      <c r="O174" s="17">
        <f>SUMIFS(Source_Evolution!$O$3:$O$731,Source_Evolution!$A$3:$A$731,$A174)</f>
        <v/>
      </c>
      <c r="P174" s="17">
        <f>SUMIFS(Source_Evolution!$P$3:$P$731,Source_Evolution!$A$3:$A$731,$A174)</f>
        <v/>
      </c>
      <c r="Q174" s="17">
        <f>SUMIFS(Source_Evolution!$Q$3:$Q$731,Source_Evolution!$A$3:$A$731,$A174)</f>
        <v/>
      </c>
      <c r="R174" s="17">
        <f>SUM(E174:Q174)</f>
        <v/>
      </c>
      <c r="S174" s="17">
        <f>Q174</f>
        <v/>
      </c>
      <c r="T174">
        <f>IF(B174="Software",1,0)</f>
        <v/>
      </c>
      <c r="U174" s="18">
        <f>SUMPRODUCT((Source_Evolution!$A$3:$A$731=$A174)*(Source_Evolution!$E$3:$E$731&gt;0))</f>
        <v/>
      </c>
      <c r="V174" s="18">
        <f>SUMPRODUCT((Source_Evolution!$A$3:$A$731=$A174)*(Source_Evolution!$F$3:$F$731&gt;0))</f>
        <v/>
      </c>
      <c r="W174" s="18">
        <f>SUMPRODUCT((Source_Evolution!$A$3:$A$731=$A174)*(Source_Evolution!$G$3:$G$731&gt;0))</f>
        <v/>
      </c>
      <c r="X174" s="18">
        <f>SUMPRODUCT((Source_Evolution!$A$3:$A$731=$A174)*(Source_Evolution!$H$3:$H$731&gt;0))</f>
        <v/>
      </c>
      <c r="Y174" s="18">
        <f>SUMPRODUCT((Source_Evolution!$A$3:$A$731=$A174)*(Source_Evolution!$I$3:$I$731&gt;0))</f>
        <v/>
      </c>
      <c r="Z174" s="18">
        <f>SUMPRODUCT((Source_Evolution!$A$3:$A$731=$A174)*(Source_Evolution!$J$3:$J$731&gt;0))</f>
        <v/>
      </c>
      <c r="AA174" s="18">
        <f>SUMPRODUCT((Source_Evolution!$A$3:$A$731=$A174)*(Source_Evolution!$K$3:$K$731&gt;0))</f>
        <v/>
      </c>
      <c r="AB174" s="18">
        <f>SUMPRODUCT((Source_Evolution!$A$3:$A$731=$A174)*(Source_Evolution!$L$3:$L$731&gt;0))</f>
        <v/>
      </c>
      <c r="AC174" s="18">
        <f>SUMPRODUCT((Source_Evolution!$A$3:$A$731=$A174)*(Source_Evolution!$M$3:$M$731&gt;0))</f>
        <v/>
      </c>
      <c r="AD174" s="18">
        <f>SUMPRODUCT((Source_Evolution!$A$3:$A$731=$A174)*(Source_Evolution!$N$3:$N$731&gt;0))</f>
        <v/>
      </c>
      <c r="AE174" s="18">
        <f>SUMPRODUCT((Source_Evolution!$A$3:$A$731=$A174)*(Source_Evolution!$O$3:$O$731&gt;0))</f>
        <v/>
      </c>
      <c r="AF174" s="18">
        <f>SUMPRODUCT((Source_Evolution!$A$3:$A$731=$A174)*(Source_Evolution!$P$3:$P$731&gt;0))</f>
        <v/>
      </c>
      <c r="AG174" s="18">
        <f>SUMPRODUCT((Source_Evolution!$A$3:$A$731=$A174)*(Source_Evolution!$Q$3:$Q$731&gt;0))</f>
        <v/>
      </c>
    </row>
    <row r="175">
      <c r="A175" t="inlineStr">
        <is>
          <t>Company 255</t>
        </is>
      </c>
      <c r="B175" t="inlineStr">
        <is>
          <t>Operations</t>
        </is>
      </c>
      <c r="C175" t="inlineStr">
        <is>
          <t>UK</t>
        </is>
      </c>
      <c r="D175" t="n">
        <v>2019</v>
      </c>
      <c r="E175" s="17">
        <f>SUMIFS(Source_Evolution!$E$3:$E$731,Source_Evolution!$A$3:$A$731,$A175)</f>
        <v/>
      </c>
      <c r="F175" s="17">
        <f>SUMIFS(Source_Evolution!$F$3:$F$731,Source_Evolution!$A$3:$A$731,$A175)</f>
        <v/>
      </c>
      <c r="G175" s="17">
        <f>SUMIFS(Source_Evolution!$G$3:$G$731,Source_Evolution!$A$3:$A$731,$A175)</f>
        <v/>
      </c>
      <c r="H175" s="17">
        <f>SUMIFS(Source_Evolution!$H$3:$H$731,Source_Evolution!$A$3:$A$731,$A175)</f>
        <v/>
      </c>
      <c r="I175" s="17">
        <f>SUMIFS(Source_Evolution!$I$3:$I$731,Source_Evolution!$A$3:$A$731,$A175)</f>
        <v/>
      </c>
      <c r="J175" s="17">
        <f>SUMIFS(Source_Evolution!$J$3:$J$731,Source_Evolution!$A$3:$A$731,$A175)</f>
        <v/>
      </c>
      <c r="K175" s="17">
        <f>SUMIFS(Source_Evolution!$K$3:$K$731,Source_Evolution!$A$3:$A$731,$A175)</f>
        <v/>
      </c>
      <c r="L175" s="17">
        <f>SUMIFS(Source_Evolution!$L$3:$L$731,Source_Evolution!$A$3:$A$731,$A175)</f>
        <v/>
      </c>
      <c r="M175" s="17">
        <f>SUMIFS(Source_Evolution!$M$3:$M$731,Source_Evolution!$A$3:$A$731,$A175)</f>
        <v/>
      </c>
      <c r="N175" s="17">
        <f>SUMIFS(Source_Evolution!$N$3:$N$731,Source_Evolution!$A$3:$A$731,$A175)</f>
        <v/>
      </c>
      <c r="O175" s="17">
        <f>SUMIFS(Source_Evolution!$O$3:$O$731,Source_Evolution!$A$3:$A$731,$A175)</f>
        <v/>
      </c>
      <c r="P175" s="17">
        <f>SUMIFS(Source_Evolution!$P$3:$P$731,Source_Evolution!$A$3:$A$731,$A175)</f>
        <v/>
      </c>
      <c r="Q175" s="17">
        <f>SUMIFS(Source_Evolution!$Q$3:$Q$731,Source_Evolution!$A$3:$A$731,$A175)</f>
        <v/>
      </c>
      <c r="R175" s="17">
        <f>SUM(E175:Q175)</f>
        <v/>
      </c>
      <c r="S175" s="17">
        <f>Q175</f>
        <v/>
      </c>
      <c r="T175">
        <f>IF(B175="Software",1,0)</f>
        <v/>
      </c>
      <c r="U175" s="18">
        <f>SUMPRODUCT((Source_Evolution!$A$3:$A$731=$A175)*(Source_Evolution!$E$3:$E$731&gt;0))</f>
        <v/>
      </c>
      <c r="V175" s="18">
        <f>SUMPRODUCT((Source_Evolution!$A$3:$A$731=$A175)*(Source_Evolution!$F$3:$F$731&gt;0))</f>
        <v/>
      </c>
      <c r="W175" s="18">
        <f>SUMPRODUCT((Source_Evolution!$A$3:$A$731=$A175)*(Source_Evolution!$G$3:$G$731&gt;0))</f>
        <v/>
      </c>
      <c r="X175" s="18">
        <f>SUMPRODUCT((Source_Evolution!$A$3:$A$731=$A175)*(Source_Evolution!$H$3:$H$731&gt;0))</f>
        <v/>
      </c>
      <c r="Y175" s="18">
        <f>SUMPRODUCT((Source_Evolution!$A$3:$A$731=$A175)*(Source_Evolution!$I$3:$I$731&gt;0))</f>
        <v/>
      </c>
      <c r="Z175" s="18">
        <f>SUMPRODUCT((Source_Evolution!$A$3:$A$731=$A175)*(Source_Evolution!$J$3:$J$731&gt;0))</f>
        <v/>
      </c>
      <c r="AA175" s="18">
        <f>SUMPRODUCT((Source_Evolution!$A$3:$A$731=$A175)*(Source_Evolution!$K$3:$K$731&gt;0))</f>
        <v/>
      </c>
      <c r="AB175" s="18">
        <f>SUMPRODUCT((Source_Evolution!$A$3:$A$731=$A175)*(Source_Evolution!$L$3:$L$731&gt;0))</f>
        <v/>
      </c>
      <c r="AC175" s="18">
        <f>SUMPRODUCT((Source_Evolution!$A$3:$A$731=$A175)*(Source_Evolution!$M$3:$M$731&gt;0))</f>
        <v/>
      </c>
      <c r="AD175" s="18">
        <f>SUMPRODUCT((Source_Evolution!$A$3:$A$731=$A175)*(Source_Evolution!$N$3:$N$731&gt;0))</f>
        <v/>
      </c>
      <c r="AE175" s="18">
        <f>SUMPRODUCT((Source_Evolution!$A$3:$A$731=$A175)*(Source_Evolution!$O$3:$O$731&gt;0))</f>
        <v/>
      </c>
      <c r="AF175" s="18">
        <f>SUMPRODUCT((Source_Evolution!$A$3:$A$731=$A175)*(Source_Evolution!$P$3:$P$731&gt;0))</f>
        <v/>
      </c>
      <c r="AG175" s="18">
        <f>SUMPRODUCT((Source_Evolution!$A$3:$A$731=$A175)*(Source_Evolution!$Q$3:$Q$731&gt;0))</f>
        <v/>
      </c>
    </row>
    <row r="176">
      <c r="A176" t="inlineStr">
        <is>
          <t>Company 256</t>
        </is>
      </c>
      <c r="B176" t="inlineStr">
        <is>
          <t>Software</t>
        </is>
      </c>
      <c r="C176" t="inlineStr">
        <is>
          <t>Switzerland</t>
        </is>
      </c>
      <c r="D176" t="n">
        <v>2014</v>
      </c>
      <c r="E176" s="17">
        <f>SUMIFS(Source_Evolution!$E$3:$E$731,Source_Evolution!$A$3:$A$731,$A176)</f>
        <v/>
      </c>
      <c r="F176" s="17">
        <f>SUMIFS(Source_Evolution!$F$3:$F$731,Source_Evolution!$A$3:$A$731,$A176)</f>
        <v/>
      </c>
      <c r="G176" s="17">
        <f>SUMIFS(Source_Evolution!$G$3:$G$731,Source_Evolution!$A$3:$A$731,$A176)</f>
        <v/>
      </c>
      <c r="H176" s="17">
        <f>SUMIFS(Source_Evolution!$H$3:$H$731,Source_Evolution!$A$3:$A$731,$A176)</f>
        <v/>
      </c>
      <c r="I176" s="17">
        <f>SUMIFS(Source_Evolution!$I$3:$I$731,Source_Evolution!$A$3:$A$731,$A176)</f>
        <v/>
      </c>
      <c r="J176" s="17">
        <f>SUMIFS(Source_Evolution!$J$3:$J$731,Source_Evolution!$A$3:$A$731,$A176)</f>
        <v/>
      </c>
      <c r="K176" s="17">
        <f>SUMIFS(Source_Evolution!$K$3:$K$731,Source_Evolution!$A$3:$A$731,$A176)</f>
        <v/>
      </c>
      <c r="L176" s="17">
        <f>SUMIFS(Source_Evolution!$L$3:$L$731,Source_Evolution!$A$3:$A$731,$A176)</f>
        <v/>
      </c>
      <c r="M176" s="17">
        <f>SUMIFS(Source_Evolution!$M$3:$M$731,Source_Evolution!$A$3:$A$731,$A176)</f>
        <v/>
      </c>
      <c r="N176" s="17">
        <f>SUMIFS(Source_Evolution!$N$3:$N$731,Source_Evolution!$A$3:$A$731,$A176)</f>
        <v/>
      </c>
      <c r="O176" s="17">
        <f>SUMIFS(Source_Evolution!$O$3:$O$731,Source_Evolution!$A$3:$A$731,$A176)</f>
        <v/>
      </c>
      <c r="P176" s="17">
        <f>SUMIFS(Source_Evolution!$P$3:$P$731,Source_Evolution!$A$3:$A$731,$A176)</f>
        <v/>
      </c>
      <c r="Q176" s="17">
        <f>SUMIFS(Source_Evolution!$Q$3:$Q$731,Source_Evolution!$A$3:$A$731,$A176)</f>
        <v/>
      </c>
      <c r="R176" s="17">
        <f>SUM(E176:Q176)</f>
        <v/>
      </c>
      <c r="S176" s="17">
        <f>Q176</f>
        <v/>
      </c>
      <c r="T176">
        <f>IF(B176="Software",1,0)</f>
        <v/>
      </c>
      <c r="U176" s="18">
        <f>SUMPRODUCT((Source_Evolution!$A$3:$A$731=$A176)*(Source_Evolution!$E$3:$E$731&gt;0))</f>
        <v/>
      </c>
      <c r="V176" s="18">
        <f>SUMPRODUCT((Source_Evolution!$A$3:$A$731=$A176)*(Source_Evolution!$F$3:$F$731&gt;0))</f>
        <v/>
      </c>
      <c r="W176" s="18">
        <f>SUMPRODUCT((Source_Evolution!$A$3:$A$731=$A176)*(Source_Evolution!$G$3:$G$731&gt;0))</f>
        <v/>
      </c>
      <c r="X176" s="18">
        <f>SUMPRODUCT((Source_Evolution!$A$3:$A$731=$A176)*(Source_Evolution!$H$3:$H$731&gt;0))</f>
        <v/>
      </c>
      <c r="Y176" s="18">
        <f>SUMPRODUCT((Source_Evolution!$A$3:$A$731=$A176)*(Source_Evolution!$I$3:$I$731&gt;0))</f>
        <v/>
      </c>
      <c r="Z176" s="18">
        <f>SUMPRODUCT((Source_Evolution!$A$3:$A$731=$A176)*(Source_Evolution!$J$3:$J$731&gt;0))</f>
        <v/>
      </c>
      <c r="AA176" s="18">
        <f>SUMPRODUCT((Source_Evolution!$A$3:$A$731=$A176)*(Source_Evolution!$K$3:$K$731&gt;0))</f>
        <v/>
      </c>
      <c r="AB176" s="18">
        <f>SUMPRODUCT((Source_Evolution!$A$3:$A$731=$A176)*(Source_Evolution!$L$3:$L$731&gt;0))</f>
        <v/>
      </c>
      <c r="AC176" s="18">
        <f>SUMPRODUCT((Source_Evolution!$A$3:$A$731=$A176)*(Source_Evolution!$M$3:$M$731&gt;0))</f>
        <v/>
      </c>
      <c r="AD176" s="18">
        <f>SUMPRODUCT((Source_Evolution!$A$3:$A$731=$A176)*(Source_Evolution!$N$3:$N$731&gt;0))</f>
        <v/>
      </c>
      <c r="AE176" s="18">
        <f>SUMPRODUCT((Source_Evolution!$A$3:$A$731=$A176)*(Source_Evolution!$O$3:$O$731&gt;0))</f>
        <v/>
      </c>
      <c r="AF176" s="18">
        <f>SUMPRODUCT((Source_Evolution!$A$3:$A$731=$A176)*(Source_Evolution!$P$3:$P$731&gt;0))</f>
        <v/>
      </c>
      <c r="AG176" s="18">
        <f>SUMPRODUCT((Source_Evolution!$A$3:$A$731=$A176)*(Source_Evolution!$Q$3:$Q$731&gt;0))</f>
        <v/>
      </c>
    </row>
    <row r="177">
      <c r="A177" t="inlineStr">
        <is>
          <t>Company 257</t>
        </is>
      </c>
      <c r="B177" t="inlineStr">
        <is>
          <t>Software</t>
        </is>
      </c>
      <c r="C177" t="inlineStr">
        <is>
          <t>Belgium</t>
        </is>
      </c>
      <c r="D177" t="n">
        <v>2015</v>
      </c>
      <c r="E177" s="17">
        <f>SUMIFS(Source_Evolution!$E$3:$E$731,Source_Evolution!$A$3:$A$731,$A177)</f>
        <v/>
      </c>
      <c r="F177" s="17">
        <f>SUMIFS(Source_Evolution!$F$3:$F$731,Source_Evolution!$A$3:$A$731,$A177)</f>
        <v/>
      </c>
      <c r="G177" s="17">
        <f>SUMIFS(Source_Evolution!$G$3:$G$731,Source_Evolution!$A$3:$A$731,$A177)</f>
        <v/>
      </c>
      <c r="H177" s="17">
        <f>SUMIFS(Source_Evolution!$H$3:$H$731,Source_Evolution!$A$3:$A$731,$A177)</f>
        <v/>
      </c>
      <c r="I177" s="17">
        <f>SUMIFS(Source_Evolution!$I$3:$I$731,Source_Evolution!$A$3:$A$731,$A177)</f>
        <v/>
      </c>
      <c r="J177" s="17">
        <f>SUMIFS(Source_Evolution!$J$3:$J$731,Source_Evolution!$A$3:$A$731,$A177)</f>
        <v/>
      </c>
      <c r="K177" s="17">
        <f>SUMIFS(Source_Evolution!$K$3:$K$731,Source_Evolution!$A$3:$A$731,$A177)</f>
        <v/>
      </c>
      <c r="L177" s="17">
        <f>SUMIFS(Source_Evolution!$L$3:$L$731,Source_Evolution!$A$3:$A$731,$A177)</f>
        <v/>
      </c>
      <c r="M177" s="17">
        <f>SUMIFS(Source_Evolution!$M$3:$M$731,Source_Evolution!$A$3:$A$731,$A177)</f>
        <v/>
      </c>
      <c r="N177" s="17">
        <f>SUMIFS(Source_Evolution!$N$3:$N$731,Source_Evolution!$A$3:$A$731,$A177)</f>
        <v/>
      </c>
      <c r="O177" s="17">
        <f>SUMIFS(Source_Evolution!$O$3:$O$731,Source_Evolution!$A$3:$A$731,$A177)</f>
        <v/>
      </c>
      <c r="P177" s="17">
        <f>SUMIFS(Source_Evolution!$P$3:$P$731,Source_Evolution!$A$3:$A$731,$A177)</f>
        <v/>
      </c>
      <c r="Q177" s="17">
        <f>SUMIFS(Source_Evolution!$Q$3:$Q$731,Source_Evolution!$A$3:$A$731,$A177)</f>
        <v/>
      </c>
      <c r="R177" s="17">
        <f>SUM(E177:Q177)</f>
        <v/>
      </c>
      <c r="S177" s="17">
        <f>Q177</f>
        <v/>
      </c>
      <c r="T177">
        <f>IF(B177="Software",1,0)</f>
        <v/>
      </c>
      <c r="U177" s="18">
        <f>SUMPRODUCT((Source_Evolution!$A$3:$A$731=$A177)*(Source_Evolution!$E$3:$E$731&gt;0))</f>
        <v/>
      </c>
      <c r="V177" s="18">
        <f>SUMPRODUCT((Source_Evolution!$A$3:$A$731=$A177)*(Source_Evolution!$F$3:$F$731&gt;0))</f>
        <v/>
      </c>
      <c r="W177" s="18">
        <f>SUMPRODUCT((Source_Evolution!$A$3:$A$731=$A177)*(Source_Evolution!$G$3:$G$731&gt;0))</f>
        <v/>
      </c>
      <c r="X177" s="18">
        <f>SUMPRODUCT((Source_Evolution!$A$3:$A$731=$A177)*(Source_Evolution!$H$3:$H$731&gt;0))</f>
        <v/>
      </c>
      <c r="Y177" s="18">
        <f>SUMPRODUCT((Source_Evolution!$A$3:$A$731=$A177)*(Source_Evolution!$I$3:$I$731&gt;0))</f>
        <v/>
      </c>
      <c r="Z177" s="18">
        <f>SUMPRODUCT((Source_Evolution!$A$3:$A$731=$A177)*(Source_Evolution!$J$3:$J$731&gt;0))</f>
        <v/>
      </c>
      <c r="AA177" s="18">
        <f>SUMPRODUCT((Source_Evolution!$A$3:$A$731=$A177)*(Source_Evolution!$K$3:$K$731&gt;0))</f>
        <v/>
      </c>
      <c r="AB177" s="18">
        <f>SUMPRODUCT((Source_Evolution!$A$3:$A$731=$A177)*(Source_Evolution!$L$3:$L$731&gt;0))</f>
        <v/>
      </c>
      <c r="AC177" s="18">
        <f>SUMPRODUCT((Source_Evolution!$A$3:$A$731=$A177)*(Source_Evolution!$M$3:$M$731&gt;0))</f>
        <v/>
      </c>
      <c r="AD177" s="18">
        <f>SUMPRODUCT((Source_Evolution!$A$3:$A$731=$A177)*(Source_Evolution!$N$3:$N$731&gt;0))</f>
        <v/>
      </c>
      <c r="AE177" s="18">
        <f>SUMPRODUCT((Source_Evolution!$A$3:$A$731=$A177)*(Source_Evolution!$O$3:$O$731&gt;0))</f>
        <v/>
      </c>
      <c r="AF177" s="18">
        <f>SUMPRODUCT((Source_Evolution!$A$3:$A$731=$A177)*(Source_Evolution!$P$3:$P$731&gt;0))</f>
        <v/>
      </c>
      <c r="AG177" s="18">
        <f>SUMPRODUCT((Source_Evolution!$A$3:$A$731=$A177)*(Source_Evolution!$Q$3:$Q$731&gt;0))</f>
        <v/>
      </c>
    </row>
    <row r="178">
      <c r="A178" t="inlineStr">
        <is>
          <t>Company 258</t>
        </is>
      </c>
      <c r="B178" t="inlineStr">
        <is>
          <t>Software</t>
        </is>
      </c>
      <c r="C178" t="inlineStr">
        <is>
          <t>Switzerland</t>
        </is>
      </c>
      <c r="D178" t="n">
        <v>2014</v>
      </c>
      <c r="E178" s="17">
        <f>SUMIFS(Source_Evolution!$E$3:$E$731,Source_Evolution!$A$3:$A$731,$A178)</f>
        <v/>
      </c>
      <c r="F178" s="17">
        <f>SUMIFS(Source_Evolution!$F$3:$F$731,Source_Evolution!$A$3:$A$731,$A178)</f>
        <v/>
      </c>
      <c r="G178" s="17">
        <f>SUMIFS(Source_Evolution!$G$3:$G$731,Source_Evolution!$A$3:$A$731,$A178)</f>
        <v/>
      </c>
      <c r="H178" s="17">
        <f>SUMIFS(Source_Evolution!$H$3:$H$731,Source_Evolution!$A$3:$A$731,$A178)</f>
        <v/>
      </c>
      <c r="I178" s="17">
        <f>SUMIFS(Source_Evolution!$I$3:$I$731,Source_Evolution!$A$3:$A$731,$A178)</f>
        <v/>
      </c>
      <c r="J178" s="17">
        <f>SUMIFS(Source_Evolution!$J$3:$J$731,Source_Evolution!$A$3:$A$731,$A178)</f>
        <v/>
      </c>
      <c r="K178" s="17">
        <f>SUMIFS(Source_Evolution!$K$3:$K$731,Source_Evolution!$A$3:$A$731,$A178)</f>
        <v/>
      </c>
      <c r="L178" s="17">
        <f>SUMIFS(Source_Evolution!$L$3:$L$731,Source_Evolution!$A$3:$A$731,$A178)</f>
        <v/>
      </c>
      <c r="M178" s="17">
        <f>SUMIFS(Source_Evolution!$M$3:$M$731,Source_Evolution!$A$3:$A$731,$A178)</f>
        <v/>
      </c>
      <c r="N178" s="17">
        <f>SUMIFS(Source_Evolution!$N$3:$N$731,Source_Evolution!$A$3:$A$731,$A178)</f>
        <v/>
      </c>
      <c r="O178" s="17">
        <f>SUMIFS(Source_Evolution!$O$3:$O$731,Source_Evolution!$A$3:$A$731,$A178)</f>
        <v/>
      </c>
      <c r="P178" s="17">
        <f>SUMIFS(Source_Evolution!$P$3:$P$731,Source_Evolution!$A$3:$A$731,$A178)</f>
        <v/>
      </c>
      <c r="Q178" s="17">
        <f>SUMIFS(Source_Evolution!$Q$3:$Q$731,Source_Evolution!$A$3:$A$731,$A178)</f>
        <v/>
      </c>
      <c r="R178" s="17">
        <f>SUM(E178:Q178)</f>
        <v/>
      </c>
      <c r="S178" s="17">
        <f>Q178</f>
        <v/>
      </c>
      <c r="T178">
        <f>IF(B178="Software",1,0)</f>
        <v/>
      </c>
      <c r="U178" s="18">
        <f>SUMPRODUCT((Source_Evolution!$A$3:$A$731=$A178)*(Source_Evolution!$E$3:$E$731&gt;0))</f>
        <v/>
      </c>
      <c r="V178" s="18">
        <f>SUMPRODUCT((Source_Evolution!$A$3:$A$731=$A178)*(Source_Evolution!$F$3:$F$731&gt;0))</f>
        <v/>
      </c>
      <c r="W178" s="18">
        <f>SUMPRODUCT((Source_Evolution!$A$3:$A$731=$A178)*(Source_Evolution!$G$3:$G$731&gt;0))</f>
        <v/>
      </c>
      <c r="X178" s="18">
        <f>SUMPRODUCT((Source_Evolution!$A$3:$A$731=$A178)*(Source_Evolution!$H$3:$H$731&gt;0))</f>
        <v/>
      </c>
      <c r="Y178" s="18">
        <f>SUMPRODUCT((Source_Evolution!$A$3:$A$731=$A178)*(Source_Evolution!$I$3:$I$731&gt;0))</f>
        <v/>
      </c>
      <c r="Z178" s="18">
        <f>SUMPRODUCT((Source_Evolution!$A$3:$A$731=$A178)*(Source_Evolution!$J$3:$J$731&gt;0))</f>
        <v/>
      </c>
      <c r="AA178" s="18">
        <f>SUMPRODUCT((Source_Evolution!$A$3:$A$731=$A178)*(Source_Evolution!$K$3:$K$731&gt;0))</f>
        <v/>
      </c>
      <c r="AB178" s="18">
        <f>SUMPRODUCT((Source_Evolution!$A$3:$A$731=$A178)*(Source_Evolution!$L$3:$L$731&gt;0))</f>
        <v/>
      </c>
      <c r="AC178" s="18">
        <f>SUMPRODUCT((Source_Evolution!$A$3:$A$731=$A178)*(Source_Evolution!$M$3:$M$731&gt;0))</f>
        <v/>
      </c>
      <c r="AD178" s="18">
        <f>SUMPRODUCT((Source_Evolution!$A$3:$A$731=$A178)*(Source_Evolution!$N$3:$N$731&gt;0))</f>
        <v/>
      </c>
      <c r="AE178" s="18">
        <f>SUMPRODUCT((Source_Evolution!$A$3:$A$731=$A178)*(Source_Evolution!$O$3:$O$731&gt;0))</f>
        <v/>
      </c>
      <c r="AF178" s="18">
        <f>SUMPRODUCT((Source_Evolution!$A$3:$A$731=$A178)*(Source_Evolution!$P$3:$P$731&gt;0))</f>
        <v/>
      </c>
      <c r="AG178" s="18">
        <f>SUMPRODUCT((Source_Evolution!$A$3:$A$731=$A178)*(Source_Evolution!$Q$3:$Q$731&gt;0))</f>
        <v/>
      </c>
    </row>
    <row r="179">
      <c r="A179" t="inlineStr">
        <is>
          <t>Company 259</t>
        </is>
      </c>
      <c r="B179" t="inlineStr">
        <is>
          <t>Operations</t>
        </is>
      </c>
      <c r="C179" t="inlineStr">
        <is>
          <t>Germany</t>
        </is>
      </c>
      <c r="D179" t="n">
        <v>2014</v>
      </c>
      <c r="E179" s="17">
        <f>SUMIFS(Source_Evolution!$E$3:$E$731,Source_Evolution!$A$3:$A$731,$A179)</f>
        <v/>
      </c>
      <c r="F179" s="17">
        <f>SUMIFS(Source_Evolution!$F$3:$F$731,Source_Evolution!$A$3:$A$731,$A179)</f>
        <v/>
      </c>
      <c r="G179" s="17">
        <f>SUMIFS(Source_Evolution!$G$3:$G$731,Source_Evolution!$A$3:$A$731,$A179)</f>
        <v/>
      </c>
      <c r="H179" s="17">
        <f>SUMIFS(Source_Evolution!$H$3:$H$731,Source_Evolution!$A$3:$A$731,$A179)</f>
        <v/>
      </c>
      <c r="I179" s="17">
        <f>SUMIFS(Source_Evolution!$I$3:$I$731,Source_Evolution!$A$3:$A$731,$A179)</f>
        <v/>
      </c>
      <c r="J179" s="17">
        <f>SUMIFS(Source_Evolution!$J$3:$J$731,Source_Evolution!$A$3:$A$731,$A179)</f>
        <v/>
      </c>
      <c r="K179" s="17">
        <f>SUMIFS(Source_Evolution!$K$3:$K$731,Source_Evolution!$A$3:$A$731,$A179)</f>
        <v/>
      </c>
      <c r="L179" s="17">
        <f>SUMIFS(Source_Evolution!$L$3:$L$731,Source_Evolution!$A$3:$A$731,$A179)</f>
        <v/>
      </c>
      <c r="M179" s="17">
        <f>SUMIFS(Source_Evolution!$M$3:$M$731,Source_Evolution!$A$3:$A$731,$A179)</f>
        <v/>
      </c>
      <c r="N179" s="17">
        <f>SUMIFS(Source_Evolution!$N$3:$N$731,Source_Evolution!$A$3:$A$731,$A179)</f>
        <v/>
      </c>
      <c r="O179" s="17">
        <f>SUMIFS(Source_Evolution!$O$3:$O$731,Source_Evolution!$A$3:$A$731,$A179)</f>
        <v/>
      </c>
      <c r="P179" s="17">
        <f>SUMIFS(Source_Evolution!$P$3:$P$731,Source_Evolution!$A$3:$A$731,$A179)</f>
        <v/>
      </c>
      <c r="Q179" s="17">
        <f>SUMIFS(Source_Evolution!$Q$3:$Q$731,Source_Evolution!$A$3:$A$731,$A179)</f>
        <v/>
      </c>
      <c r="R179" s="17">
        <f>SUM(E179:Q179)</f>
        <v/>
      </c>
      <c r="S179" s="17">
        <f>Q179</f>
        <v/>
      </c>
      <c r="T179">
        <f>IF(B179="Software",1,0)</f>
        <v/>
      </c>
      <c r="U179" s="18">
        <f>SUMPRODUCT((Source_Evolution!$A$3:$A$731=$A179)*(Source_Evolution!$E$3:$E$731&gt;0))</f>
        <v/>
      </c>
      <c r="V179" s="18">
        <f>SUMPRODUCT((Source_Evolution!$A$3:$A$731=$A179)*(Source_Evolution!$F$3:$F$731&gt;0))</f>
        <v/>
      </c>
      <c r="W179" s="18">
        <f>SUMPRODUCT((Source_Evolution!$A$3:$A$731=$A179)*(Source_Evolution!$G$3:$G$731&gt;0))</f>
        <v/>
      </c>
      <c r="X179" s="18">
        <f>SUMPRODUCT((Source_Evolution!$A$3:$A$731=$A179)*(Source_Evolution!$H$3:$H$731&gt;0))</f>
        <v/>
      </c>
      <c r="Y179" s="18">
        <f>SUMPRODUCT((Source_Evolution!$A$3:$A$731=$A179)*(Source_Evolution!$I$3:$I$731&gt;0))</f>
        <v/>
      </c>
      <c r="Z179" s="18">
        <f>SUMPRODUCT((Source_Evolution!$A$3:$A$731=$A179)*(Source_Evolution!$J$3:$J$731&gt;0))</f>
        <v/>
      </c>
      <c r="AA179" s="18">
        <f>SUMPRODUCT((Source_Evolution!$A$3:$A$731=$A179)*(Source_Evolution!$K$3:$K$731&gt;0))</f>
        <v/>
      </c>
      <c r="AB179" s="18">
        <f>SUMPRODUCT((Source_Evolution!$A$3:$A$731=$A179)*(Source_Evolution!$L$3:$L$731&gt;0))</f>
        <v/>
      </c>
      <c r="AC179" s="18">
        <f>SUMPRODUCT((Source_Evolution!$A$3:$A$731=$A179)*(Source_Evolution!$M$3:$M$731&gt;0))</f>
        <v/>
      </c>
      <c r="AD179" s="18">
        <f>SUMPRODUCT((Source_Evolution!$A$3:$A$731=$A179)*(Source_Evolution!$N$3:$N$731&gt;0))</f>
        <v/>
      </c>
      <c r="AE179" s="18">
        <f>SUMPRODUCT((Source_Evolution!$A$3:$A$731=$A179)*(Source_Evolution!$O$3:$O$731&gt;0))</f>
        <v/>
      </c>
      <c r="AF179" s="18">
        <f>SUMPRODUCT((Source_Evolution!$A$3:$A$731=$A179)*(Source_Evolution!$P$3:$P$731&gt;0))</f>
        <v/>
      </c>
      <c r="AG179" s="18">
        <f>SUMPRODUCT((Source_Evolution!$A$3:$A$731=$A179)*(Source_Evolution!$Q$3:$Q$731&gt;0))</f>
        <v/>
      </c>
    </row>
    <row r="180">
      <c r="A180" t="inlineStr">
        <is>
          <t>Company 26</t>
        </is>
      </c>
      <c r="B180" t="inlineStr">
        <is>
          <t>Operations</t>
        </is>
      </c>
      <c r="C180" t="inlineStr">
        <is>
          <t>Singapore</t>
        </is>
      </c>
      <c r="D180" t="n">
        <v>2015</v>
      </c>
      <c r="E180" s="17">
        <f>SUMIFS(Source_Evolution!$E$3:$E$731,Source_Evolution!$A$3:$A$731,$A180)</f>
        <v/>
      </c>
      <c r="F180" s="17">
        <f>SUMIFS(Source_Evolution!$F$3:$F$731,Source_Evolution!$A$3:$A$731,$A180)</f>
        <v/>
      </c>
      <c r="G180" s="17">
        <f>SUMIFS(Source_Evolution!$G$3:$G$731,Source_Evolution!$A$3:$A$731,$A180)</f>
        <v/>
      </c>
      <c r="H180" s="17">
        <f>SUMIFS(Source_Evolution!$H$3:$H$731,Source_Evolution!$A$3:$A$731,$A180)</f>
        <v/>
      </c>
      <c r="I180" s="17">
        <f>SUMIFS(Source_Evolution!$I$3:$I$731,Source_Evolution!$A$3:$A$731,$A180)</f>
        <v/>
      </c>
      <c r="J180" s="17">
        <f>SUMIFS(Source_Evolution!$J$3:$J$731,Source_Evolution!$A$3:$A$731,$A180)</f>
        <v/>
      </c>
      <c r="K180" s="17">
        <f>SUMIFS(Source_Evolution!$K$3:$K$731,Source_Evolution!$A$3:$A$731,$A180)</f>
        <v/>
      </c>
      <c r="L180" s="17">
        <f>SUMIFS(Source_Evolution!$L$3:$L$731,Source_Evolution!$A$3:$A$731,$A180)</f>
        <v/>
      </c>
      <c r="M180" s="17">
        <f>SUMIFS(Source_Evolution!$M$3:$M$731,Source_Evolution!$A$3:$A$731,$A180)</f>
        <v/>
      </c>
      <c r="N180" s="17">
        <f>SUMIFS(Source_Evolution!$N$3:$N$731,Source_Evolution!$A$3:$A$731,$A180)</f>
        <v/>
      </c>
      <c r="O180" s="17">
        <f>SUMIFS(Source_Evolution!$O$3:$O$731,Source_Evolution!$A$3:$A$731,$A180)</f>
        <v/>
      </c>
      <c r="P180" s="17">
        <f>SUMIFS(Source_Evolution!$P$3:$P$731,Source_Evolution!$A$3:$A$731,$A180)</f>
        <v/>
      </c>
      <c r="Q180" s="17">
        <f>SUMIFS(Source_Evolution!$Q$3:$Q$731,Source_Evolution!$A$3:$A$731,$A180)</f>
        <v/>
      </c>
      <c r="R180" s="17">
        <f>SUM(E180:Q180)</f>
        <v/>
      </c>
      <c r="S180" s="17">
        <f>Q180</f>
        <v/>
      </c>
      <c r="T180">
        <f>IF(B180="Software",1,0)</f>
        <v/>
      </c>
      <c r="U180" s="18">
        <f>SUMPRODUCT((Source_Evolution!$A$3:$A$731=$A180)*(Source_Evolution!$E$3:$E$731&gt;0))</f>
        <v/>
      </c>
      <c r="V180" s="18">
        <f>SUMPRODUCT((Source_Evolution!$A$3:$A$731=$A180)*(Source_Evolution!$F$3:$F$731&gt;0))</f>
        <v/>
      </c>
      <c r="W180" s="18">
        <f>SUMPRODUCT((Source_Evolution!$A$3:$A$731=$A180)*(Source_Evolution!$G$3:$G$731&gt;0))</f>
        <v/>
      </c>
      <c r="X180" s="18">
        <f>SUMPRODUCT((Source_Evolution!$A$3:$A$731=$A180)*(Source_Evolution!$H$3:$H$731&gt;0))</f>
        <v/>
      </c>
      <c r="Y180" s="18">
        <f>SUMPRODUCT((Source_Evolution!$A$3:$A$731=$A180)*(Source_Evolution!$I$3:$I$731&gt;0))</f>
        <v/>
      </c>
      <c r="Z180" s="18">
        <f>SUMPRODUCT((Source_Evolution!$A$3:$A$731=$A180)*(Source_Evolution!$J$3:$J$731&gt;0))</f>
        <v/>
      </c>
      <c r="AA180" s="18">
        <f>SUMPRODUCT((Source_Evolution!$A$3:$A$731=$A180)*(Source_Evolution!$K$3:$K$731&gt;0))</f>
        <v/>
      </c>
      <c r="AB180" s="18">
        <f>SUMPRODUCT((Source_Evolution!$A$3:$A$731=$A180)*(Source_Evolution!$L$3:$L$731&gt;0))</f>
        <v/>
      </c>
      <c r="AC180" s="18">
        <f>SUMPRODUCT((Source_Evolution!$A$3:$A$731=$A180)*(Source_Evolution!$M$3:$M$731&gt;0))</f>
        <v/>
      </c>
      <c r="AD180" s="18">
        <f>SUMPRODUCT((Source_Evolution!$A$3:$A$731=$A180)*(Source_Evolution!$N$3:$N$731&gt;0))</f>
        <v/>
      </c>
      <c r="AE180" s="18">
        <f>SUMPRODUCT((Source_Evolution!$A$3:$A$731=$A180)*(Source_Evolution!$O$3:$O$731&gt;0))</f>
        <v/>
      </c>
      <c r="AF180" s="18">
        <f>SUMPRODUCT((Source_Evolution!$A$3:$A$731=$A180)*(Source_Evolution!$P$3:$P$731&gt;0))</f>
        <v/>
      </c>
      <c r="AG180" s="18">
        <f>SUMPRODUCT((Source_Evolution!$A$3:$A$731=$A180)*(Source_Evolution!$Q$3:$Q$731&gt;0))</f>
        <v/>
      </c>
    </row>
    <row r="181">
      <c r="A181" t="inlineStr">
        <is>
          <t>Company 260</t>
        </is>
      </c>
      <c r="B181" t="inlineStr">
        <is>
          <t>Operations</t>
        </is>
      </c>
      <c r="C181" t="inlineStr">
        <is>
          <t>Germany</t>
        </is>
      </c>
      <c r="D181" t="n">
        <v>2014</v>
      </c>
      <c r="E181" s="17">
        <f>SUMIFS(Source_Evolution!$E$3:$E$731,Source_Evolution!$A$3:$A$731,$A181)</f>
        <v/>
      </c>
      <c r="F181" s="17">
        <f>SUMIFS(Source_Evolution!$F$3:$F$731,Source_Evolution!$A$3:$A$731,$A181)</f>
        <v/>
      </c>
      <c r="G181" s="17">
        <f>SUMIFS(Source_Evolution!$G$3:$G$731,Source_Evolution!$A$3:$A$731,$A181)</f>
        <v/>
      </c>
      <c r="H181" s="17">
        <f>SUMIFS(Source_Evolution!$H$3:$H$731,Source_Evolution!$A$3:$A$731,$A181)</f>
        <v/>
      </c>
      <c r="I181" s="17">
        <f>SUMIFS(Source_Evolution!$I$3:$I$731,Source_Evolution!$A$3:$A$731,$A181)</f>
        <v/>
      </c>
      <c r="J181" s="17">
        <f>SUMIFS(Source_Evolution!$J$3:$J$731,Source_Evolution!$A$3:$A$731,$A181)</f>
        <v/>
      </c>
      <c r="K181" s="17">
        <f>SUMIFS(Source_Evolution!$K$3:$K$731,Source_Evolution!$A$3:$A$731,$A181)</f>
        <v/>
      </c>
      <c r="L181" s="17">
        <f>SUMIFS(Source_Evolution!$L$3:$L$731,Source_Evolution!$A$3:$A$731,$A181)</f>
        <v/>
      </c>
      <c r="M181" s="17">
        <f>SUMIFS(Source_Evolution!$M$3:$M$731,Source_Evolution!$A$3:$A$731,$A181)</f>
        <v/>
      </c>
      <c r="N181" s="17">
        <f>SUMIFS(Source_Evolution!$N$3:$N$731,Source_Evolution!$A$3:$A$731,$A181)</f>
        <v/>
      </c>
      <c r="O181" s="17">
        <f>SUMIFS(Source_Evolution!$O$3:$O$731,Source_Evolution!$A$3:$A$731,$A181)</f>
        <v/>
      </c>
      <c r="P181" s="17">
        <f>SUMIFS(Source_Evolution!$P$3:$P$731,Source_Evolution!$A$3:$A$731,$A181)</f>
        <v/>
      </c>
      <c r="Q181" s="17">
        <f>SUMIFS(Source_Evolution!$Q$3:$Q$731,Source_Evolution!$A$3:$A$731,$A181)</f>
        <v/>
      </c>
      <c r="R181" s="17">
        <f>SUM(E181:Q181)</f>
        <v/>
      </c>
      <c r="S181" s="17">
        <f>Q181</f>
        <v/>
      </c>
      <c r="T181">
        <f>IF(B181="Software",1,0)</f>
        <v/>
      </c>
      <c r="U181" s="18">
        <f>SUMPRODUCT((Source_Evolution!$A$3:$A$731=$A181)*(Source_Evolution!$E$3:$E$731&gt;0))</f>
        <v/>
      </c>
      <c r="V181" s="18">
        <f>SUMPRODUCT((Source_Evolution!$A$3:$A$731=$A181)*(Source_Evolution!$F$3:$F$731&gt;0))</f>
        <v/>
      </c>
      <c r="W181" s="18">
        <f>SUMPRODUCT((Source_Evolution!$A$3:$A$731=$A181)*(Source_Evolution!$G$3:$G$731&gt;0))</f>
        <v/>
      </c>
      <c r="X181" s="18">
        <f>SUMPRODUCT((Source_Evolution!$A$3:$A$731=$A181)*(Source_Evolution!$H$3:$H$731&gt;0))</f>
        <v/>
      </c>
      <c r="Y181" s="18">
        <f>SUMPRODUCT((Source_Evolution!$A$3:$A$731=$A181)*(Source_Evolution!$I$3:$I$731&gt;0))</f>
        <v/>
      </c>
      <c r="Z181" s="18">
        <f>SUMPRODUCT((Source_Evolution!$A$3:$A$731=$A181)*(Source_Evolution!$J$3:$J$731&gt;0))</f>
        <v/>
      </c>
      <c r="AA181" s="18">
        <f>SUMPRODUCT((Source_Evolution!$A$3:$A$731=$A181)*(Source_Evolution!$K$3:$K$731&gt;0))</f>
        <v/>
      </c>
      <c r="AB181" s="18">
        <f>SUMPRODUCT((Source_Evolution!$A$3:$A$731=$A181)*(Source_Evolution!$L$3:$L$731&gt;0))</f>
        <v/>
      </c>
      <c r="AC181" s="18">
        <f>SUMPRODUCT((Source_Evolution!$A$3:$A$731=$A181)*(Source_Evolution!$M$3:$M$731&gt;0))</f>
        <v/>
      </c>
      <c r="AD181" s="18">
        <f>SUMPRODUCT((Source_Evolution!$A$3:$A$731=$A181)*(Source_Evolution!$N$3:$N$731&gt;0))</f>
        <v/>
      </c>
      <c r="AE181" s="18">
        <f>SUMPRODUCT((Source_Evolution!$A$3:$A$731=$A181)*(Source_Evolution!$O$3:$O$731&gt;0))</f>
        <v/>
      </c>
      <c r="AF181" s="18">
        <f>SUMPRODUCT((Source_Evolution!$A$3:$A$731=$A181)*(Source_Evolution!$P$3:$P$731&gt;0))</f>
        <v/>
      </c>
      <c r="AG181" s="18">
        <f>SUMPRODUCT((Source_Evolution!$A$3:$A$731=$A181)*(Source_Evolution!$Q$3:$Q$731&gt;0))</f>
        <v/>
      </c>
    </row>
    <row r="182">
      <c r="A182" t="inlineStr">
        <is>
          <t>Company 261</t>
        </is>
      </c>
      <c r="B182" t="inlineStr">
        <is>
          <t>Operations</t>
        </is>
      </c>
      <c r="C182" t="inlineStr">
        <is>
          <t>UK</t>
        </is>
      </c>
      <c r="D182" t="n">
        <v>2024</v>
      </c>
      <c r="E182" s="17">
        <f>SUMIFS(Source_Evolution!$E$3:$E$731,Source_Evolution!$A$3:$A$731,$A182)</f>
        <v/>
      </c>
      <c r="F182" s="17">
        <f>SUMIFS(Source_Evolution!$F$3:$F$731,Source_Evolution!$A$3:$A$731,$A182)</f>
        <v/>
      </c>
      <c r="G182" s="17">
        <f>SUMIFS(Source_Evolution!$G$3:$G$731,Source_Evolution!$A$3:$A$731,$A182)</f>
        <v/>
      </c>
      <c r="H182" s="17">
        <f>SUMIFS(Source_Evolution!$H$3:$H$731,Source_Evolution!$A$3:$A$731,$A182)</f>
        <v/>
      </c>
      <c r="I182" s="17">
        <f>SUMIFS(Source_Evolution!$I$3:$I$731,Source_Evolution!$A$3:$A$731,$A182)</f>
        <v/>
      </c>
      <c r="J182" s="17">
        <f>SUMIFS(Source_Evolution!$J$3:$J$731,Source_Evolution!$A$3:$A$731,$A182)</f>
        <v/>
      </c>
      <c r="K182" s="17">
        <f>SUMIFS(Source_Evolution!$K$3:$K$731,Source_Evolution!$A$3:$A$731,$A182)</f>
        <v/>
      </c>
      <c r="L182" s="17">
        <f>SUMIFS(Source_Evolution!$L$3:$L$731,Source_Evolution!$A$3:$A$731,$A182)</f>
        <v/>
      </c>
      <c r="M182" s="17">
        <f>SUMIFS(Source_Evolution!$M$3:$M$731,Source_Evolution!$A$3:$A$731,$A182)</f>
        <v/>
      </c>
      <c r="N182" s="17">
        <f>SUMIFS(Source_Evolution!$N$3:$N$731,Source_Evolution!$A$3:$A$731,$A182)</f>
        <v/>
      </c>
      <c r="O182" s="17">
        <f>SUMIFS(Source_Evolution!$O$3:$O$731,Source_Evolution!$A$3:$A$731,$A182)</f>
        <v/>
      </c>
      <c r="P182" s="17">
        <f>SUMIFS(Source_Evolution!$P$3:$P$731,Source_Evolution!$A$3:$A$731,$A182)</f>
        <v/>
      </c>
      <c r="Q182" s="17">
        <f>SUMIFS(Source_Evolution!$Q$3:$Q$731,Source_Evolution!$A$3:$A$731,$A182)</f>
        <v/>
      </c>
      <c r="R182" s="17">
        <f>SUM(E182:Q182)</f>
        <v/>
      </c>
      <c r="S182" s="17">
        <f>Q182</f>
        <v/>
      </c>
      <c r="T182">
        <f>IF(B182="Software",1,0)</f>
        <v/>
      </c>
      <c r="U182" s="18">
        <f>SUMPRODUCT((Source_Evolution!$A$3:$A$731=$A182)*(Source_Evolution!$E$3:$E$731&gt;0))</f>
        <v/>
      </c>
      <c r="V182" s="18">
        <f>SUMPRODUCT((Source_Evolution!$A$3:$A$731=$A182)*(Source_Evolution!$F$3:$F$731&gt;0))</f>
        <v/>
      </c>
      <c r="W182" s="18">
        <f>SUMPRODUCT((Source_Evolution!$A$3:$A$731=$A182)*(Source_Evolution!$G$3:$G$731&gt;0))</f>
        <v/>
      </c>
      <c r="X182" s="18">
        <f>SUMPRODUCT((Source_Evolution!$A$3:$A$731=$A182)*(Source_Evolution!$H$3:$H$731&gt;0))</f>
        <v/>
      </c>
      <c r="Y182" s="18">
        <f>SUMPRODUCT((Source_Evolution!$A$3:$A$731=$A182)*(Source_Evolution!$I$3:$I$731&gt;0))</f>
        <v/>
      </c>
      <c r="Z182" s="18">
        <f>SUMPRODUCT((Source_Evolution!$A$3:$A$731=$A182)*(Source_Evolution!$J$3:$J$731&gt;0))</f>
        <v/>
      </c>
      <c r="AA182" s="18">
        <f>SUMPRODUCT((Source_Evolution!$A$3:$A$731=$A182)*(Source_Evolution!$K$3:$K$731&gt;0))</f>
        <v/>
      </c>
      <c r="AB182" s="18">
        <f>SUMPRODUCT((Source_Evolution!$A$3:$A$731=$A182)*(Source_Evolution!$L$3:$L$731&gt;0))</f>
        <v/>
      </c>
      <c r="AC182" s="18">
        <f>SUMPRODUCT((Source_Evolution!$A$3:$A$731=$A182)*(Source_Evolution!$M$3:$M$731&gt;0))</f>
        <v/>
      </c>
      <c r="AD182" s="18">
        <f>SUMPRODUCT((Source_Evolution!$A$3:$A$731=$A182)*(Source_Evolution!$N$3:$N$731&gt;0))</f>
        <v/>
      </c>
      <c r="AE182" s="18">
        <f>SUMPRODUCT((Source_Evolution!$A$3:$A$731=$A182)*(Source_Evolution!$O$3:$O$731&gt;0))</f>
        <v/>
      </c>
      <c r="AF182" s="18">
        <f>SUMPRODUCT((Source_Evolution!$A$3:$A$731=$A182)*(Source_Evolution!$P$3:$P$731&gt;0))</f>
        <v/>
      </c>
      <c r="AG182" s="18">
        <f>SUMPRODUCT((Source_Evolution!$A$3:$A$731=$A182)*(Source_Evolution!$Q$3:$Q$731&gt;0))</f>
        <v/>
      </c>
    </row>
    <row r="183">
      <c r="A183" t="inlineStr">
        <is>
          <t>Company 262</t>
        </is>
      </c>
      <c r="B183" t="inlineStr">
        <is>
          <t>Software</t>
        </is>
      </c>
      <c r="C183" t="inlineStr">
        <is>
          <t>Hungary</t>
        </is>
      </c>
      <c r="D183" t="n">
        <v>2016</v>
      </c>
      <c r="E183" s="17">
        <f>SUMIFS(Source_Evolution!$E$3:$E$731,Source_Evolution!$A$3:$A$731,$A183)</f>
        <v/>
      </c>
      <c r="F183" s="17">
        <f>SUMIFS(Source_Evolution!$F$3:$F$731,Source_Evolution!$A$3:$A$731,$A183)</f>
        <v/>
      </c>
      <c r="G183" s="17">
        <f>SUMIFS(Source_Evolution!$G$3:$G$731,Source_Evolution!$A$3:$A$731,$A183)</f>
        <v/>
      </c>
      <c r="H183" s="17">
        <f>SUMIFS(Source_Evolution!$H$3:$H$731,Source_Evolution!$A$3:$A$731,$A183)</f>
        <v/>
      </c>
      <c r="I183" s="17">
        <f>SUMIFS(Source_Evolution!$I$3:$I$731,Source_Evolution!$A$3:$A$731,$A183)</f>
        <v/>
      </c>
      <c r="J183" s="17">
        <f>SUMIFS(Source_Evolution!$J$3:$J$731,Source_Evolution!$A$3:$A$731,$A183)</f>
        <v/>
      </c>
      <c r="K183" s="17">
        <f>SUMIFS(Source_Evolution!$K$3:$K$731,Source_Evolution!$A$3:$A$731,$A183)</f>
        <v/>
      </c>
      <c r="L183" s="17">
        <f>SUMIFS(Source_Evolution!$L$3:$L$731,Source_Evolution!$A$3:$A$731,$A183)</f>
        <v/>
      </c>
      <c r="M183" s="17">
        <f>SUMIFS(Source_Evolution!$M$3:$M$731,Source_Evolution!$A$3:$A$731,$A183)</f>
        <v/>
      </c>
      <c r="N183" s="17">
        <f>SUMIFS(Source_Evolution!$N$3:$N$731,Source_Evolution!$A$3:$A$731,$A183)</f>
        <v/>
      </c>
      <c r="O183" s="17">
        <f>SUMIFS(Source_Evolution!$O$3:$O$731,Source_Evolution!$A$3:$A$731,$A183)</f>
        <v/>
      </c>
      <c r="P183" s="17">
        <f>SUMIFS(Source_Evolution!$P$3:$P$731,Source_Evolution!$A$3:$A$731,$A183)</f>
        <v/>
      </c>
      <c r="Q183" s="17">
        <f>SUMIFS(Source_Evolution!$Q$3:$Q$731,Source_Evolution!$A$3:$A$731,$A183)</f>
        <v/>
      </c>
      <c r="R183" s="17">
        <f>SUM(E183:Q183)</f>
        <v/>
      </c>
      <c r="S183" s="17">
        <f>Q183</f>
        <v/>
      </c>
      <c r="T183">
        <f>IF(B183="Software",1,0)</f>
        <v/>
      </c>
      <c r="U183" s="18">
        <f>SUMPRODUCT((Source_Evolution!$A$3:$A$731=$A183)*(Source_Evolution!$E$3:$E$731&gt;0))</f>
        <v/>
      </c>
      <c r="V183" s="18">
        <f>SUMPRODUCT((Source_Evolution!$A$3:$A$731=$A183)*(Source_Evolution!$F$3:$F$731&gt;0))</f>
        <v/>
      </c>
      <c r="W183" s="18">
        <f>SUMPRODUCT((Source_Evolution!$A$3:$A$731=$A183)*(Source_Evolution!$G$3:$G$731&gt;0))</f>
        <v/>
      </c>
      <c r="X183" s="18">
        <f>SUMPRODUCT((Source_Evolution!$A$3:$A$731=$A183)*(Source_Evolution!$H$3:$H$731&gt;0))</f>
        <v/>
      </c>
      <c r="Y183" s="18">
        <f>SUMPRODUCT((Source_Evolution!$A$3:$A$731=$A183)*(Source_Evolution!$I$3:$I$731&gt;0))</f>
        <v/>
      </c>
      <c r="Z183" s="18">
        <f>SUMPRODUCT((Source_Evolution!$A$3:$A$731=$A183)*(Source_Evolution!$J$3:$J$731&gt;0))</f>
        <v/>
      </c>
      <c r="AA183" s="18">
        <f>SUMPRODUCT((Source_Evolution!$A$3:$A$731=$A183)*(Source_Evolution!$K$3:$K$731&gt;0))</f>
        <v/>
      </c>
      <c r="AB183" s="18">
        <f>SUMPRODUCT((Source_Evolution!$A$3:$A$731=$A183)*(Source_Evolution!$L$3:$L$731&gt;0))</f>
        <v/>
      </c>
      <c r="AC183" s="18">
        <f>SUMPRODUCT((Source_Evolution!$A$3:$A$731=$A183)*(Source_Evolution!$M$3:$M$731&gt;0))</f>
        <v/>
      </c>
      <c r="AD183" s="18">
        <f>SUMPRODUCT((Source_Evolution!$A$3:$A$731=$A183)*(Source_Evolution!$N$3:$N$731&gt;0))</f>
        <v/>
      </c>
      <c r="AE183" s="18">
        <f>SUMPRODUCT((Source_Evolution!$A$3:$A$731=$A183)*(Source_Evolution!$O$3:$O$731&gt;0))</f>
        <v/>
      </c>
      <c r="AF183" s="18">
        <f>SUMPRODUCT((Source_Evolution!$A$3:$A$731=$A183)*(Source_Evolution!$P$3:$P$731&gt;0))</f>
        <v/>
      </c>
      <c r="AG183" s="18">
        <f>SUMPRODUCT((Source_Evolution!$A$3:$A$731=$A183)*(Source_Evolution!$Q$3:$Q$731&gt;0))</f>
        <v/>
      </c>
    </row>
    <row r="184">
      <c r="A184" t="inlineStr">
        <is>
          <t>Company 263</t>
        </is>
      </c>
      <c r="B184" t="inlineStr">
        <is>
          <t>Operations</t>
        </is>
      </c>
      <c r="C184" t="inlineStr">
        <is>
          <t>UK</t>
        </is>
      </c>
      <c r="D184" t="n">
        <v>2014</v>
      </c>
      <c r="E184" s="17">
        <f>SUMIFS(Source_Evolution!$E$3:$E$731,Source_Evolution!$A$3:$A$731,$A184)</f>
        <v/>
      </c>
      <c r="F184" s="17">
        <f>SUMIFS(Source_Evolution!$F$3:$F$731,Source_Evolution!$A$3:$A$731,$A184)</f>
        <v/>
      </c>
      <c r="G184" s="17">
        <f>SUMIFS(Source_Evolution!$G$3:$G$731,Source_Evolution!$A$3:$A$731,$A184)</f>
        <v/>
      </c>
      <c r="H184" s="17">
        <f>SUMIFS(Source_Evolution!$H$3:$H$731,Source_Evolution!$A$3:$A$731,$A184)</f>
        <v/>
      </c>
      <c r="I184" s="17">
        <f>SUMIFS(Source_Evolution!$I$3:$I$731,Source_Evolution!$A$3:$A$731,$A184)</f>
        <v/>
      </c>
      <c r="J184" s="17">
        <f>SUMIFS(Source_Evolution!$J$3:$J$731,Source_Evolution!$A$3:$A$731,$A184)</f>
        <v/>
      </c>
      <c r="K184" s="17">
        <f>SUMIFS(Source_Evolution!$K$3:$K$731,Source_Evolution!$A$3:$A$731,$A184)</f>
        <v/>
      </c>
      <c r="L184" s="17">
        <f>SUMIFS(Source_Evolution!$L$3:$L$731,Source_Evolution!$A$3:$A$731,$A184)</f>
        <v/>
      </c>
      <c r="M184" s="17">
        <f>SUMIFS(Source_Evolution!$M$3:$M$731,Source_Evolution!$A$3:$A$731,$A184)</f>
        <v/>
      </c>
      <c r="N184" s="17">
        <f>SUMIFS(Source_Evolution!$N$3:$N$731,Source_Evolution!$A$3:$A$731,$A184)</f>
        <v/>
      </c>
      <c r="O184" s="17">
        <f>SUMIFS(Source_Evolution!$O$3:$O$731,Source_Evolution!$A$3:$A$731,$A184)</f>
        <v/>
      </c>
      <c r="P184" s="17">
        <f>SUMIFS(Source_Evolution!$P$3:$P$731,Source_Evolution!$A$3:$A$731,$A184)</f>
        <v/>
      </c>
      <c r="Q184" s="17">
        <f>SUMIFS(Source_Evolution!$Q$3:$Q$731,Source_Evolution!$A$3:$A$731,$A184)</f>
        <v/>
      </c>
      <c r="R184" s="17">
        <f>SUM(E184:Q184)</f>
        <v/>
      </c>
      <c r="S184" s="17">
        <f>Q184</f>
        <v/>
      </c>
      <c r="T184">
        <f>IF(B184="Software",1,0)</f>
        <v/>
      </c>
      <c r="U184" s="18">
        <f>SUMPRODUCT((Source_Evolution!$A$3:$A$731=$A184)*(Source_Evolution!$E$3:$E$731&gt;0))</f>
        <v/>
      </c>
      <c r="V184" s="18">
        <f>SUMPRODUCT((Source_Evolution!$A$3:$A$731=$A184)*(Source_Evolution!$F$3:$F$731&gt;0))</f>
        <v/>
      </c>
      <c r="W184" s="18">
        <f>SUMPRODUCT((Source_Evolution!$A$3:$A$731=$A184)*(Source_Evolution!$G$3:$G$731&gt;0))</f>
        <v/>
      </c>
      <c r="X184" s="18">
        <f>SUMPRODUCT((Source_Evolution!$A$3:$A$731=$A184)*(Source_Evolution!$H$3:$H$731&gt;0))</f>
        <v/>
      </c>
      <c r="Y184" s="18">
        <f>SUMPRODUCT((Source_Evolution!$A$3:$A$731=$A184)*(Source_Evolution!$I$3:$I$731&gt;0))</f>
        <v/>
      </c>
      <c r="Z184" s="18">
        <f>SUMPRODUCT((Source_Evolution!$A$3:$A$731=$A184)*(Source_Evolution!$J$3:$J$731&gt;0))</f>
        <v/>
      </c>
      <c r="AA184" s="18">
        <f>SUMPRODUCT((Source_Evolution!$A$3:$A$731=$A184)*(Source_Evolution!$K$3:$K$731&gt;0))</f>
        <v/>
      </c>
      <c r="AB184" s="18">
        <f>SUMPRODUCT((Source_Evolution!$A$3:$A$731=$A184)*(Source_Evolution!$L$3:$L$731&gt;0))</f>
        <v/>
      </c>
      <c r="AC184" s="18">
        <f>SUMPRODUCT((Source_Evolution!$A$3:$A$731=$A184)*(Source_Evolution!$M$3:$M$731&gt;0))</f>
        <v/>
      </c>
      <c r="AD184" s="18">
        <f>SUMPRODUCT((Source_Evolution!$A$3:$A$731=$A184)*(Source_Evolution!$N$3:$N$731&gt;0))</f>
        <v/>
      </c>
      <c r="AE184" s="18">
        <f>SUMPRODUCT((Source_Evolution!$A$3:$A$731=$A184)*(Source_Evolution!$O$3:$O$731&gt;0))</f>
        <v/>
      </c>
      <c r="AF184" s="18">
        <f>SUMPRODUCT((Source_Evolution!$A$3:$A$731=$A184)*(Source_Evolution!$P$3:$P$731&gt;0))</f>
        <v/>
      </c>
      <c r="AG184" s="18">
        <f>SUMPRODUCT((Source_Evolution!$A$3:$A$731=$A184)*(Source_Evolution!$Q$3:$Q$731&gt;0))</f>
        <v/>
      </c>
    </row>
    <row r="185">
      <c r="A185" t="inlineStr">
        <is>
          <t>Company 264</t>
        </is>
      </c>
      <c r="B185" t="inlineStr">
        <is>
          <t>Software</t>
        </is>
      </c>
      <c r="C185" t="inlineStr">
        <is>
          <t>Netherlands</t>
        </is>
      </c>
      <c r="D185" t="n">
        <v>2014</v>
      </c>
      <c r="E185" s="17">
        <f>SUMIFS(Source_Evolution!$E$3:$E$731,Source_Evolution!$A$3:$A$731,$A185)</f>
        <v/>
      </c>
      <c r="F185" s="17">
        <f>SUMIFS(Source_Evolution!$F$3:$F$731,Source_Evolution!$A$3:$A$731,$A185)</f>
        <v/>
      </c>
      <c r="G185" s="17">
        <f>SUMIFS(Source_Evolution!$G$3:$G$731,Source_Evolution!$A$3:$A$731,$A185)</f>
        <v/>
      </c>
      <c r="H185" s="17">
        <f>SUMIFS(Source_Evolution!$H$3:$H$731,Source_Evolution!$A$3:$A$731,$A185)</f>
        <v/>
      </c>
      <c r="I185" s="17">
        <f>SUMIFS(Source_Evolution!$I$3:$I$731,Source_Evolution!$A$3:$A$731,$A185)</f>
        <v/>
      </c>
      <c r="J185" s="17">
        <f>SUMIFS(Source_Evolution!$J$3:$J$731,Source_Evolution!$A$3:$A$731,$A185)</f>
        <v/>
      </c>
      <c r="K185" s="17">
        <f>SUMIFS(Source_Evolution!$K$3:$K$731,Source_Evolution!$A$3:$A$731,$A185)</f>
        <v/>
      </c>
      <c r="L185" s="17">
        <f>SUMIFS(Source_Evolution!$L$3:$L$731,Source_Evolution!$A$3:$A$731,$A185)</f>
        <v/>
      </c>
      <c r="M185" s="17">
        <f>SUMIFS(Source_Evolution!$M$3:$M$731,Source_Evolution!$A$3:$A$731,$A185)</f>
        <v/>
      </c>
      <c r="N185" s="17">
        <f>SUMIFS(Source_Evolution!$N$3:$N$731,Source_Evolution!$A$3:$A$731,$A185)</f>
        <v/>
      </c>
      <c r="O185" s="17">
        <f>SUMIFS(Source_Evolution!$O$3:$O$731,Source_Evolution!$A$3:$A$731,$A185)</f>
        <v/>
      </c>
      <c r="P185" s="17">
        <f>SUMIFS(Source_Evolution!$P$3:$P$731,Source_Evolution!$A$3:$A$731,$A185)</f>
        <v/>
      </c>
      <c r="Q185" s="17">
        <f>SUMIFS(Source_Evolution!$Q$3:$Q$731,Source_Evolution!$A$3:$A$731,$A185)</f>
        <v/>
      </c>
      <c r="R185" s="17">
        <f>SUM(E185:Q185)</f>
        <v/>
      </c>
      <c r="S185" s="17">
        <f>Q185</f>
        <v/>
      </c>
      <c r="T185">
        <f>IF(B185="Software",1,0)</f>
        <v/>
      </c>
      <c r="U185" s="18">
        <f>SUMPRODUCT((Source_Evolution!$A$3:$A$731=$A185)*(Source_Evolution!$E$3:$E$731&gt;0))</f>
        <v/>
      </c>
      <c r="V185" s="18">
        <f>SUMPRODUCT((Source_Evolution!$A$3:$A$731=$A185)*(Source_Evolution!$F$3:$F$731&gt;0))</f>
        <v/>
      </c>
      <c r="W185" s="18">
        <f>SUMPRODUCT((Source_Evolution!$A$3:$A$731=$A185)*(Source_Evolution!$G$3:$G$731&gt;0))</f>
        <v/>
      </c>
      <c r="X185" s="18">
        <f>SUMPRODUCT((Source_Evolution!$A$3:$A$731=$A185)*(Source_Evolution!$H$3:$H$731&gt;0))</f>
        <v/>
      </c>
      <c r="Y185" s="18">
        <f>SUMPRODUCT((Source_Evolution!$A$3:$A$731=$A185)*(Source_Evolution!$I$3:$I$731&gt;0))</f>
        <v/>
      </c>
      <c r="Z185" s="18">
        <f>SUMPRODUCT((Source_Evolution!$A$3:$A$731=$A185)*(Source_Evolution!$J$3:$J$731&gt;0))</f>
        <v/>
      </c>
      <c r="AA185" s="18">
        <f>SUMPRODUCT((Source_Evolution!$A$3:$A$731=$A185)*(Source_Evolution!$K$3:$K$731&gt;0))</f>
        <v/>
      </c>
      <c r="AB185" s="18">
        <f>SUMPRODUCT((Source_Evolution!$A$3:$A$731=$A185)*(Source_Evolution!$L$3:$L$731&gt;0))</f>
        <v/>
      </c>
      <c r="AC185" s="18">
        <f>SUMPRODUCT((Source_Evolution!$A$3:$A$731=$A185)*(Source_Evolution!$M$3:$M$731&gt;0))</f>
        <v/>
      </c>
      <c r="AD185" s="18">
        <f>SUMPRODUCT((Source_Evolution!$A$3:$A$731=$A185)*(Source_Evolution!$N$3:$N$731&gt;0))</f>
        <v/>
      </c>
      <c r="AE185" s="18">
        <f>SUMPRODUCT((Source_Evolution!$A$3:$A$731=$A185)*(Source_Evolution!$O$3:$O$731&gt;0))</f>
        <v/>
      </c>
      <c r="AF185" s="18">
        <f>SUMPRODUCT((Source_Evolution!$A$3:$A$731=$A185)*(Source_Evolution!$P$3:$P$731&gt;0))</f>
        <v/>
      </c>
      <c r="AG185" s="18">
        <f>SUMPRODUCT((Source_Evolution!$A$3:$A$731=$A185)*(Source_Evolution!$Q$3:$Q$731&gt;0))</f>
        <v/>
      </c>
    </row>
    <row r="186">
      <c r="A186" t="inlineStr">
        <is>
          <t>Company 265</t>
        </is>
      </c>
      <c r="B186" t="inlineStr">
        <is>
          <t>Software</t>
        </is>
      </c>
      <c r="C186" t="inlineStr">
        <is>
          <t>Netherlands</t>
        </is>
      </c>
      <c r="D186" t="n">
        <v>2014</v>
      </c>
      <c r="E186" s="17">
        <f>SUMIFS(Source_Evolution!$E$3:$E$731,Source_Evolution!$A$3:$A$731,$A186)</f>
        <v/>
      </c>
      <c r="F186" s="17">
        <f>SUMIFS(Source_Evolution!$F$3:$F$731,Source_Evolution!$A$3:$A$731,$A186)</f>
        <v/>
      </c>
      <c r="G186" s="17">
        <f>SUMIFS(Source_Evolution!$G$3:$G$731,Source_Evolution!$A$3:$A$731,$A186)</f>
        <v/>
      </c>
      <c r="H186" s="17">
        <f>SUMIFS(Source_Evolution!$H$3:$H$731,Source_Evolution!$A$3:$A$731,$A186)</f>
        <v/>
      </c>
      <c r="I186" s="17">
        <f>SUMIFS(Source_Evolution!$I$3:$I$731,Source_Evolution!$A$3:$A$731,$A186)</f>
        <v/>
      </c>
      <c r="J186" s="17">
        <f>SUMIFS(Source_Evolution!$J$3:$J$731,Source_Evolution!$A$3:$A$731,$A186)</f>
        <v/>
      </c>
      <c r="K186" s="17">
        <f>SUMIFS(Source_Evolution!$K$3:$K$731,Source_Evolution!$A$3:$A$731,$A186)</f>
        <v/>
      </c>
      <c r="L186" s="17">
        <f>SUMIFS(Source_Evolution!$L$3:$L$731,Source_Evolution!$A$3:$A$731,$A186)</f>
        <v/>
      </c>
      <c r="M186" s="17">
        <f>SUMIFS(Source_Evolution!$M$3:$M$731,Source_Evolution!$A$3:$A$731,$A186)</f>
        <v/>
      </c>
      <c r="N186" s="17">
        <f>SUMIFS(Source_Evolution!$N$3:$N$731,Source_Evolution!$A$3:$A$731,$A186)</f>
        <v/>
      </c>
      <c r="O186" s="17">
        <f>SUMIFS(Source_Evolution!$O$3:$O$731,Source_Evolution!$A$3:$A$731,$A186)</f>
        <v/>
      </c>
      <c r="P186" s="17">
        <f>SUMIFS(Source_Evolution!$P$3:$P$731,Source_Evolution!$A$3:$A$731,$A186)</f>
        <v/>
      </c>
      <c r="Q186" s="17">
        <f>SUMIFS(Source_Evolution!$Q$3:$Q$731,Source_Evolution!$A$3:$A$731,$A186)</f>
        <v/>
      </c>
      <c r="R186" s="17">
        <f>SUM(E186:Q186)</f>
        <v/>
      </c>
      <c r="S186" s="17">
        <f>Q186</f>
        <v/>
      </c>
      <c r="T186">
        <f>IF(B186="Software",1,0)</f>
        <v/>
      </c>
      <c r="U186" s="18">
        <f>SUMPRODUCT((Source_Evolution!$A$3:$A$731=$A186)*(Source_Evolution!$E$3:$E$731&gt;0))</f>
        <v/>
      </c>
      <c r="V186" s="18">
        <f>SUMPRODUCT((Source_Evolution!$A$3:$A$731=$A186)*(Source_Evolution!$F$3:$F$731&gt;0))</f>
        <v/>
      </c>
      <c r="W186" s="18">
        <f>SUMPRODUCT((Source_Evolution!$A$3:$A$731=$A186)*(Source_Evolution!$G$3:$G$731&gt;0))</f>
        <v/>
      </c>
      <c r="X186" s="18">
        <f>SUMPRODUCT((Source_Evolution!$A$3:$A$731=$A186)*(Source_Evolution!$H$3:$H$731&gt;0))</f>
        <v/>
      </c>
      <c r="Y186" s="18">
        <f>SUMPRODUCT((Source_Evolution!$A$3:$A$731=$A186)*(Source_Evolution!$I$3:$I$731&gt;0))</f>
        <v/>
      </c>
      <c r="Z186" s="18">
        <f>SUMPRODUCT((Source_Evolution!$A$3:$A$731=$A186)*(Source_Evolution!$J$3:$J$731&gt;0))</f>
        <v/>
      </c>
      <c r="AA186" s="18">
        <f>SUMPRODUCT((Source_Evolution!$A$3:$A$731=$A186)*(Source_Evolution!$K$3:$K$731&gt;0))</f>
        <v/>
      </c>
      <c r="AB186" s="18">
        <f>SUMPRODUCT((Source_Evolution!$A$3:$A$731=$A186)*(Source_Evolution!$L$3:$L$731&gt;0))</f>
        <v/>
      </c>
      <c r="AC186" s="18">
        <f>SUMPRODUCT((Source_Evolution!$A$3:$A$731=$A186)*(Source_Evolution!$M$3:$M$731&gt;0))</f>
        <v/>
      </c>
      <c r="AD186" s="18">
        <f>SUMPRODUCT((Source_Evolution!$A$3:$A$731=$A186)*(Source_Evolution!$N$3:$N$731&gt;0))</f>
        <v/>
      </c>
      <c r="AE186" s="18">
        <f>SUMPRODUCT((Source_Evolution!$A$3:$A$731=$A186)*(Source_Evolution!$O$3:$O$731&gt;0))</f>
        <v/>
      </c>
      <c r="AF186" s="18">
        <f>SUMPRODUCT((Source_Evolution!$A$3:$A$731=$A186)*(Source_Evolution!$P$3:$P$731&gt;0))</f>
        <v/>
      </c>
      <c r="AG186" s="18">
        <f>SUMPRODUCT((Source_Evolution!$A$3:$A$731=$A186)*(Source_Evolution!$Q$3:$Q$731&gt;0))</f>
        <v/>
      </c>
    </row>
    <row r="187">
      <c r="A187" t="inlineStr">
        <is>
          <t>Company 266</t>
        </is>
      </c>
      <c r="B187" t="inlineStr">
        <is>
          <t>Software</t>
        </is>
      </c>
      <c r="C187" t="inlineStr">
        <is>
          <t>UK</t>
        </is>
      </c>
      <c r="D187" t="n">
        <v>2014</v>
      </c>
      <c r="E187" s="17">
        <f>SUMIFS(Source_Evolution!$E$3:$E$731,Source_Evolution!$A$3:$A$731,$A187)</f>
        <v/>
      </c>
      <c r="F187" s="17">
        <f>SUMIFS(Source_Evolution!$F$3:$F$731,Source_Evolution!$A$3:$A$731,$A187)</f>
        <v/>
      </c>
      <c r="G187" s="17">
        <f>SUMIFS(Source_Evolution!$G$3:$G$731,Source_Evolution!$A$3:$A$731,$A187)</f>
        <v/>
      </c>
      <c r="H187" s="17">
        <f>SUMIFS(Source_Evolution!$H$3:$H$731,Source_Evolution!$A$3:$A$731,$A187)</f>
        <v/>
      </c>
      <c r="I187" s="17">
        <f>SUMIFS(Source_Evolution!$I$3:$I$731,Source_Evolution!$A$3:$A$731,$A187)</f>
        <v/>
      </c>
      <c r="J187" s="17">
        <f>SUMIFS(Source_Evolution!$J$3:$J$731,Source_Evolution!$A$3:$A$731,$A187)</f>
        <v/>
      </c>
      <c r="K187" s="17">
        <f>SUMIFS(Source_Evolution!$K$3:$K$731,Source_Evolution!$A$3:$A$731,$A187)</f>
        <v/>
      </c>
      <c r="L187" s="17">
        <f>SUMIFS(Source_Evolution!$L$3:$L$731,Source_Evolution!$A$3:$A$731,$A187)</f>
        <v/>
      </c>
      <c r="M187" s="17">
        <f>SUMIFS(Source_Evolution!$M$3:$M$731,Source_Evolution!$A$3:$A$731,$A187)</f>
        <v/>
      </c>
      <c r="N187" s="17">
        <f>SUMIFS(Source_Evolution!$N$3:$N$731,Source_Evolution!$A$3:$A$731,$A187)</f>
        <v/>
      </c>
      <c r="O187" s="17">
        <f>SUMIFS(Source_Evolution!$O$3:$O$731,Source_Evolution!$A$3:$A$731,$A187)</f>
        <v/>
      </c>
      <c r="P187" s="17">
        <f>SUMIFS(Source_Evolution!$P$3:$P$731,Source_Evolution!$A$3:$A$731,$A187)</f>
        <v/>
      </c>
      <c r="Q187" s="17">
        <f>SUMIFS(Source_Evolution!$Q$3:$Q$731,Source_Evolution!$A$3:$A$731,$A187)</f>
        <v/>
      </c>
      <c r="R187" s="17">
        <f>SUM(E187:Q187)</f>
        <v/>
      </c>
      <c r="S187" s="17">
        <f>Q187</f>
        <v/>
      </c>
      <c r="T187">
        <f>IF(B187="Software",1,0)</f>
        <v/>
      </c>
      <c r="U187" s="18">
        <f>SUMPRODUCT((Source_Evolution!$A$3:$A$731=$A187)*(Source_Evolution!$E$3:$E$731&gt;0))</f>
        <v/>
      </c>
      <c r="V187" s="18">
        <f>SUMPRODUCT((Source_Evolution!$A$3:$A$731=$A187)*(Source_Evolution!$F$3:$F$731&gt;0))</f>
        <v/>
      </c>
      <c r="W187" s="18">
        <f>SUMPRODUCT((Source_Evolution!$A$3:$A$731=$A187)*(Source_Evolution!$G$3:$G$731&gt;0))</f>
        <v/>
      </c>
      <c r="X187" s="18">
        <f>SUMPRODUCT((Source_Evolution!$A$3:$A$731=$A187)*(Source_Evolution!$H$3:$H$731&gt;0))</f>
        <v/>
      </c>
      <c r="Y187" s="18">
        <f>SUMPRODUCT((Source_Evolution!$A$3:$A$731=$A187)*(Source_Evolution!$I$3:$I$731&gt;0))</f>
        <v/>
      </c>
      <c r="Z187" s="18">
        <f>SUMPRODUCT((Source_Evolution!$A$3:$A$731=$A187)*(Source_Evolution!$J$3:$J$731&gt;0))</f>
        <v/>
      </c>
      <c r="AA187" s="18">
        <f>SUMPRODUCT((Source_Evolution!$A$3:$A$731=$A187)*(Source_Evolution!$K$3:$K$731&gt;0))</f>
        <v/>
      </c>
      <c r="AB187" s="18">
        <f>SUMPRODUCT((Source_Evolution!$A$3:$A$731=$A187)*(Source_Evolution!$L$3:$L$731&gt;0))</f>
        <v/>
      </c>
      <c r="AC187" s="18">
        <f>SUMPRODUCT((Source_Evolution!$A$3:$A$731=$A187)*(Source_Evolution!$M$3:$M$731&gt;0))</f>
        <v/>
      </c>
      <c r="AD187" s="18">
        <f>SUMPRODUCT((Source_Evolution!$A$3:$A$731=$A187)*(Source_Evolution!$N$3:$N$731&gt;0))</f>
        <v/>
      </c>
      <c r="AE187" s="18">
        <f>SUMPRODUCT((Source_Evolution!$A$3:$A$731=$A187)*(Source_Evolution!$O$3:$O$731&gt;0))</f>
        <v/>
      </c>
      <c r="AF187" s="18">
        <f>SUMPRODUCT((Source_Evolution!$A$3:$A$731=$A187)*(Source_Evolution!$P$3:$P$731&gt;0))</f>
        <v/>
      </c>
      <c r="AG187" s="18">
        <f>SUMPRODUCT((Source_Evolution!$A$3:$A$731=$A187)*(Source_Evolution!$Q$3:$Q$731&gt;0))</f>
        <v/>
      </c>
    </row>
    <row r="188">
      <c r="A188" t="inlineStr">
        <is>
          <t>Company 267</t>
        </is>
      </c>
      <c r="B188" t="inlineStr">
        <is>
          <t>Software</t>
        </is>
      </c>
      <c r="C188" t="inlineStr">
        <is>
          <t>Switzerland</t>
        </is>
      </c>
      <c r="D188" t="n">
        <v>2021</v>
      </c>
      <c r="E188" s="17">
        <f>SUMIFS(Source_Evolution!$E$3:$E$731,Source_Evolution!$A$3:$A$731,$A188)</f>
        <v/>
      </c>
      <c r="F188" s="17">
        <f>SUMIFS(Source_Evolution!$F$3:$F$731,Source_Evolution!$A$3:$A$731,$A188)</f>
        <v/>
      </c>
      <c r="G188" s="17">
        <f>SUMIFS(Source_Evolution!$G$3:$G$731,Source_Evolution!$A$3:$A$731,$A188)</f>
        <v/>
      </c>
      <c r="H188" s="17">
        <f>SUMIFS(Source_Evolution!$H$3:$H$731,Source_Evolution!$A$3:$A$731,$A188)</f>
        <v/>
      </c>
      <c r="I188" s="17">
        <f>SUMIFS(Source_Evolution!$I$3:$I$731,Source_Evolution!$A$3:$A$731,$A188)</f>
        <v/>
      </c>
      <c r="J188" s="17">
        <f>SUMIFS(Source_Evolution!$J$3:$J$731,Source_Evolution!$A$3:$A$731,$A188)</f>
        <v/>
      </c>
      <c r="K188" s="17">
        <f>SUMIFS(Source_Evolution!$K$3:$K$731,Source_Evolution!$A$3:$A$731,$A188)</f>
        <v/>
      </c>
      <c r="L188" s="17">
        <f>SUMIFS(Source_Evolution!$L$3:$L$731,Source_Evolution!$A$3:$A$731,$A188)</f>
        <v/>
      </c>
      <c r="M188" s="17">
        <f>SUMIFS(Source_Evolution!$M$3:$M$731,Source_Evolution!$A$3:$A$731,$A188)</f>
        <v/>
      </c>
      <c r="N188" s="17">
        <f>SUMIFS(Source_Evolution!$N$3:$N$731,Source_Evolution!$A$3:$A$731,$A188)</f>
        <v/>
      </c>
      <c r="O188" s="17">
        <f>SUMIFS(Source_Evolution!$O$3:$O$731,Source_Evolution!$A$3:$A$731,$A188)</f>
        <v/>
      </c>
      <c r="P188" s="17">
        <f>SUMIFS(Source_Evolution!$P$3:$P$731,Source_Evolution!$A$3:$A$731,$A188)</f>
        <v/>
      </c>
      <c r="Q188" s="17">
        <f>SUMIFS(Source_Evolution!$Q$3:$Q$731,Source_Evolution!$A$3:$A$731,$A188)</f>
        <v/>
      </c>
      <c r="R188" s="17">
        <f>SUM(E188:Q188)</f>
        <v/>
      </c>
      <c r="S188" s="17">
        <f>Q188</f>
        <v/>
      </c>
      <c r="T188">
        <f>IF(B188="Software",1,0)</f>
        <v/>
      </c>
      <c r="U188" s="18">
        <f>SUMPRODUCT((Source_Evolution!$A$3:$A$731=$A188)*(Source_Evolution!$E$3:$E$731&gt;0))</f>
        <v/>
      </c>
      <c r="V188" s="18">
        <f>SUMPRODUCT((Source_Evolution!$A$3:$A$731=$A188)*(Source_Evolution!$F$3:$F$731&gt;0))</f>
        <v/>
      </c>
      <c r="W188" s="18">
        <f>SUMPRODUCT((Source_Evolution!$A$3:$A$731=$A188)*(Source_Evolution!$G$3:$G$731&gt;0))</f>
        <v/>
      </c>
      <c r="X188" s="18">
        <f>SUMPRODUCT((Source_Evolution!$A$3:$A$731=$A188)*(Source_Evolution!$H$3:$H$731&gt;0))</f>
        <v/>
      </c>
      <c r="Y188" s="18">
        <f>SUMPRODUCT((Source_Evolution!$A$3:$A$731=$A188)*(Source_Evolution!$I$3:$I$731&gt;0))</f>
        <v/>
      </c>
      <c r="Z188" s="18">
        <f>SUMPRODUCT((Source_Evolution!$A$3:$A$731=$A188)*(Source_Evolution!$J$3:$J$731&gt;0))</f>
        <v/>
      </c>
      <c r="AA188" s="18">
        <f>SUMPRODUCT((Source_Evolution!$A$3:$A$731=$A188)*(Source_Evolution!$K$3:$K$731&gt;0))</f>
        <v/>
      </c>
      <c r="AB188" s="18">
        <f>SUMPRODUCT((Source_Evolution!$A$3:$A$731=$A188)*(Source_Evolution!$L$3:$L$731&gt;0))</f>
        <v/>
      </c>
      <c r="AC188" s="18">
        <f>SUMPRODUCT((Source_Evolution!$A$3:$A$731=$A188)*(Source_Evolution!$M$3:$M$731&gt;0))</f>
        <v/>
      </c>
      <c r="AD188" s="18">
        <f>SUMPRODUCT((Source_Evolution!$A$3:$A$731=$A188)*(Source_Evolution!$N$3:$N$731&gt;0))</f>
        <v/>
      </c>
      <c r="AE188" s="18">
        <f>SUMPRODUCT((Source_Evolution!$A$3:$A$731=$A188)*(Source_Evolution!$O$3:$O$731&gt;0))</f>
        <v/>
      </c>
      <c r="AF188" s="18">
        <f>SUMPRODUCT((Source_Evolution!$A$3:$A$731=$A188)*(Source_Evolution!$P$3:$P$731&gt;0))</f>
        <v/>
      </c>
      <c r="AG188" s="18">
        <f>SUMPRODUCT((Source_Evolution!$A$3:$A$731=$A188)*(Source_Evolution!$Q$3:$Q$731&gt;0))</f>
        <v/>
      </c>
    </row>
    <row r="189">
      <c r="A189" t="inlineStr">
        <is>
          <t>Company 268</t>
        </is>
      </c>
      <c r="B189" t="inlineStr">
        <is>
          <t>Operations</t>
        </is>
      </c>
      <c r="C189" t="inlineStr">
        <is>
          <t>France</t>
        </is>
      </c>
      <c r="D189" t="n">
        <v>2014</v>
      </c>
      <c r="E189" s="17">
        <f>SUMIFS(Source_Evolution!$E$3:$E$731,Source_Evolution!$A$3:$A$731,$A189)</f>
        <v/>
      </c>
      <c r="F189" s="17">
        <f>SUMIFS(Source_Evolution!$F$3:$F$731,Source_Evolution!$A$3:$A$731,$A189)</f>
        <v/>
      </c>
      <c r="G189" s="17">
        <f>SUMIFS(Source_Evolution!$G$3:$G$731,Source_Evolution!$A$3:$A$731,$A189)</f>
        <v/>
      </c>
      <c r="H189" s="17">
        <f>SUMIFS(Source_Evolution!$H$3:$H$731,Source_Evolution!$A$3:$A$731,$A189)</f>
        <v/>
      </c>
      <c r="I189" s="17">
        <f>SUMIFS(Source_Evolution!$I$3:$I$731,Source_Evolution!$A$3:$A$731,$A189)</f>
        <v/>
      </c>
      <c r="J189" s="17">
        <f>SUMIFS(Source_Evolution!$J$3:$J$731,Source_Evolution!$A$3:$A$731,$A189)</f>
        <v/>
      </c>
      <c r="K189" s="17">
        <f>SUMIFS(Source_Evolution!$K$3:$K$731,Source_Evolution!$A$3:$A$731,$A189)</f>
        <v/>
      </c>
      <c r="L189" s="17">
        <f>SUMIFS(Source_Evolution!$L$3:$L$731,Source_Evolution!$A$3:$A$731,$A189)</f>
        <v/>
      </c>
      <c r="M189" s="17">
        <f>SUMIFS(Source_Evolution!$M$3:$M$731,Source_Evolution!$A$3:$A$731,$A189)</f>
        <v/>
      </c>
      <c r="N189" s="17">
        <f>SUMIFS(Source_Evolution!$N$3:$N$731,Source_Evolution!$A$3:$A$731,$A189)</f>
        <v/>
      </c>
      <c r="O189" s="17">
        <f>SUMIFS(Source_Evolution!$O$3:$O$731,Source_Evolution!$A$3:$A$731,$A189)</f>
        <v/>
      </c>
      <c r="P189" s="17">
        <f>SUMIFS(Source_Evolution!$P$3:$P$731,Source_Evolution!$A$3:$A$731,$A189)</f>
        <v/>
      </c>
      <c r="Q189" s="17">
        <f>SUMIFS(Source_Evolution!$Q$3:$Q$731,Source_Evolution!$A$3:$A$731,$A189)</f>
        <v/>
      </c>
      <c r="R189" s="17">
        <f>SUM(E189:Q189)</f>
        <v/>
      </c>
      <c r="S189" s="17">
        <f>Q189</f>
        <v/>
      </c>
      <c r="T189">
        <f>IF(B189="Software",1,0)</f>
        <v/>
      </c>
      <c r="U189" s="18">
        <f>SUMPRODUCT((Source_Evolution!$A$3:$A$731=$A189)*(Source_Evolution!$E$3:$E$731&gt;0))</f>
        <v/>
      </c>
      <c r="V189" s="18">
        <f>SUMPRODUCT((Source_Evolution!$A$3:$A$731=$A189)*(Source_Evolution!$F$3:$F$731&gt;0))</f>
        <v/>
      </c>
      <c r="W189" s="18">
        <f>SUMPRODUCT((Source_Evolution!$A$3:$A$731=$A189)*(Source_Evolution!$G$3:$G$731&gt;0))</f>
        <v/>
      </c>
      <c r="X189" s="18">
        <f>SUMPRODUCT((Source_Evolution!$A$3:$A$731=$A189)*(Source_Evolution!$H$3:$H$731&gt;0))</f>
        <v/>
      </c>
      <c r="Y189" s="18">
        <f>SUMPRODUCT((Source_Evolution!$A$3:$A$731=$A189)*(Source_Evolution!$I$3:$I$731&gt;0))</f>
        <v/>
      </c>
      <c r="Z189" s="18">
        <f>SUMPRODUCT((Source_Evolution!$A$3:$A$731=$A189)*(Source_Evolution!$J$3:$J$731&gt;0))</f>
        <v/>
      </c>
      <c r="AA189" s="18">
        <f>SUMPRODUCT((Source_Evolution!$A$3:$A$731=$A189)*(Source_Evolution!$K$3:$K$731&gt;0))</f>
        <v/>
      </c>
      <c r="AB189" s="18">
        <f>SUMPRODUCT((Source_Evolution!$A$3:$A$731=$A189)*(Source_Evolution!$L$3:$L$731&gt;0))</f>
        <v/>
      </c>
      <c r="AC189" s="18">
        <f>SUMPRODUCT((Source_Evolution!$A$3:$A$731=$A189)*(Source_Evolution!$M$3:$M$731&gt;0))</f>
        <v/>
      </c>
      <c r="AD189" s="18">
        <f>SUMPRODUCT((Source_Evolution!$A$3:$A$731=$A189)*(Source_Evolution!$N$3:$N$731&gt;0))</f>
        <v/>
      </c>
      <c r="AE189" s="18">
        <f>SUMPRODUCT((Source_Evolution!$A$3:$A$731=$A189)*(Source_Evolution!$O$3:$O$731&gt;0))</f>
        <v/>
      </c>
      <c r="AF189" s="18">
        <f>SUMPRODUCT((Source_Evolution!$A$3:$A$731=$A189)*(Source_Evolution!$P$3:$P$731&gt;0))</f>
        <v/>
      </c>
      <c r="AG189" s="18">
        <f>SUMPRODUCT((Source_Evolution!$A$3:$A$731=$A189)*(Source_Evolution!$Q$3:$Q$731&gt;0))</f>
        <v/>
      </c>
    </row>
    <row r="190">
      <c r="A190" t="inlineStr">
        <is>
          <t>Company 269</t>
        </is>
      </c>
      <c r="B190" t="inlineStr">
        <is>
          <t>Software</t>
        </is>
      </c>
      <c r="C190" t="inlineStr">
        <is>
          <t>Belgium</t>
        </is>
      </c>
      <c r="D190" t="n">
        <v>2016</v>
      </c>
      <c r="E190" s="17">
        <f>SUMIFS(Source_Evolution!$E$3:$E$731,Source_Evolution!$A$3:$A$731,$A190)</f>
        <v/>
      </c>
      <c r="F190" s="17">
        <f>SUMIFS(Source_Evolution!$F$3:$F$731,Source_Evolution!$A$3:$A$731,$A190)</f>
        <v/>
      </c>
      <c r="G190" s="17">
        <f>SUMIFS(Source_Evolution!$G$3:$G$731,Source_Evolution!$A$3:$A$731,$A190)</f>
        <v/>
      </c>
      <c r="H190" s="17">
        <f>SUMIFS(Source_Evolution!$H$3:$H$731,Source_Evolution!$A$3:$A$731,$A190)</f>
        <v/>
      </c>
      <c r="I190" s="17">
        <f>SUMIFS(Source_Evolution!$I$3:$I$731,Source_Evolution!$A$3:$A$731,$A190)</f>
        <v/>
      </c>
      <c r="J190" s="17">
        <f>SUMIFS(Source_Evolution!$J$3:$J$731,Source_Evolution!$A$3:$A$731,$A190)</f>
        <v/>
      </c>
      <c r="K190" s="17">
        <f>SUMIFS(Source_Evolution!$K$3:$K$731,Source_Evolution!$A$3:$A$731,$A190)</f>
        <v/>
      </c>
      <c r="L190" s="17">
        <f>SUMIFS(Source_Evolution!$L$3:$L$731,Source_Evolution!$A$3:$A$731,$A190)</f>
        <v/>
      </c>
      <c r="M190" s="17">
        <f>SUMIFS(Source_Evolution!$M$3:$M$731,Source_Evolution!$A$3:$A$731,$A190)</f>
        <v/>
      </c>
      <c r="N190" s="17">
        <f>SUMIFS(Source_Evolution!$N$3:$N$731,Source_Evolution!$A$3:$A$731,$A190)</f>
        <v/>
      </c>
      <c r="O190" s="17">
        <f>SUMIFS(Source_Evolution!$O$3:$O$731,Source_Evolution!$A$3:$A$731,$A190)</f>
        <v/>
      </c>
      <c r="P190" s="17">
        <f>SUMIFS(Source_Evolution!$P$3:$P$731,Source_Evolution!$A$3:$A$731,$A190)</f>
        <v/>
      </c>
      <c r="Q190" s="17">
        <f>SUMIFS(Source_Evolution!$Q$3:$Q$731,Source_Evolution!$A$3:$A$731,$A190)</f>
        <v/>
      </c>
      <c r="R190" s="17">
        <f>SUM(E190:Q190)</f>
        <v/>
      </c>
      <c r="S190" s="17">
        <f>Q190</f>
        <v/>
      </c>
      <c r="T190">
        <f>IF(B190="Software",1,0)</f>
        <v/>
      </c>
      <c r="U190" s="18">
        <f>SUMPRODUCT((Source_Evolution!$A$3:$A$731=$A190)*(Source_Evolution!$E$3:$E$731&gt;0))</f>
        <v/>
      </c>
      <c r="V190" s="18">
        <f>SUMPRODUCT((Source_Evolution!$A$3:$A$731=$A190)*(Source_Evolution!$F$3:$F$731&gt;0))</f>
        <v/>
      </c>
      <c r="W190" s="18">
        <f>SUMPRODUCT((Source_Evolution!$A$3:$A$731=$A190)*(Source_Evolution!$G$3:$G$731&gt;0))</f>
        <v/>
      </c>
      <c r="X190" s="18">
        <f>SUMPRODUCT((Source_Evolution!$A$3:$A$731=$A190)*(Source_Evolution!$H$3:$H$731&gt;0))</f>
        <v/>
      </c>
      <c r="Y190" s="18">
        <f>SUMPRODUCT((Source_Evolution!$A$3:$A$731=$A190)*(Source_Evolution!$I$3:$I$731&gt;0))</f>
        <v/>
      </c>
      <c r="Z190" s="18">
        <f>SUMPRODUCT((Source_Evolution!$A$3:$A$731=$A190)*(Source_Evolution!$J$3:$J$731&gt;0))</f>
        <v/>
      </c>
      <c r="AA190" s="18">
        <f>SUMPRODUCT((Source_Evolution!$A$3:$A$731=$A190)*(Source_Evolution!$K$3:$K$731&gt;0))</f>
        <v/>
      </c>
      <c r="AB190" s="18">
        <f>SUMPRODUCT((Source_Evolution!$A$3:$A$731=$A190)*(Source_Evolution!$L$3:$L$731&gt;0))</f>
        <v/>
      </c>
      <c r="AC190" s="18">
        <f>SUMPRODUCT((Source_Evolution!$A$3:$A$731=$A190)*(Source_Evolution!$M$3:$M$731&gt;0))</f>
        <v/>
      </c>
      <c r="AD190" s="18">
        <f>SUMPRODUCT((Source_Evolution!$A$3:$A$731=$A190)*(Source_Evolution!$N$3:$N$731&gt;0))</f>
        <v/>
      </c>
      <c r="AE190" s="18">
        <f>SUMPRODUCT((Source_Evolution!$A$3:$A$731=$A190)*(Source_Evolution!$O$3:$O$731&gt;0))</f>
        <v/>
      </c>
      <c r="AF190" s="18">
        <f>SUMPRODUCT((Source_Evolution!$A$3:$A$731=$A190)*(Source_Evolution!$P$3:$P$731&gt;0))</f>
        <v/>
      </c>
      <c r="AG190" s="18">
        <f>SUMPRODUCT((Source_Evolution!$A$3:$A$731=$A190)*(Source_Evolution!$Q$3:$Q$731&gt;0))</f>
        <v/>
      </c>
    </row>
    <row r="191">
      <c r="A191" t="inlineStr">
        <is>
          <t>Company 27</t>
        </is>
      </c>
      <c r="B191" t="inlineStr">
        <is>
          <t>Software</t>
        </is>
      </c>
      <c r="C191" t="inlineStr">
        <is>
          <t>Netherlands</t>
        </is>
      </c>
      <c r="D191" t="n">
        <v>2014</v>
      </c>
      <c r="E191" s="17">
        <f>SUMIFS(Source_Evolution!$E$3:$E$731,Source_Evolution!$A$3:$A$731,$A191)</f>
        <v/>
      </c>
      <c r="F191" s="17">
        <f>SUMIFS(Source_Evolution!$F$3:$F$731,Source_Evolution!$A$3:$A$731,$A191)</f>
        <v/>
      </c>
      <c r="G191" s="17">
        <f>SUMIFS(Source_Evolution!$G$3:$G$731,Source_Evolution!$A$3:$A$731,$A191)</f>
        <v/>
      </c>
      <c r="H191" s="17">
        <f>SUMIFS(Source_Evolution!$H$3:$H$731,Source_Evolution!$A$3:$A$731,$A191)</f>
        <v/>
      </c>
      <c r="I191" s="17">
        <f>SUMIFS(Source_Evolution!$I$3:$I$731,Source_Evolution!$A$3:$A$731,$A191)</f>
        <v/>
      </c>
      <c r="J191" s="17">
        <f>SUMIFS(Source_Evolution!$J$3:$J$731,Source_Evolution!$A$3:$A$731,$A191)</f>
        <v/>
      </c>
      <c r="K191" s="17">
        <f>SUMIFS(Source_Evolution!$K$3:$K$731,Source_Evolution!$A$3:$A$731,$A191)</f>
        <v/>
      </c>
      <c r="L191" s="17">
        <f>SUMIFS(Source_Evolution!$L$3:$L$731,Source_Evolution!$A$3:$A$731,$A191)</f>
        <v/>
      </c>
      <c r="M191" s="17">
        <f>SUMIFS(Source_Evolution!$M$3:$M$731,Source_Evolution!$A$3:$A$731,$A191)</f>
        <v/>
      </c>
      <c r="N191" s="17">
        <f>SUMIFS(Source_Evolution!$N$3:$N$731,Source_Evolution!$A$3:$A$731,$A191)</f>
        <v/>
      </c>
      <c r="O191" s="17">
        <f>SUMIFS(Source_Evolution!$O$3:$O$731,Source_Evolution!$A$3:$A$731,$A191)</f>
        <v/>
      </c>
      <c r="P191" s="17">
        <f>SUMIFS(Source_Evolution!$P$3:$P$731,Source_Evolution!$A$3:$A$731,$A191)</f>
        <v/>
      </c>
      <c r="Q191" s="17">
        <f>SUMIFS(Source_Evolution!$Q$3:$Q$731,Source_Evolution!$A$3:$A$731,$A191)</f>
        <v/>
      </c>
      <c r="R191" s="17">
        <f>SUM(E191:Q191)</f>
        <v/>
      </c>
      <c r="S191" s="17">
        <f>Q191</f>
        <v/>
      </c>
      <c r="T191">
        <f>IF(B191="Software",1,0)</f>
        <v/>
      </c>
      <c r="U191" s="18">
        <f>SUMPRODUCT((Source_Evolution!$A$3:$A$731=$A191)*(Source_Evolution!$E$3:$E$731&gt;0))</f>
        <v/>
      </c>
      <c r="V191" s="18">
        <f>SUMPRODUCT((Source_Evolution!$A$3:$A$731=$A191)*(Source_Evolution!$F$3:$F$731&gt;0))</f>
        <v/>
      </c>
      <c r="W191" s="18">
        <f>SUMPRODUCT((Source_Evolution!$A$3:$A$731=$A191)*(Source_Evolution!$G$3:$G$731&gt;0))</f>
        <v/>
      </c>
      <c r="X191" s="18">
        <f>SUMPRODUCT((Source_Evolution!$A$3:$A$731=$A191)*(Source_Evolution!$H$3:$H$731&gt;0))</f>
        <v/>
      </c>
      <c r="Y191" s="18">
        <f>SUMPRODUCT((Source_Evolution!$A$3:$A$731=$A191)*(Source_Evolution!$I$3:$I$731&gt;0))</f>
        <v/>
      </c>
      <c r="Z191" s="18">
        <f>SUMPRODUCT((Source_Evolution!$A$3:$A$731=$A191)*(Source_Evolution!$J$3:$J$731&gt;0))</f>
        <v/>
      </c>
      <c r="AA191" s="18">
        <f>SUMPRODUCT((Source_Evolution!$A$3:$A$731=$A191)*(Source_Evolution!$K$3:$K$731&gt;0))</f>
        <v/>
      </c>
      <c r="AB191" s="18">
        <f>SUMPRODUCT((Source_Evolution!$A$3:$A$731=$A191)*(Source_Evolution!$L$3:$L$731&gt;0))</f>
        <v/>
      </c>
      <c r="AC191" s="18">
        <f>SUMPRODUCT((Source_Evolution!$A$3:$A$731=$A191)*(Source_Evolution!$M$3:$M$731&gt;0))</f>
        <v/>
      </c>
      <c r="AD191" s="18">
        <f>SUMPRODUCT((Source_Evolution!$A$3:$A$731=$A191)*(Source_Evolution!$N$3:$N$731&gt;0))</f>
        <v/>
      </c>
      <c r="AE191" s="18">
        <f>SUMPRODUCT((Source_Evolution!$A$3:$A$731=$A191)*(Source_Evolution!$O$3:$O$731&gt;0))</f>
        <v/>
      </c>
      <c r="AF191" s="18">
        <f>SUMPRODUCT((Source_Evolution!$A$3:$A$731=$A191)*(Source_Evolution!$P$3:$P$731&gt;0))</f>
        <v/>
      </c>
      <c r="AG191" s="18">
        <f>SUMPRODUCT((Source_Evolution!$A$3:$A$731=$A191)*(Source_Evolution!$Q$3:$Q$731&gt;0))</f>
        <v/>
      </c>
    </row>
    <row r="192">
      <c r="A192" t="inlineStr">
        <is>
          <t>Company 270</t>
        </is>
      </c>
      <c r="B192" t="inlineStr">
        <is>
          <t>Software</t>
        </is>
      </c>
      <c r="C192" t="inlineStr">
        <is>
          <t>France</t>
        </is>
      </c>
      <c r="D192" t="n">
        <v>2014</v>
      </c>
      <c r="E192" s="17">
        <f>SUMIFS(Source_Evolution!$E$3:$E$731,Source_Evolution!$A$3:$A$731,$A192)</f>
        <v/>
      </c>
      <c r="F192" s="17">
        <f>SUMIFS(Source_Evolution!$F$3:$F$731,Source_Evolution!$A$3:$A$731,$A192)</f>
        <v/>
      </c>
      <c r="G192" s="17">
        <f>SUMIFS(Source_Evolution!$G$3:$G$731,Source_Evolution!$A$3:$A$731,$A192)</f>
        <v/>
      </c>
      <c r="H192" s="17">
        <f>SUMIFS(Source_Evolution!$H$3:$H$731,Source_Evolution!$A$3:$A$731,$A192)</f>
        <v/>
      </c>
      <c r="I192" s="17">
        <f>SUMIFS(Source_Evolution!$I$3:$I$731,Source_Evolution!$A$3:$A$731,$A192)</f>
        <v/>
      </c>
      <c r="J192" s="17">
        <f>SUMIFS(Source_Evolution!$J$3:$J$731,Source_Evolution!$A$3:$A$731,$A192)</f>
        <v/>
      </c>
      <c r="K192" s="17">
        <f>SUMIFS(Source_Evolution!$K$3:$K$731,Source_Evolution!$A$3:$A$731,$A192)</f>
        <v/>
      </c>
      <c r="L192" s="17">
        <f>SUMIFS(Source_Evolution!$L$3:$L$731,Source_Evolution!$A$3:$A$731,$A192)</f>
        <v/>
      </c>
      <c r="M192" s="17">
        <f>SUMIFS(Source_Evolution!$M$3:$M$731,Source_Evolution!$A$3:$A$731,$A192)</f>
        <v/>
      </c>
      <c r="N192" s="17">
        <f>SUMIFS(Source_Evolution!$N$3:$N$731,Source_Evolution!$A$3:$A$731,$A192)</f>
        <v/>
      </c>
      <c r="O192" s="17">
        <f>SUMIFS(Source_Evolution!$O$3:$O$731,Source_Evolution!$A$3:$A$731,$A192)</f>
        <v/>
      </c>
      <c r="P192" s="17">
        <f>SUMIFS(Source_Evolution!$P$3:$P$731,Source_Evolution!$A$3:$A$731,$A192)</f>
        <v/>
      </c>
      <c r="Q192" s="17">
        <f>SUMIFS(Source_Evolution!$Q$3:$Q$731,Source_Evolution!$A$3:$A$731,$A192)</f>
        <v/>
      </c>
      <c r="R192" s="17">
        <f>SUM(E192:Q192)</f>
        <v/>
      </c>
      <c r="S192" s="17">
        <f>Q192</f>
        <v/>
      </c>
      <c r="T192">
        <f>IF(B192="Software",1,0)</f>
        <v/>
      </c>
      <c r="U192" s="18">
        <f>SUMPRODUCT((Source_Evolution!$A$3:$A$731=$A192)*(Source_Evolution!$E$3:$E$731&gt;0))</f>
        <v/>
      </c>
      <c r="V192" s="18">
        <f>SUMPRODUCT((Source_Evolution!$A$3:$A$731=$A192)*(Source_Evolution!$F$3:$F$731&gt;0))</f>
        <v/>
      </c>
      <c r="W192" s="18">
        <f>SUMPRODUCT((Source_Evolution!$A$3:$A$731=$A192)*(Source_Evolution!$G$3:$G$731&gt;0))</f>
        <v/>
      </c>
      <c r="X192" s="18">
        <f>SUMPRODUCT((Source_Evolution!$A$3:$A$731=$A192)*(Source_Evolution!$H$3:$H$731&gt;0))</f>
        <v/>
      </c>
      <c r="Y192" s="18">
        <f>SUMPRODUCT((Source_Evolution!$A$3:$A$731=$A192)*(Source_Evolution!$I$3:$I$731&gt;0))</f>
        <v/>
      </c>
      <c r="Z192" s="18">
        <f>SUMPRODUCT((Source_Evolution!$A$3:$A$731=$A192)*(Source_Evolution!$J$3:$J$731&gt;0))</f>
        <v/>
      </c>
      <c r="AA192" s="18">
        <f>SUMPRODUCT((Source_Evolution!$A$3:$A$731=$A192)*(Source_Evolution!$K$3:$K$731&gt;0))</f>
        <v/>
      </c>
      <c r="AB192" s="18">
        <f>SUMPRODUCT((Source_Evolution!$A$3:$A$731=$A192)*(Source_Evolution!$L$3:$L$731&gt;0))</f>
        <v/>
      </c>
      <c r="AC192" s="18">
        <f>SUMPRODUCT((Source_Evolution!$A$3:$A$731=$A192)*(Source_Evolution!$M$3:$M$731&gt;0))</f>
        <v/>
      </c>
      <c r="AD192" s="18">
        <f>SUMPRODUCT((Source_Evolution!$A$3:$A$731=$A192)*(Source_Evolution!$N$3:$N$731&gt;0))</f>
        <v/>
      </c>
      <c r="AE192" s="18">
        <f>SUMPRODUCT((Source_Evolution!$A$3:$A$731=$A192)*(Source_Evolution!$O$3:$O$731&gt;0))</f>
        <v/>
      </c>
      <c r="AF192" s="18">
        <f>SUMPRODUCT((Source_Evolution!$A$3:$A$731=$A192)*(Source_Evolution!$P$3:$P$731&gt;0))</f>
        <v/>
      </c>
      <c r="AG192" s="18">
        <f>SUMPRODUCT((Source_Evolution!$A$3:$A$731=$A192)*(Source_Evolution!$Q$3:$Q$731&gt;0))</f>
        <v/>
      </c>
    </row>
    <row r="193">
      <c r="A193" t="inlineStr">
        <is>
          <t>Company 271</t>
        </is>
      </c>
      <c r="B193" t="inlineStr">
        <is>
          <t>Software</t>
        </is>
      </c>
      <c r="C193" t="inlineStr">
        <is>
          <t>France</t>
        </is>
      </c>
      <c r="D193" t="n">
        <v>2014</v>
      </c>
      <c r="E193" s="17">
        <f>SUMIFS(Source_Evolution!$E$3:$E$731,Source_Evolution!$A$3:$A$731,$A193)</f>
        <v/>
      </c>
      <c r="F193" s="17">
        <f>SUMIFS(Source_Evolution!$F$3:$F$731,Source_Evolution!$A$3:$A$731,$A193)</f>
        <v/>
      </c>
      <c r="G193" s="17">
        <f>SUMIFS(Source_Evolution!$G$3:$G$731,Source_Evolution!$A$3:$A$731,$A193)</f>
        <v/>
      </c>
      <c r="H193" s="17">
        <f>SUMIFS(Source_Evolution!$H$3:$H$731,Source_Evolution!$A$3:$A$731,$A193)</f>
        <v/>
      </c>
      <c r="I193" s="17">
        <f>SUMIFS(Source_Evolution!$I$3:$I$731,Source_Evolution!$A$3:$A$731,$A193)</f>
        <v/>
      </c>
      <c r="J193" s="17">
        <f>SUMIFS(Source_Evolution!$J$3:$J$731,Source_Evolution!$A$3:$A$731,$A193)</f>
        <v/>
      </c>
      <c r="K193" s="17">
        <f>SUMIFS(Source_Evolution!$K$3:$K$731,Source_Evolution!$A$3:$A$731,$A193)</f>
        <v/>
      </c>
      <c r="L193" s="17">
        <f>SUMIFS(Source_Evolution!$L$3:$L$731,Source_Evolution!$A$3:$A$731,$A193)</f>
        <v/>
      </c>
      <c r="M193" s="17">
        <f>SUMIFS(Source_Evolution!$M$3:$M$731,Source_Evolution!$A$3:$A$731,$A193)</f>
        <v/>
      </c>
      <c r="N193" s="17">
        <f>SUMIFS(Source_Evolution!$N$3:$N$731,Source_Evolution!$A$3:$A$731,$A193)</f>
        <v/>
      </c>
      <c r="O193" s="17">
        <f>SUMIFS(Source_Evolution!$O$3:$O$731,Source_Evolution!$A$3:$A$731,$A193)</f>
        <v/>
      </c>
      <c r="P193" s="17">
        <f>SUMIFS(Source_Evolution!$P$3:$P$731,Source_Evolution!$A$3:$A$731,$A193)</f>
        <v/>
      </c>
      <c r="Q193" s="17">
        <f>SUMIFS(Source_Evolution!$Q$3:$Q$731,Source_Evolution!$A$3:$A$731,$A193)</f>
        <v/>
      </c>
      <c r="R193" s="17">
        <f>SUM(E193:Q193)</f>
        <v/>
      </c>
      <c r="S193" s="17">
        <f>Q193</f>
        <v/>
      </c>
      <c r="T193">
        <f>IF(B193="Software",1,0)</f>
        <v/>
      </c>
      <c r="U193" s="18">
        <f>SUMPRODUCT((Source_Evolution!$A$3:$A$731=$A193)*(Source_Evolution!$E$3:$E$731&gt;0))</f>
        <v/>
      </c>
      <c r="V193" s="18">
        <f>SUMPRODUCT((Source_Evolution!$A$3:$A$731=$A193)*(Source_Evolution!$F$3:$F$731&gt;0))</f>
        <v/>
      </c>
      <c r="W193" s="18">
        <f>SUMPRODUCT((Source_Evolution!$A$3:$A$731=$A193)*(Source_Evolution!$G$3:$G$731&gt;0))</f>
        <v/>
      </c>
      <c r="X193" s="18">
        <f>SUMPRODUCT((Source_Evolution!$A$3:$A$731=$A193)*(Source_Evolution!$H$3:$H$731&gt;0))</f>
        <v/>
      </c>
      <c r="Y193" s="18">
        <f>SUMPRODUCT((Source_Evolution!$A$3:$A$731=$A193)*(Source_Evolution!$I$3:$I$731&gt;0))</f>
        <v/>
      </c>
      <c r="Z193" s="18">
        <f>SUMPRODUCT((Source_Evolution!$A$3:$A$731=$A193)*(Source_Evolution!$J$3:$J$731&gt;0))</f>
        <v/>
      </c>
      <c r="AA193" s="18">
        <f>SUMPRODUCT((Source_Evolution!$A$3:$A$731=$A193)*(Source_Evolution!$K$3:$K$731&gt;0))</f>
        <v/>
      </c>
      <c r="AB193" s="18">
        <f>SUMPRODUCT((Source_Evolution!$A$3:$A$731=$A193)*(Source_Evolution!$L$3:$L$731&gt;0))</f>
        <v/>
      </c>
      <c r="AC193" s="18">
        <f>SUMPRODUCT((Source_Evolution!$A$3:$A$731=$A193)*(Source_Evolution!$M$3:$M$731&gt;0))</f>
        <v/>
      </c>
      <c r="AD193" s="18">
        <f>SUMPRODUCT((Source_Evolution!$A$3:$A$731=$A193)*(Source_Evolution!$N$3:$N$731&gt;0))</f>
        <v/>
      </c>
      <c r="AE193" s="18">
        <f>SUMPRODUCT((Source_Evolution!$A$3:$A$731=$A193)*(Source_Evolution!$O$3:$O$731&gt;0))</f>
        <v/>
      </c>
      <c r="AF193" s="18">
        <f>SUMPRODUCT((Source_Evolution!$A$3:$A$731=$A193)*(Source_Evolution!$P$3:$P$731&gt;0))</f>
        <v/>
      </c>
      <c r="AG193" s="18">
        <f>SUMPRODUCT((Source_Evolution!$A$3:$A$731=$A193)*(Source_Evolution!$Q$3:$Q$731&gt;0))</f>
        <v/>
      </c>
    </row>
    <row r="194">
      <c r="A194" t="inlineStr">
        <is>
          <t>Company 272</t>
        </is>
      </c>
      <c r="B194" t="inlineStr">
        <is>
          <t>Software</t>
        </is>
      </c>
      <c r="C194" t="inlineStr">
        <is>
          <t>Italy</t>
        </is>
      </c>
      <c r="D194" t="n">
        <v>2016</v>
      </c>
      <c r="E194" s="17">
        <f>SUMIFS(Source_Evolution!$E$3:$E$731,Source_Evolution!$A$3:$A$731,$A194)</f>
        <v/>
      </c>
      <c r="F194" s="17">
        <f>SUMIFS(Source_Evolution!$F$3:$F$731,Source_Evolution!$A$3:$A$731,$A194)</f>
        <v/>
      </c>
      <c r="G194" s="17">
        <f>SUMIFS(Source_Evolution!$G$3:$G$731,Source_Evolution!$A$3:$A$731,$A194)</f>
        <v/>
      </c>
      <c r="H194" s="17">
        <f>SUMIFS(Source_Evolution!$H$3:$H$731,Source_Evolution!$A$3:$A$731,$A194)</f>
        <v/>
      </c>
      <c r="I194" s="17">
        <f>SUMIFS(Source_Evolution!$I$3:$I$731,Source_Evolution!$A$3:$A$731,$A194)</f>
        <v/>
      </c>
      <c r="J194" s="17">
        <f>SUMIFS(Source_Evolution!$J$3:$J$731,Source_Evolution!$A$3:$A$731,$A194)</f>
        <v/>
      </c>
      <c r="K194" s="17">
        <f>SUMIFS(Source_Evolution!$K$3:$K$731,Source_Evolution!$A$3:$A$731,$A194)</f>
        <v/>
      </c>
      <c r="L194" s="17">
        <f>SUMIFS(Source_Evolution!$L$3:$L$731,Source_Evolution!$A$3:$A$731,$A194)</f>
        <v/>
      </c>
      <c r="M194" s="17">
        <f>SUMIFS(Source_Evolution!$M$3:$M$731,Source_Evolution!$A$3:$A$731,$A194)</f>
        <v/>
      </c>
      <c r="N194" s="17">
        <f>SUMIFS(Source_Evolution!$N$3:$N$731,Source_Evolution!$A$3:$A$731,$A194)</f>
        <v/>
      </c>
      <c r="O194" s="17">
        <f>SUMIFS(Source_Evolution!$O$3:$O$731,Source_Evolution!$A$3:$A$731,$A194)</f>
        <v/>
      </c>
      <c r="P194" s="17">
        <f>SUMIFS(Source_Evolution!$P$3:$P$731,Source_Evolution!$A$3:$A$731,$A194)</f>
        <v/>
      </c>
      <c r="Q194" s="17">
        <f>SUMIFS(Source_Evolution!$Q$3:$Q$731,Source_Evolution!$A$3:$A$731,$A194)</f>
        <v/>
      </c>
      <c r="R194" s="17">
        <f>SUM(E194:Q194)</f>
        <v/>
      </c>
      <c r="S194" s="17">
        <f>Q194</f>
        <v/>
      </c>
      <c r="T194">
        <f>IF(B194="Software",1,0)</f>
        <v/>
      </c>
      <c r="U194" s="18">
        <f>SUMPRODUCT((Source_Evolution!$A$3:$A$731=$A194)*(Source_Evolution!$E$3:$E$731&gt;0))</f>
        <v/>
      </c>
      <c r="V194" s="18">
        <f>SUMPRODUCT((Source_Evolution!$A$3:$A$731=$A194)*(Source_Evolution!$F$3:$F$731&gt;0))</f>
        <v/>
      </c>
      <c r="W194" s="18">
        <f>SUMPRODUCT((Source_Evolution!$A$3:$A$731=$A194)*(Source_Evolution!$G$3:$G$731&gt;0))</f>
        <v/>
      </c>
      <c r="X194" s="18">
        <f>SUMPRODUCT((Source_Evolution!$A$3:$A$731=$A194)*(Source_Evolution!$H$3:$H$731&gt;0))</f>
        <v/>
      </c>
      <c r="Y194" s="18">
        <f>SUMPRODUCT((Source_Evolution!$A$3:$A$731=$A194)*(Source_Evolution!$I$3:$I$731&gt;0))</f>
        <v/>
      </c>
      <c r="Z194" s="18">
        <f>SUMPRODUCT((Source_Evolution!$A$3:$A$731=$A194)*(Source_Evolution!$J$3:$J$731&gt;0))</f>
        <v/>
      </c>
      <c r="AA194" s="18">
        <f>SUMPRODUCT((Source_Evolution!$A$3:$A$731=$A194)*(Source_Evolution!$K$3:$K$731&gt;0))</f>
        <v/>
      </c>
      <c r="AB194" s="18">
        <f>SUMPRODUCT((Source_Evolution!$A$3:$A$731=$A194)*(Source_Evolution!$L$3:$L$731&gt;0))</f>
        <v/>
      </c>
      <c r="AC194" s="18">
        <f>SUMPRODUCT((Source_Evolution!$A$3:$A$731=$A194)*(Source_Evolution!$M$3:$M$731&gt;0))</f>
        <v/>
      </c>
      <c r="AD194" s="18">
        <f>SUMPRODUCT((Source_Evolution!$A$3:$A$731=$A194)*(Source_Evolution!$N$3:$N$731&gt;0))</f>
        <v/>
      </c>
      <c r="AE194" s="18">
        <f>SUMPRODUCT((Source_Evolution!$A$3:$A$731=$A194)*(Source_Evolution!$O$3:$O$731&gt;0))</f>
        <v/>
      </c>
      <c r="AF194" s="18">
        <f>SUMPRODUCT((Source_Evolution!$A$3:$A$731=$A194)*(Source_Evolution!$P$3:$P$731&gt;0))</f>
        <v/>
      </c>
      <c r="AG194" s="18">
        <f>SUMPRODUCT((Source_Evolution!$A$3:$A$731=$A194)*(Source_Evolution!$Q$3:$Q$731&gt;0))</f>
        <v/>
      </c>
    </row>
    <row r="195">
      <c r="A195" t="inlineStr">
        <is>
          <t>Company 273</t>
        </is>
      </c>
      <c r="B195" t="inlineStr">
        <is>
          <t>Software</t>
        </is>
      </c>
      <c r="C195" t="inlineStr">
        <is>
          <t>Norway</t>
        </is>
      </c>
      <c r="D195" t="n">
        <v>2016</v>
      </c>
      <c r="E195" s="17">
        <f>SUMIFS(Source_Evolution!$E$3:$E$731,Source_Evolution!$A$3:$A$731,$A195)</f>
        <v/>
      </c>
      <c r="F195" s="17">
        <f>SUMIFS(Source_Evolution!$F$3:$F$731,Source_Evolution!$A$3:$A$731,$A195)</f>
        <v/>
      </c>
      <c r="G195" s="17">
        <f>SUMIFS(Source_Evolution!$G$3:$G$731,Source_Evolution!$A$3:$A$731,$A195)</f>
        <v/>
      </c>
      <c r="H195" s="17">
        <f>SUMIFS(Source_Evolution!$H$3:$H$731,Source_Evolution!$A$3:$A$731,$A195)</f>
        <v/>
      </c>
      <c r="I195" s="17">
        <f>SUMIFS(Source_Evolution!$I$3:$I$731,Source_Evolution!$A$3:$A$731,$A195)</f>
        <v/>
      </c>
      <c r="J195" s="17">
        <f>SUMIFS(Source_Evolution!$J$3:$J$731,Source_Evolution!$A$3:$A$731,$A195)</f>
        <v/>
      </c>
      <c r="K195" s="17">
        <f>SUMIFS(Source_Evolution!$K$3:$K$731,Source_Evolution!$A$3:$A$731,$A195)</f>
        <v/>
      </c>
      <c r="L195" s="17">
        <f>SUMIFS(Source_Evolution!$L$3:$L$731,Source_Evolution!$A$3:$A$731,$A195)</f>
        <v/>
      </c>
      <c r="M195" s="17">
        <f>SUMIFS(Source_Evolution!$M$3:$M$731,Source_Evolution!$A$3:$A$731,$A195)</f>
        <v/>
      </c>
      <c r="N195" s="17">
        <f>SUMIFS(Source_Evolution!$N$3:$N$731,Source_Evolution!$A$3:$A$731,$A195)</f>
        <v/>
      </c>
      <c r="O195" s="17">
        <f>SUMIFS(Source_Evolution!$O$3:$O$731,Source_Evolution!$A$3:$A$731,$A195)</f>
        <v/>
      </c>
      <c r="P195" s="17">
        <f>SUMIFS(Source_Evolution!$P$3:$P$731,Source_Evolution!$A$3:$A$731,$A195)</f>
        <v/>
      </c>
      <c r="Q195" s="17">
        <f>SUMIFS(Source_Evolution!$Q$3:$Q$731,Source_Evolution!$A$3:$A$731,$A195)</f>
        <v/>
      </c>
      <c r="R195" s="17">
        <f>SUM(E195:Q195)</f>
        <v/>
      </c>
      <c r="S195" s="17">
        <f>Q195</f>
        <v/>
      </c>
      <c r="T195">
        <f>IF(B195="Software",1,0)</f>
        <v/>
      </c>
      <c r="U195" s="18">
        <f>SUMPRODUCT((Source_Evolution!$A$3:$A$731=$A195)*(Source_Evolution!$E$3:$E$731&gt;0))</f>
        <v/>
      </c>
      <c r="V195" s="18">
        <f>SUMPRODUCT((Source_Evolution!$A$3:$A$731=$A195)*(Source_Evolution!$F$3:$F$731&gt;0))</f>
        <v/>
      </c>
      <c r="W195" s="18">
        <f>SUMPRODUCT((Source_Evolution!$A$3:$A$731=$A195)*(Source_Evolution!$G$3:$G$731&gt;0))</f>
        <v/>
      </c>
      <c r="X195" s="18">
        <f>SUMPRODUCT((Source_Evolution!$A$3:$A$731=$A195)*(Source_Evolution!$H$3:$H$731&gt;0))</f>
        <v/>
      </c>
      <c r="Y195" s="18">
        <f>SUMPRODUCT((Source_Evolution!$A$3:$A$731=$A195)*(Source_Evolution!$I$3:$I$731&gt;0))</f>
        <v/>
      </c>
      <c r="Z195" s="18">
        <f>SUMPRODUCT((Source_Evolution!$A$3:$A$731=$A195)*(Source_Evolution!$J$3:$J$731&gt;0))</f>
        <v/>
      </c>
      <c r="AA195" s="18">
        <f>SUMPRODUCT((Source_Evolution!$A$3:$A$731=$A195)*(Source_Evolution!$K$3:$K$731&gt;0))</f>
        <v/>
      </c>
      <c r="AB195" s="18">
        <f>SUMPRODUCT((Source_Evolution!$A$3:$A$731=$A195)*(Source_Evolution!$L$3:$L$731&gt;0))</f>
        <v/>
      </c>
      <c r="AC195" s="18">
        <f>SUMPRODUCT((Source_Evolution!$A$3:$A$731=$A195)*(Source_Evolution!$M$3:$M$731&gt;0))</f>
        <v/>
      </c>
      <c r="AD195" s="18">
        <f>SUMPRODUCT((Source_Evolution!$A$3:$A$731=$A195)*(Source_Evolution!$N$3:$N$731&gt;0))</f>
        <v/>
      </c>
      <c r="AE195" s="18">
        <f>SUMPRODUCT((Source_Evolution!$A$3:$A$731=$A195)*(Source_Evolution!$O$3:$O$731&gt;0))</f>
        <v/>
      </c>
      <c r="AF195" s="18">
        <f>SUMPRODUCT((Source_Evolution!$A$3:$A$731=$A195)*(Source_Evolution!$P$3:$P$731&gt;0))</f>
        <v/>
      </c>
      <c r="AG195" s="18">
        <f>SUMPRODUCT((Source_Evolution!$A$3:$A$731=$A195)*(Source_Evolution!$Q$3:$Q$731&gt;0))</f>
        <v/>
      </c>
    </row>
    <row r="196">
      <c r="A196" t="inlineStr">
        <is>
          <t>Company 274</t>
        </is>
      </c>
      <c r="B196" t="inlineStr">
        <is>
          <t>Software</t>
        </is>
      </c>
      <c r="C196" t="inlineStr">
        <is>
          <t>UK</t>
        </is>
      </c>
      <c r="D196" t="n">
        <v>2026</v>
      </c>
      <c r="E196" s="17">
        <f>SUMIFS(Source_Evolution!$E$3:$E$731,Source_Evolution!$A$3:$A$731,$A196)</f>
        <v/>
      </c>
      <c r="F196" s="17">
        <f>SUMIFS(Source_Evolution!$F$3:$F$731,Source_Evolution!$A$3:$A$731,$A196)</f>
        <v/>
      </c>
      <c r="G196" s="17">
        <f>SUMIFS(Source_Evolution!$G$3:$G$731,Source_Evolution!$A$3:$A$731,$A196)</f>
        <v/>
      </c>
      <c r="H196" s="17">
        <f>SUMIFS(Source_Evolution!$H$3:$H$731,Source_Evolution!$A$3:$A$731,$A196)</f>
        <v/>
      </c>
      <c r="I196" s="17">
        <f>SUMIFS(Source_Evolution!$I$3:$I$731,Source_Evolution!$A$3:$A$731,$A196)</f>
        <v/>
      </c>
      <c r="J196" s="17">
        <f>SUMIFS(Source_Evolution!$J$3:$J$731,Source_Evolution!$A$3:$A$731,$A196)</f>
        <v/>
      </c>
      <c r="K196" s="17">
        <f>SUMIFS(Source_Evolution!$K$3:$K$731,Source_Evolution!$A$3:$A$731,$A196)</f>
        <v/>
      </c>
      <c r="L196" s="17">
        <f>SUMIFS(Source_Evolution!$L$3:$L$731,Source_Evolution!$A$3:$A$731,$A196)</f>
        <v/>
      </c>
      <c r="M196" s="17">
        <f>SUMIFS(Source_Evolution!$M$3:$M$731,Source_Evolution!$A$3:$A$731,$A196)</f>
        <v/>
      </c>
      <c r="N196" s="17">
        <f>SUMIFS(Source_Evolution!$N$3:$N$731,Source_Evolution!$A$3:$A$731,$A196)</f>
        <v/>
      </c>
      <c r="O196" s="17">
        <f>SUMIFS(Source_Evolution!$O$3:$O$731,Source_Evolution!$A$3:$A$731,$A196)</f>
        <v/>
      </c>
      <c r="P196" s="17">
        <f>SUMIFS(Source_Evolution!$P$3:$P$731,Source_Evolution!$A$3:$A$731,$A196)</f>
        <v/>
      </c>
      <c r="Q196" s="17">
        <f>SUMIFS(Source_Evolution!$Q$3:$Q$731,Source_Evolution!$A$3:$A$731,$A196)</f>
        <v/>
      </c>
      <c r="R196" s="17">
        <f>SUM(E196:Q196)</f>
        <v/>
      </c>
      <c r="S196" s="17">
        <f>Q196</f>
        <v/>
      </c>
      <c r="T196">
        <f>IF(B196="Software",1,0)</f>
        <v/>
      </c>
      <c r="U196" s="18">
        <f>SUMPRODUCT((Source_Evolution!$A$3:$A$731=$A196)*(Source_Evolution!$E$3:$E$731&gt;0))</f>
        <v/>
      </c>
      <c r="V196" s="18">
        <f>SUMPRODUCT((Source_Evolution!$A$3:$A$731=$A196)*(Source_Evolution!$F$3:$F$731&gt;0))</f>
        <v/>
      </c>
      <c r="W196" s="18">
        <f>SUMPRODUCT((Source_Evolution!$A$3:$A$731=$A196)*(Source_Evolution!$G$3:$G$731&gt;0))</f>
        <v/>
      </c>
      <c r="X196" s="18">
        <f>SUMPRODUCT((Source_Evolution!$A$3:$A$731=$A196)*(Source_Evolution!$H$3:$H$731&gt;0))</f>
        <v/>
      </c>
      <c r="Y196" s="18">
        <f>SUMPRODUCT((Source_Evolution!$A$3:$A$731=$A196)*(Source_Evolution!$I$3:$I$731&gt;0))</f>
        <v/>
      </c>
      <c r="Z196" s="18">
        <f>SUMPRODUCT((Source_Evolution!$A$3:$A$731=$A196)*(Source_Evolution!$J$3:$J$731&gt;0))</f>
        <v/>
      </c>
      <c r="AA196" s="18">
        <f>SUMPRODUCT((Source_Evolution!$A$3:$A$731=$A196)*(Source_Evolution!$K$3:$K$731&gt;0))</f>
        <v/>
      </c>
      <c r="AB196" s="18">
        <f>SUMPRODUCT((Source_Evolution!$A$3:$A$731=$A196)*(Source_Evolution!$L$3:$L$731&gt;0))</f>
        <v/>
      </c>
      <c r="AC196" s="18">
        <f>SUMPRODUCT((Source_Evolution!$A$3:$A$731=$A196)*(Source_Evolution!$M$3:$M$731&gt;0))</f>
        <v/>
      </c>
      <c r="AD196" s="18">
        <f>SUMPRODUCT((Source_Evolution!$A$3:$A$731=$A196)*(Source_Evolution!$N$3:$N$731&gt;0))</f>
        <v/>
      </c>
      <c r="AE196" s="18">
        <f>SUMPRODUCT((Source_Evolution!$A$3:$A$731=$A196)*(Source_Evolution!$O$3:$O$731&gt;0))</f>
        <v/>
      </c>
      <c r="AF196" s="18">
        <f>SUMPRODUCT((Source_Evolution!$A$3:$A$731=$A196)*(Source_Evolution!$P$3:$P$731&gt;0))</f>
        <v/>
      </c>
      <c r="AG196" s="18">
        <f>SUMPRODUCT((Source_Evolution!$A$3:$A$731=$A196)*(Source_Evolution!$Q$3:$Q$731&gt;0))</f>
        <v/>
      </c>
    </row>
    <row r="197">
      <c r="A197" t="inlineStr">
        <is>
          <t>Company 275</t>
        </is>
      </c>
      <c r="B197" t="inlineStr">
        <is>
          <t>Software</t>
        </is>
      </c>
      <c r="C197" t="inlineStr">
        <is>
          <t>UK</t>
        </is>
      </c>
      <c r="D197" t="n">
        <v>2014</v>
      </c>
      <c r="E197" s="17">
        <f>SUMIFS(Source_Evolution!$E$3:$E$731,Source_Evolution!$A$3:$A$731,$A197)</f>
        <v/>
      </c>
      <c r="F197" s="17">
        <f>SUMIFS(Source_Evolution!$F$3:$F$731,Source_Evolution!$A$3:$A$731,$A197)</f>
        <v/>
      </c>
      <c r="G197" s="17">
        <f>SUMIFS(Source_Evolution!$G$3:$G$731,Source_Evolution!$A$3:$A$731,$A197)</f>
        <v/>
      </c>
      <c r="H197" s="17">
        <f>SUMIFS(Source_Evolution!$H$3:$H$731,Source_Evolution!$A$3:$A$731,$A197)</f>
        <v/>
      </c>
      <c r="I197" s="17">
        <f>SUMIFS(Source_Evolution!$I$3:$I$731,Source_Evolution!$A$3:$A$731,$A197)</f>
        <v/>
      </c>
      <c r="J197" s="17">
        <f>SUMIFS(Source_Evolution!$J$3:$J$731,Source_Evolution!$A$3:$A$731,$A197)</f>
        <v/>
      </c>
      <c r="K197" s="17">
        <f>SUMIFS(Source_Evolution!$K$3:$K$731,Source_Evolution!$A$3:$A$731,$A197)</f>
        <v/>
      </c>
      <c r="L197" s="17">
        <f>SUMIFS(Source_Evolution!$L$3:$L$731,Source_Evolution!$A$3:$A$731,$A197)</f>
        <v/>
      </c>
      <c r="M197" s="17">
        <f>SUMIFS(Source_Evolution!$M$3:$M$731,Source_Evolution!$A$3:$A$731,$A197)</f>
        <v/>
      </c>
      <c r="N197" s="17">
        <f>SUMIFS(Source_Evolution!$N$3:$N$731,Source_Evolution!$A$3:$A$731,$A197)</f>
        <v/>
      </c>
      <c r="O197" s="17">
        <f>SUMIFS(Source_Evolution!$O$3:$O$731,Source_Evolution!$A$3:$A$731,$A197)</f>
        <v/>
      </c>
      <c r="P197" s="17">
        <f>SUMIFS(Source_Evolution!$P$3:$P$731,Source_Evolution!$A$3:$A$731,$A197)</f>
        <v/>
      </c>
      <c r="Q197" s="17">
        <f>SUMIFS(Source_Evolution!$Q$3:$Q$731,Source_Evolution!$A$3:$A$731,$A197)</f>
        <v/>
      </c>
      <c r="R197" s="17">
        <f>SUM(E197:Q197)</f>
        <v/>
      </c>
      <c r="S197" s="17">
        <f>Q197</f>
        <v/>
      </c>
      <c r="T197">
        <f>IF(B197="Software",1,0)</f>
        <v/>
      </c>
      <c r="U197" s="18">
        <f>SUMPRODUCT((Source_Evolution!$A$3:$A$731=$A197)*(Source_Evolution!$E$3:$E$731&gt;0))</f>
        <v/>
      </c>
      <c r="V197" s="18">
        <f>SUMPRODUCT((Source_Evolution!$A$3:$A$731=$A197)*(Source_Evolution!$F$3:$F$731&gt;0))</f>
        <v/>
      </c>
      <c r="W197" s="18">
        <f>SUMPRODUCT((Source_Evolution!$A$3:$A$731=$A197)*(Source_Evolution!$G$3:$G$731&gt;0))</f>
        <v/>
      </c>
      <c r="X197" s="18">
        <f>SUMPRODUCT((Source_Evolution!$A$3:$A$731=$A197)*(Source_Evolution!$H$3:$H$731&gt;0))</f>
        <v/>
      </c>
      <c r="Y197" s="18">
        <f>SUMPRODUCT((Source_Evolution!$A$3:$A$731=$A197)*(Source_Evolution!$I$3:$I$731&gt;0))</f>
        <v/>
      </c>
      <c r="Z197" s="18">
        <f>SUMPRODUCT((Source_Evolution!$A$3:$A$731=$A197)*(Source_Evolution!$J$3:$J$731&gt;0))</f>
        <v/>
      </c>
      <c r="AA197" s="18">
        <f>SUMPRODUCT((Source_Evolution!$A$3:$A$731=$A197)*(Source_Evolution!$K$3:$K$731&gt;0))</f>
        <v/>
      </c>
      <c r="AB197" s="18">
        <f>SUMPRODUCT((Source_Evolution!$A$3:$A$731=$A197)*(Source_Evolution!$L$3:$L$731&gt;0))</f>
        <v/>
      </c>
      <c r="AC197" s="18">
        <f>SUMPRODUCT((Source_Evolution!$A$3:$A$731=$A197)*(Source_Evolution!$M$3:$M$731&gt;0))</f>
        <v/>
      </c>
      <c r="AD197" s="18">
        <f>SUMPRODUCT((Source_Evolution!$A$3:$A$731=$A197)*(Source_Evolution!$N$3:$N$731&gt;0))</f>
        <v/>
      </c>
      <c r="AE197" s="18">
        <f>SUMPRODUCT((Source_Evolution!$A$3:$A$731=$A197)*(Source_Evolution!$O$3:$O$731&gt;0))</f>
        <v/>
      </c>
      <c r="AF197" s="18">
        <f>SUMPRODUCT((Source_Evolution!$A$3:$A$731=$A197)*(Source_Evolution!$P$3:$P$731&gt;0))</f>
        <v/>
      </c>
      <c r="AG197" s="18">
        <f>SUMPRODUCT((Source_Evolution!$A$3:$A$731=$A197)*(Source_Evolution!$Q$3:$Q$731&gt;0))</f>
        <v/>
      </c>
    </row>
    <row r="198">
      <c r="A198" t="inlineStr">
        <is>
          <t>Company 276</t>
        </is>
      </c>
      <c r="B198" t="inlineStr">
        <is>
          <t>Operations</t>
        </is>
      </c>
      <c r="C198" t="inlineStr">
        <is>
          <t>Sweden</t>
        </is>
      </c>
      <c r="D198" t="n">
        <v>2014</v>
      </c>
      <c r="E198" s="17">
        <f>SUMIFS(Source_Evolution!$E$3:$E$731,Source_Evolution!$A$3:$A$731,$A198)</f>
        <v/>
      </c>
      <c r="F198" s="17">
        <f>SUMIFS(Source_Evolution!$F$3:$F$731,Source_Evolution!$A$3:$A$731,$A198)</f>
        <v/>
      </c>
      <c r="G198" s="17">
        <f>SUMIFS(Source_Evolution!$G$3:$G$731,Source_Evolution!$A$3:$A$731,$A198)</f>
        <v/>
      </c>
      <c r="H198" s="17">
        <f>SUMIFS(Source_Evolution!$H$3:$H$731,Source_Evolution!$A$3:$A$731,$A198)</f>
        <v/>
      </c>
      <c r="I198" s="17">
        <f>SUMIFS(Source_Evolution!$I$3:$I$731,Source_Evolution!$A$3:$A$731,$A198)</f>
        <v/>
      </c>
      <c r="J198" s="17">
        <f>SUMIFS(Source_Evolution!$J$3:$J$731,Source_Evolution!$A$3:$A$731,$A198)</f>
        <v/>
      </c>
      <c r="K198" s="17">
        <f>SUMIFS(Source_Evolution!$K$3:$K$731,Source_Evolution!$A$3:$A$731,$A198)</f>
        <v/>
      </c>
      <c r="L198" s="17">
        <f>SUMIFS(Source_Evolution!$L$3:$L$731,Source_Evolution!$A$3:$A$731,$A198)</f>
        <v/>
      </c>
      <c r="M198" s="17">
        <f>SUMIFS(Source_Evolution!$M$3:$M$731,Source_Evolution!$A$3:$A$731,$A198)</f>
        <v/>
      </c>
      <c r="N198" s="17">
        <f>SUMIFS(Source_Evolution!$N$3:$N$731,Source_Evolution!$A$3:$A$731,$A198)</f>
        <v/>
      </c>
      <c r="O198" s="17">
        <f>SUMIFS(Source_Evolution!$O$3:$O$731,Source_Evolution!$A$3:$A$731,$A198)</f>
        <v/>
      </c>
      <c r="P198" s="17">
        <f>SUMIFS(Source_Evolution!$P$3:$P$731,Source_Evolution!$A$3:$A$731,$A198)</f>
        <v/>
      </c>
      <c r="Q198" s="17">
        <f>SUMIFS(Source_Evolution!$Q$3:$Q$731,Source_Evolution!$A$3:$A$731,$A198)</f>
        <v/>
      </c>
      <c r="R198" s="17">
        <f>SUM(E198:Q198)</f>
        <v/>
      </c>
      <c r="S198" s="17">
        <f>Q198</f>
        <v/>
      </c>
      <c r="T198">
        <f>IF(B198="Software",1,0)</f>
        <v/>
      </c>
      <c r="U198" s="18">
        <f>SUMPRODUCT((Source_Evolution!$A$3:$A$731=$A198)*(Source_Evolution!$E$3:$E$731&gt;0))</f>
        <v/>
      </c>
      <c r="V198" s="18">
        <f>SUMPRODUCT((Source_Evolution!$A$3:$A$731=$A198)*(Source_Evolution!$F$3:$F$731&gt;0))</f>
        <v/>
      </c>
      <c r="W198" s="18">
        <f>SUMPRODUCT((Source_Evolution!$A$3:$A$731=$A198)*(Source_Evolution!$G$3:$G$731&gt;0))</f>
        <v/>
      </c>
      <c r="X198" s="18">
        <f>SUMPRODUCT((Source_Evolution!$A$3:$A$731=$A198)*(Source_Evolution!$H$3:$H$731&gt;0))</f>
        <v/>
      </c>
      <c r="Y198" s="18">
        <f>SUMPRODUCT((Source_Evolution!$A$3:$A$731=$A198)*(Source_Evolution!$I$3:$I$731&gt;0))</f>
        <v/>
      </c>
      <c r="Z198" s="18">
        <f>SUMPRODUCT((Source_Evolution!$A$3:$A$731=$A198)*(Source_Evolution!$J$3:$J$731&gt;0))</f>
        <v/>
      </c>
      <c r="AA198" s="18">
        <f>SUMPRODUCT((Source_Evolution!$A$3:$A$731=$A198)*(Source_Evolution!$K$3:$K$731&gt;0))</f>
        <v/>
      </c>
      <c r="AB198" s="18">
        <f>SUMPRODUCT((Source_Evolution!$A$3:$A$731=$A198)*(Source_Evolution!$L$3:$L$731&gt;0))</f>
        <v/>
      </c>
      <c r="AC198" s="18">
        <f>SUMPRODUCT((Source_Evolution!$A$3:$A$731=$A198)*(Source_Evolution!$M$3:$M$731&gt;0))</f>
        <v/>
      </c>
      <c r="AD198" s="18">
        <f>SUMPRODUCT((Source_Evolution!$A$3:$A$731=$A198)*(Source_Evolution!$N$3:$N$731&gt;0))</f>
        <v/>
      </c>
      <c r="AE198" s="18">
        <f>SUMPRODUCT((Source_Evolution!$A$3:$A$731=$A198)*(Source_Evolution!$O$3:$O$731&gt;0))</f>
        <v/>
      </c>
      <c r="AF198" s="18">
        <f>SUMPRODUCT((Source_Evolution!$A$3:$A$731=$A198)*(Source_Evolution!$P$3:$P$731&gt;0))</f>
        <v/>
      </c>
      <c r="AG198" s="18">
        <f>SUMPRODUCT((Source_Evolution!$A$3:$A$731=$A198)*(Source_Evolution!$Q$3:$Q$731&gt;0))</f>
        <v/>
      </c>
    </row>
    <row r="199">
      <c r="A199" t="inlineStr">
        <is>
          <t>Company 277</t>
        </is>
      </c>
      <c r="B199" t="inlineStr">
        <is>
          <t>Operations</t>
        </is>
      </c>
      <c r="C199" t="inlineStr">
        <is>
          <t>UK</t>
        </is>
      </c>
      <c r="D199" t="n">
        <v>2015</v>
      </c>
      <c r="E199" s="17">
        <f>SUMIFS(Source_Evolution!$E$3:$E$731,Source_Evolution!$A$3:$A$731,$A199)</f>
        <v/>
      </c>
      <c r="F199" s="17">
        <f>SUMIFS(Source_Evolution!$F$3:$F$731,Source_Evolution!$A$3:$A$731,$A199)</f>
        <v/>
      </c>
      <c r="G199" s="17">
        <f>SUMIFS(Source_Evolution!$G$3:$G$731,Source_Evolution!$A$3:$A$731,$A199)</f>
        <v/>
      </c>
      <c r="H199" s="17">
        <f>SUMIFS(Source_Evolution!$H$3:$H$731,Source_Evolution!$A$3:$A$731,$A199)</f>
        <v/>
      </c>
      <c r="I199" s="17">
        <f>SUMIFS(Source_Evolution!$I$3:$I$731,Source_Evolution!$A$3:$A$731,$A199)</f>
        <v/>
      </c>
      <c r="J199" s="17">
        <f>SUMIFS(Source_Evolution!$J$3:$J$731,Source_Evolution!$A$3:$A$731,$A199)</f>
        <v/>
      </c>
      <c r="K199" s="17">
        <f>SUMIFS(Source_Evolution!$K$3:$K$731,Source_Evolution!$A$3:$A$731,$A199)</f>
        <v/>
      </c>
      <c r="L199" s="17">
        <f>SUMIFS(Source_Evolution!$L$3:$L$731,Source_Evolution!$A$3:$A$731,$A199)</f>
        <v/>
      </c>
      <c r="M199" s="17">
        <f>SUMIFS(Source_Evolution!$M$3:$M$731,Source_Evolution!$A$3:$A$731,$A199)</f>
        <v/>
      </c>
      <c r="N199" s="17">
        <f>SUMIFS(Source_Evolution!$N$3:$N$731,Source_Evolution!$A$3:$A$731,$A199)</f>
        <v/>
      </c>
      <c r="O199" s="17">
        <f>SUMIFS(Source_Evolution!$O$3:$O$731,Source_Evolution!$A$3:$A$731,$A199)</f>
        <v/>
      </c>
      <c r="P199" s="17">
        <f>SUMIFS(Source_Evolution!$P$3:$P$731,Source_Evolution!$A$3:$A$731,$A199)</f>
        <v/>
      </c>
      <c r="Q199" s="17">
        <f>SUMIFS(Source_Evolution!$Q$3:$Q$731,Source_Evolution!$A$3:$A$731,$A199)</f>
        <v/>
      </c>
      <c r="R199" s="17">
        <f>SUM(E199:Q199)</f>
        <v/>
      </c>
      <c r="S199" s="17">
        <f>Q199</f>
        <v/>
      </c>
      <c r="T199">
        <f>IF(B199="Software",1,0)</f>
        <v/>
      </c>
      <c r="U199" s="18">
        <f>SUMPRODUCT((Source_Evolution!$A$3:$A$731=$A199)*(Source_Evolution!$E$3:$E$731&gt;0))</f>
        <v/>
      </c>
      <c r="V199" s="18">
        <f>SUMPRODUCT((Source_Evolution!$A$3:$A$731=$A199)*(Source_Evolution!$F$3:$F$731&gt;0))</f>
        <v/>
      </c>
      <c r="W199" s="18">
        <f>SUMPRODUCT((Source_Evolution!$A$3:$A$731=$A199)*(Source_Evolution!$G$3:$G$731&gt;0))</f>
        <v/>
      </c>
      <c r="X199" s="18">
        <f>SUMPRODUCT((Source_Evolution!$A$3:$A$731=$A199)*(Source_Evolution!$H$3:$H$731&gt;0))</f>
        <v/>
      </c>
      <c r="Y199" s="18">
        <f>SUMPRODUCT((Source_Evolution!$A$3:$A$731=$A199)*(Source_Evolution!$I$3:$I$731&gt;0))</f>
        <v/>
      </c>
      <c r="Z199" s="18">
        <f>SUMPRODUCT((Source_Evolution!$A$3:$A$731=$A199)*(Source_Evolution!$J$3:$J$731&gt;0))</f>
        <v/>
      </c>
      <c r="AA199" s="18">
        <f>SUMPRODUCT((Source_Evolution!$A$3:$A$731=$A199)*(Source_Evolution!$K$3:$K$731&gt;0))</f>
        <v/>
      </c>
      <c r="AB199" s="18">
        <f>SUMPRODUCT((Source_Evolution!$A$3:$A$731=$A199)*(Source_Evolution!$L$3:$L$731&gt;0))</f>
        <v/>
      </c>
      <c r="AC199" s="18">
        <f>SUMPRODUCT((Source_Evolution!$A$3:$A$731=$A199)*(Source_Evolution!$M$3:$M$731&gt;0))</f>
        <v/>
      </c>
      <c r="AD199" s="18">
        <f>SUMPRODUCT((Source_Evolution!$A$3:$A$731=$A199)*(Source_Evolution!$N$3:$N$731&gt;0))</f>
        <v/>
      </c>
      <c r="AE199" s="18">
        <f>SUMPRODUCT((Source_Evolution!$A$3:$A$731=$A199)*(Source_Evolution!$O$3:$O$731&gt;0))</f>
        <v/>
      </c>
      <c r="AF199" s="18">
        <f>SUMPRODUCT((Source_Evolution!$A$3:$A$731=$A199)*(Source_Evolution!$P$3:$P$731&gt;0))</f>
        <v/>
      </c>
      <c r="AG199" s="18">
        <f>SUMPRODUCT((Source_Evolution!$A$3:$A$731=$A199)*(Source_Evolution!$Q$3:$Q$731&gt;0))</f>
        <v/>
      </c>
    </row>
    <row r="200">
      <c r="A200" t="inlineStr">
        <is>
          <t>Company 278</t>
        </is>
      </c>
      <c r="B200" t="inlineStr">
        <is>
          <t>Software</t>
        </is>
      </c>
      <c r="C200" t="inlineStr">
        <is>
          <t>UK</t>
        </is>
      </c>
      <c r="D200" t="n">
        <v>2014</v>
      </c>
      <c r="E200" s="17">
        <f>SUMIFS(Source_Evolution!$E$3:$E$731,Source_Evolution!$A$3:$A$731,$A200)</f>
        <v/>
      </c>
      <c r="F200" s="17">
        <f>SUMIFS(Source_Evolution!$F$3:$F$731,Source_Evolution!$A$3:$A$731,$A200)</f>
        <v/>
      </c>
      <c r="G200" s="17">
        <f>SUMIFS(Source_Evolution!$G$3:$G$731,Source_Evolution!$A$3:$A$731,$A200)</f>
        <v/>
      </c>
      <c r="H200" s="17">
        <f>SUMIFS(Source_Evolution!$H$3:$H$731,Source_Evolution!$A$3:$A$731,$A200)</f>
        <v/>
      </c>
      <c r="I200" s="17">
        <f>SUMIFS(Source_Evolution!$I$3:$I$731,Source_Evolution!$A$3:$A$731,$A200)</f>
        <v/>
      </c>
      <c r="J200" s="17">
        <f>SUMIFS(Source_Evolution!$J$3:$J$731,Source_Evolution!$A$3:$A$731,$A200)</f>
        <v/>
      </c>
      <c r="K200" s="17">
        <f>SUMIFS(Source_Evolution!$K$3:$K$731,Source_Evolution!$A$3:$A$731,$A200)</f>
        <v/>
      </c>
      <c r="L200" s="17">
        <f>SUMIFS(Source_Evolution!$L$3:$L$731,Source_Evolution!$A$3:$A$731,$A200)</f>
        <v/>
      </c>
      <c r="M200" s="17">
        <f>SUMIFS(Source_Evolution!$M$3:$M$731,Source_Evolution!$A$3:$A$731,$A200)</f>
        <v/>
      </c>
      <c r="N200" s="17">
        <f>SUMIFS(Source_Evolution!$N$3:$N$731,Source_Evolution!$A$3:$A$731,$A200)</f>
        <v/>
      </c>
      <c r="O200" s="17">
        <f>SUMIFS(Source_Evolution!$O$3:$O$731,Source_Evolution!$A$3:$A$731,$A200)</f>
        <v/>
      </c>
      <c r="P200" s="17">
        <f>SUMIFS(Source_Evolution!$P$3:$P$731,Source_Evolution!$A$3:$A$731,$A200)</f>
        <v/>
      </c>
      <c r="Q200" s="17">
        <f>SUMIFS(Source_Evolution!$Q$3:$Q$731,Source_Evolution!$A$3:$A$731,$A200)</f>
        <v/>
      </c>
      <c r="R200" s="17">
        <f>SUM(E200:Q200)</f>
        <v/>
      </c>
      <c r="S200" s="17">
        <f>Q200</f>
        <v/>
      </c>
      <c r="T200">
        <f>IF(B200="Software",1,0)</f>
        <v/>
      </c>
      <c r="U200" s="18">
        <f>SUMPRODUCT((Source_Evolution!$A$3:$A$731=$A200)*(Source_Evolution!$E$3:$E$731&gt;0))</f>
        <v/>
      </c>
      <c r="V200" s="18">
        <f>SUMPRODUCT((Source_Evolution!$A$3:$A$731=$A200)*(Source_Evolution!$F$3:$F$731&gt;0))</f>
        <v/>
      </c>
      <c r="W200" s="18">
        <f>SUMPRODUCT((Source_Evolution!$A$3:$A$731=$A200)*(Source_Evolution!$G$3:$G$731&gt;0))</f>
        <v/>
      </c>
      <c r="X200" s="18">
        <f>SUMPRODUCT((Source_Evolution!$A$3:$A$731=$A200)*(Source_Evolution!$H$3:$H$731&gt;0))</f>
        <v/>
      </c>
      <c r="Y200" s="18">
        <f>SUMPRODUCT((Source_Evolution!$A$3:$A$731=$A200)*(Source_Evolution!$I$3:$I$731&gt;0))</f>
        <v/>
      </c>
      <c r="Z200" s="18">
        <f>SUMPRODUCT((Source_Evolution!$A$3:$A$731=$A200)*(Source_Evolution!$J$3:$J$731&gt;0))</f>
        <v/>
      </c>
      <c r="AA200" s="18">
        <f>SUMPRODUCT((Source_Evolution!$A$3:$A$731=$A200)*(Source_Evolution!$K$3:$K$731&gt;0))</f>
        <v/>
      </c>
      <c r="AB200" s="18">
        <f>SUMPRODUCT((Source_Evolution!$A$3:$A$731=$A200)*(Source_Evolution!$L$3:$L$731&gt;0))</f>
        <v/>
      </c>
      <c r="AC200" s="18">
        <f>SUMPRODUCT((Source_Evolution!$A$3:$A$731=$A200)*(Source_Evolution!$M$3:$M$731&gt;0))</f>
        <v/>
      </c>
      <c r="AD200" s="18">
        <f>SUMPRODUCT((Source_Evolution!$A$3:$A$731=$A200)*(Source_Evolution!$N$3:$N$731&gt;0))</f>
        <v/>
      </c>
      <c r="AE200" s="18">
        <f>SUMPRODUCT((Source_Evolution!$A$3:$A$731=$A200)*(Source_Evolution!$O$3:$O$731&gt;0))</f>
        <v/>
      </c>
      <c r="AF200" s="18">
        <f>SUMPRODUCT((Source_Evolution!$A$3:$A$731=$A200)*(Source_Evolution!$P$3:$P$731&gt;0))</f>
        <v/>
      </c>
      <c r="AG200" s="18">
        <f>SUMPRODUCT((Source_Evolution!$A$3:$A$731=$A200)*(Source_Evolution!$Q$3:$Q$731&gt;0))</f>
        <v/>
      </c>
    </row>
    <row r="201">
      <c r="A201" t="inlineStr">
        <is>
          <t>Company 279</t>
        </is>
      </c>
      <c r="B201" t="inlineStr">
        <is>
          <t>Software</t>
        </is>
      </c>
      <c r="C201" t="inlineStr">
        <is>
          <t>UK</t>
        </is>
      </c>
      <c r="D201" t="n">
        <v>2014</v>
      </c>
      <c r="E201" s="17">
        <f>SUMIFS(Source_Evolution!$E$3:$E$731,Source_Evolution!$A$3:$A$731,$A201)</f>
        <v/>
      </c>
      <c r="F201" s="17">
        <f>SUMIFS(Source_Evolution!$F$3:$F$731,Source_Evolution!$A$3:$A$731,$A201)</f>
        <v/>
      </c>
      <c r="G201" s="17">
        <f>SUMIFS(Source_Evolution!$G$3:$G$731,Source_Evolution!$A$3:$A$731,$A201)</f>
        <v/>
      </c>
      <c r="H201" s="17">
        <f>SUMIFS(Source_Evolution!$H$3:$H$731,Source_Evolution!$A$3:$A$731,$A201)</f>
        <v/>
      </c>
      <c r="I201" s="17">
        <f>SUMIFS(Source_Evolution!$I$3:$I$731,Source_Evolution!$A$3:$A$731,$A201)</f>
        <v/>
      </c>
      <c r="J201" s="17">
        <f>SUMIFS(Source_Evolution!$J$3:$J$731,Source_Evolution!$A$3:$A$731,$A201)</f>
        <v/>
      </c>
      <c r="K201" s="17">
        <f>SUMIFS(Source_Evolution!$K$3:$K$731,Source_Evolution!$A$3:$A$731,$A201)</f>
        <v/>
      </c>
      <c r="L201" s="17">
        <f>SUMIFS(Source_Evolution!$L$3:$L$731,Source_Evolution!$A$3:$A$731,$A201)</f>
        <v/>
      </c>
      <c r="M201" s="17">
        <f>SUMIFS(Source_Evolution!$M$3:$M$731,Source_Evolution!$A$3:$A$731,$A201)</f>
        <v/>
      </c>
      <c r="N201" s="17">
        <f>SUMIFS(Source_Evolution!$N$3:$N$731,Source_Evolution!$A$3:$A$731,$A201)</f>
        <v/>
      </c>
      <c r="O201" s="17">
        <f>SUMIFS(Source_Evolution!$O$3:$O$731,Source_Evolution!$A$3:$A$731,$A201)</f>
        <v/>
      </c>
      <c r="P201" s="17">
        <f>SUMIFS(Source_Evolution!$P$3:$P$731,Source_Evolution!$A$3:$A$731,$A201)</f>
        <v/>
      </c>
      <c r="Q201" s="17">
        <f>SUMIFS(Source_Evolution!$Q$3:$Q$731,Source_Evolution!$A$3:$A$731,$A201)</f>
        <v/>
      </c>
      <c r="R201" s="17">
        <f>SUM(E201:Q201)</f>
        <v/>
      </c>
      <c r="S201" s="17">
        <f>Q201</f>
        <v/>
      </c>
      <c r="T201">
        <f>IF(B201="Software",1,0)</f>
        <v/>
      </c>
      <c r="U201" s="18">
        <f>SUMPRODUCT((Source_Evolution!$A$3:$A$731=$A201)*(Source_Evolution!$E$3:$E$731&gt;0))</f>
        <v/>
      </c>
      <c r="V201" s="18">
        <f>SUMPRODUCT((Source_Evolution!$A$3:$A$731=$A201)*(Source_Evolution!$F$3:$F$731&gt;0))</f>
        <v/>
      </c>
      <c r="W201" s="18">
        <f>SUMPRODUCT((Source_Evolution!$A$3:$A$731=$A201)*(Source_Evolution!$G$3:$G$731&gt;0))</f>
        <v/>
      </c>
      <c r="X201" s="18">
        <f>SUMPRODUCT((Source_Evolution!$A$3:$A$731=$A201)*(Source_Evolution!$H$3:$H$731&gt;0))</f>
        <v/>
      </c>
      <c r="Y201" s="18">
        <f>SUMPRODUCT((Source_Evolution!$A$3:$A$731=$A201)*(Source_Evolution!$I$3:$I$731&gt;0))</f>
        <v/>
      </c>
      <c r="Z201" s="18">
        <f>SUMPRODUCT((Source_Evolution!$A$3:$A$731=$A201)*(Source_Evolution!$J$3:$J$731&gt;0))</f>
        <v/>
      </c>
      <c r="AA201" s="18">
        <f>SUMPRODUCT((Source_Evolution!$A$3:$A$731=$A201)*(Source_Evolution!$K$3:$K$731&gt;0))</f>
        <v/>
      </c>
      <c r="AB201" s="18">
        <f>SUMPRODUCT((Source_Evolution!$A$3:$A$731=$A201)*(Source_Evolution!$L$3:$L$731&gt;0))</f>
        <v/>
      </c>
      <c r="AC201" s="18">
        <f>SUMPRODUCT((Source_Evolution!$A$3:$A$731=$A201)*(Source_Evolution!$M$3:$M$731&gt;0))</f>
        <v/>
      </c>
      <c r="AD201" s="18">
        <f>SUMPRODUCT((Source_Evolution!$A$3:$A$731=$A201)*(Source_Evolution!$N$3:$N$731&gt;0))</f>
        <v/>
      </c>
      <c r="AE201" s="18">
        <f>SUMPRODUCT((Source_Evolution!$A$3:$A$731=$A201)*(Source_Evolution!$O$3:$O$731&gt;0))</f>
        <v/>
      </c>
      <c r="AF201" s="18">
        <f>SUMPRODUCT((Source_Evolution!$A$3:$A$731=$A201)*(Source_Evolution!$P$3:$P$731&gt;0))</f>
        <v/>
      </c>
      <c r="AG201" s="18">
        <f>SUMPRODUCT((Source_Evolution!$A$3:$A$731=$A201)*(Source_Evolution!$Q$3:$Q$731&gt;0))</f>
        <v/>
      </c>
    </row>
    <row r="202">
      <c r="A202" t="inlineStr">
        <is>
          <t>Company 28</t>
        </is>
      </c>
      <c r="B202" t="inlineStr">
        <is>
          <t>Operations</t>
        </is>
      </c>
      <c r="C202" t="inlineStr">
        <is>
          <t>UK</t>
        </is>
      </c>
      <c r="D202" t="n">
        <v>2014</v>
      </c>
      <c r="E202" s="17">
        <f>SUMIFS(Source_Evolution!$E$3:$E$731,Source_Evolution!$A$3:$A$731,$A202)</f>
        <v/>
      </c>
      <c r="F202" s="17">
        <f>SUMIFS(Source_Evolution!$F$3:$F$731,Source_Evolution!$A$3:$A$731,$A202)</f>
        <v/>
      </c>
      <c r="G202" s="17">
        <f>SUMIFS(Source_Evolution!$G$3:$G$731,Source_Evolution!$A$3:$A$731,$A202)</f>
        <v/>
      </c>
      <c r="H202" s="17">
        <f>SUMIFS(Source_Evolution!$H$3:$H$731,Source_Evolution!$A$3:$A$731,$A202)</f>
        <v/>
      </c>
      <c r="I202" s="17">
        <f>SUMIFS(Source_Evolution!$I$3:$I$731,Source_Evolution!$A$3:$A$731,$A202)</f>
        <v/>
      </c>
      <c r="J202" s="17">
        <f>SUMIFS(Source_Evolution!$J$3:$J$731,Source_Evolution!$A$3:$A$731,$A202)</f>
        <v/>
      </c>
      <c r="K202" s="17">
        <f>SUMIFS(Source_Evolution!$K$3:$K$731,Source_Evolution!$A$3:$A$731,$A202)</f>
        <v/>
      </c>
      <c r="L202" s="17">
        <f>SUMIFS(Source_Evolution!$L$3:$L$731,Source_Evolution!$A$3:$A$731,$A202)</f>
        <v/>
      </c>
      <c r="M202" s="17">
        <f>SUMIFS(Source_Evolution!$M$3:$M$731,Source_Evolution!$A$3:$A$731,$A202)</f>
        <v/>
      </c>
      <c r="N202" s="17">
        <f>SUMIFS(Source_Evolution!$N$3:$N$731,Source_Evolution!$A$3:$A$731,$A202)</f>
        <v/>
      </c>
      <c r="O202" s="17">
        <f>SUMIFS(Source_Evolution!$O$3:$O$731,Source_Evolution!$A$3:$A$731,$A202)</f>
        <v/>
      </c>
      <c r="P202" s="17">
        <f>SUMIFS(Source_Evolution!$P$3:$P$731,Source_Evolution!$A$3:$A$731,$A202)</f>
        <v/>
      </c>
      <c r="Q202" s="17">
        <f>SUMIFS(Source_Evolution!$Q$3:$Q$731,Source_Evolution!$A$3:$A$731,$A202)</f>
        <v/>
      </c>
      <c r="R202" s="17">
        <f>SUM(E202:Q202)</f>
        <v/>
      </c>
      <c r="S202" s="17">
        <f>Q202</f>
        <v/>
      </c>
      <c r="T202">
        <f>IF(B202="Software",1,0)</f>
        <v/>
      </c>
      <c r="U202" s="18">
        <f>SUMPRODUCT((Source_Evolution!$A$3:$A$731=$A202)*(Source_Evolution!$E$3:$E$731&gt;0))</f>
        <v/>
      </c>
      <c r="V202" s="18">
        <f>SUMPRODUCT((Source_Evolution!$A$3:$A$731=$A202)*(Source_Evolution!$F$3:$F$731&gt;0))</f>
        <v/>
      </c>
      <c r="W202" s="18">
        <f>SUMPRODUCT((Source_Evolution!$A$3:$A$731=$A202)*(Source_Evolution!$G$3:$G$731&gt;0))</f>
        <v/>
      </c>
      <c r="X202" s="18">
        <f>SUMPRODUCT((Source_Evolution!$A$3:$A$731=$A202)*(Source_Evolution!$H$3:$H$731&gt;0))</f>
        <v/>
      </c>
      <c r="Y202" s="18">
        <f>SUMPRODUCT((Source_Evolution!$A$3:$A$731=$A202)*(Source_Evolution!$I$3:$I$731&gt;0))</f>
        <v/>
      </c>
      <c r="Z202" s="18">
        <f>SUMPRODUCT((Source_Evolution!$A$3:$A$731=$A202)*(Source_Evolution!$J$3:$J$731&gt;0))</f>
        <v/>
      </c>
      <c r="AA202" s="18">
        <f>SUMPRODUCT((Source_Evolution!$A$3:$A$731=$A202)*(Source_Evolution!$K$3:$K$731&gt;0))</f>
        <v/>
      </c>
      <c r="AB202" s="18">
        <f>SUMPRODUCT((Source_Evolution!$A$3:$A$731=$A202)*(Source_Evolution!$L$3:$L$731&gt;0))</f>
        <v/>
      </c>
      <c r="AC202" s="18">
        <f>SUMPRODUCT((Source_Evolution!$A$3:$A$731=$A202)*(Source_Evolution!$M$3:$M$731&gt;0))</f>
        <v/>
      </c>
      <c r="AD202" s="18">
        <f>SUMPRODUCT((Source_Evolution!$A$3:$A$731=$A202)*(Source_Evolution!$N$3:$N$731&gt;0))</f>
        <v/>
      </c>
      <c r="AE202" s="18">
        <f>SUMPRODUCT((Source_Evolution!$A$3:$A$731=$A202)*(Source_Evolution!$O$3:$O$731&gt;0))</f>
        <v/>
      </c>
      <c r="AF202" s="18">
        <f>SUMPRODUCT((Source_Evolution!$A$3:$A$731=$A202)*(Source_Evolution!$P$3:$P$731&gt;0))</f>
        <v/>
      </c>
      <c r="AG202" s="18">
        <f>SUMPRODUCT((Source_Evolution!$A$3:$A$731=$A202)*(Source_Evolution!$Q$3:$Q$731&gt;0))</f>
        <v/>
      </c>
    </row>
    <row r="203">
      <c r="A203" t="inlineStr">
        <is>
          <t>Company 280</t>
        </is>
      </c>
      <c r="B203" t="inlineStr">
        <is>
          <t>Operations</t>
        </is>
      </c>
      <c r="C203" t="inlineStr">
        <is>
          <t>UK</t>
        </is>
      </c>
      <c r="D203" t="n">
        <v>2014</v>
      </c>
      <c r="E203" s="17">
        <f>SUMIFS(Source_Evolution!$E$3:$E$731,Source_Evolution!$A$3:$A$731,$A203)</f>
        <v/>
      </c>
      <c r="F203" s="17">
        <f>SUMIFS(Source_Evolution!$F$3:$F$731,Source_Evolution!$A$3:$A$731,$A203)</f>
        <v/>
      </c>
      <c r="G203" s="17">
        <f>SUMIFS(Source_Evolution!$G$3:$G$731,Source_Evolution!$A$3:$A$731,$A203)</f>
        <v/>
      </c>
      <c r="H203" s="17">
        <f>SUMIFS(Source_Evolution!$H$3:$H$731,Source_Evolution!$A$3:$A$731,$A203)</f>
        <v/>
      </c>
      <c r="I203" s="17">
        <f>SUMIFS(Source_Evolution!$I$3:$I$731,Source_Evolution!$A$3:$A$731,$A203)</f>
        <v/>
      </c>
      <c r="J203" s="17">
        <f>SUMIFS(Source_Evolution!$J$3:$J$731,Source_Evolution!$A$3:$A$731,$A203)</f>
        <v/>
      </c>
      <c r="K203" s="17">
        <f>SUMIFS(Source_Evolution!$K$3:$K$731,Source_Evolution!$A$3:$A$731,$A203)</f>
        <v/>
      </c>
      <c r="L203" s="17">
        <f>SUMIFS(Source_Evolution!$L$3:$L$731,Source_Evolution!$A$3:$A$731,$A203)</f>
        <v/>
      </c>
      <c r="M203" s="17">
        <f>SUMIFS(Source_Evolution!$M$3:$M$731,Source_Evolution!$A$3:$A$731,$A203)</f>
        <v/>
      </c>
      <c r="N203" s="17">
        <f>SUMIFS(Source_Evolution!$N$3:$N$731,Source_Evolution!$A$3:$A$731,$A203)</f>
        <v/>
      </c>
      <c r="O203" s="17">
        <f>SUMIFS(Source_Evolution!$O$3:$O$731,Source_Evolution!$A$3:$A$731,$A203)</f>
        <v/>
      </c>
      <c r="P203" s="17">
        <f>SUMIFS(Source_Evolution!$P$3:$P$731,Source_Evolution!$A$3:$A$731,$A203)</f>
        <v/>
      </c>
      <c r="Q203" s="17">
        <f>SUMIFS(Source_Evolution!$Q$3:$Q$731,Source_Evolution!$A$3:$A$731,$A203)</f>
        <v/>
      </c>
      <c r="R203" s="17">
        <f>SUM(E203:Q203)</f>
        <v/>
      </c>
      <c r="S203" s="17">
        <f>Q203</f>
        <v/>
      </c>
      <c r="T203">
        <f>IF(B203="Software",1,0)</f>
        <v/>
      </c>
      <c r="U203" s="18">
        <f>SUMPRODUCT((Source_Evolution!$A$3:$A$731=$A203)*(Source_Evolution!$E$3:$E$731&gt;0))</f>
        <v/>
      </c>
      <c r="V203" s="18">
        <f>SUMPRODUCT((Source_Evolution!$A$3:$A$731=$A203)*(Source_Evolution!$F$3:$F$731&gt;0))</f>
        <v/>
      </c>
      <c r="W203" s="18">
        <f>SUMPRODUCT((Source_Evolution!$A$3:$A$731=$A203)*(Source_Evolution!$G$3:$G$731&gt;0))</f>
        <v/>
      </c>
      <c r="X203" s="18">
        <f>SUMPRODUCT((Source_Evolution!$A$3:$A$731=$A203)*(Source_Evolution!$H$3:$H$731&gt;0))</f>
        <v/>
      </c>
      <c r="Y203" s="18">
        <f>SUMPRODUCT((Source_Evolution!$A$3:$A$731=$A203)*(Source_Evolution!$I$3:$I$731&gt;0))</f>
        <v/>
      </c>
      <c r="Z203" s="18">
        <f>SUMPRODUCT((Source_Evolution!$A$3:$A$731=$A203)*(Source_Evolution!$J$3:$J$731&gt;0))</f>
        <v/>
      </c>
      <c r="AA203" s="18">
        <f>SUMPRODUCT((Source_Evolution!$A$3:$A$731=$A203)*(Source_Evolution!$K$3:$K$731&gt;0))</f>
        <v/>
      </c>
      <c r="AB203" s="18">
        <f>SUMPRODUCT((Source_Evolution!$A$3:$A$731=$A203)*(Source_Evolution!$L$3:$L$731&gt;0))</f>
        <v/>
      </c>
      <c r="AC203" s="18">
        <f>SUMPRODUCT((Source_Evolution!$A$3:$A$731=$A203)*(Source_Evolution!$M$3:$M$731&gt;0))</f>
        <v/>
      </c>
      <c r="AD203" s="18">
        <f>SUMPRODUCT((Source_Evolution!$A$3:$A$731=$A203)*(Source_Evolution!$N$3:$N$731&gt;0))</f>
        <v/>
      </c>
      <c r="AE203" s="18">
        <f>SUMPRODUCT((Source_Evolution!$A$3:$A$731=$A203)*(Source_Evolution!$O$3:$O$731&gt;0))</f>
        <v/>
      </c>
      <c r="AF203" s="18">
        <f>SUMPRODUCT((Source_Evolution!$A$3:$A$731=$A203)*(Source_Evolution!$P$3:$P$731&gt;0))</f>
        <v/>
      </c>
      <c r="AG203" s="18">
        <f>SUMPRODUCT((Source_Evolution!$A$3:$A$731=$A203)*(Source_Evolution!$Q$3:$Q$731&gt;0))</f>
        <v/>
      </c>
    </row>
    <row r="204">
      <c r="A204" t="inlineStr">
        <is>
          <t>Company 281</t>
        </is>
      </c>
      <c r="B204" t="inlineStr">
        <is>
          <t>Power</t>
        </is>
      </c>
      <c r="C204" t="inlineStr">
        <is>
          <t>UK</t>
        </is>
      </c>
      <c r="D204" t="n">
        <v>2014</v>
      </c>
      <c r="E204" s="17">
        <f>SUMIFS(Source_Evolution!$E$3:$E$731,Source_Evolution!$A$3:$A$731,$A204)</f>
        <v/>
      </c>
      <c r="F204" s="17">
        <f>SUMIFS(Source_Evolution!$F$3:$F$731,Source_Evolution!$A$3:$A$731,$A204)</f>
        <v/>
      </c>
      <c r="G204" s="17">
        <f>SUMIFS(Source_Evolution!$G$3:$G$731,Source_Evolution!$A$3:$A$731,$A204)</f>
        <v/>
      </c>
      <c r="H204" s="17">
        <f>SUMIFS(Source_Evolution!$H$3:$H$731,Source_Evolution!$A$3:$A$731,$A204)</f>
        <v/>
      </c>
      <c r="I204" s="17">
        <f>SUMIFS(Source_Evolution!$I$3:$I$731,Source_Evolution!$A$3:$A$731,$A204)</f>
        <v/>
      </c>
      <c r="J204" s="17">
        <f>SUMIFS(Source_Evolution!$J$3:$J$731,Source_Evolution!$A$3:$A$731,$A204)</f>
        <v/>
      </c>
      <c r="K204" s="17">
        <f>SUMIFS(Source_Evolution!$K$3:$K$731,Source_Evolution!$A$3:$A$731,$A204)</f>
        <v/>
      </c>
      <c r="L204" s="17">
        <f>SUMIFS(Source_Evolution!$L$3:$L$731,Source_Evolution!$A$3:$A$731,$A204)</f>
        <v/>
      </c>
      <c r="M204" s="17">
        <f>SUMIFS(Source_Evolution!$M$3:$M$731,Source_Evolution!$A$3:$A$731,$A204)</f>
        <v/>
      </c>
      <c r="N204" s="17">
        <f>SUMIFS(Source_Evolution!$N$3:$N$731,Source_Evolution!$A$3:$A$731,$A204)</f>
        <v/>
      </c>
      <c r="O204" s="17">
        <f>SUMIFS(Source_Evolution!$O$3:$O$731,Source_Evolution!$A$3:$A$731,$A204)</f>
        <v/>
      </c>
      <c r="P204" s="17">
        <f>SUMIFS(Source_Evolution!$P$3:$P$731,Source_Evolution!$A$3:$A$731,$A204)</f>
        <v/>
      </c>
      <c r="Q204" s="17">
        <f>SUMIFS(Source_Evolution!$Q$3:$Q$731,Source_Evolution!$A$3:$A$731,$A204)</f>
        <v/>
      </c>
      <c r="R204" s="17">
        <f>SUM(E204:Q204)</f>
        <v/>
      </c>
      <c r="S204" s="17">
        <f>Q204</f>
        <v/>
      </c>
      <c r="T204">
        <f>IF(B204="Software",1,0)</f>
        <v/>
      </c>
      <c r="U204" s="18">
        <f>SUMPRODUCT((Source_Evolution!$A$3:$A$731=$A204)*(Source_Evolution!$E$3:$E$731&gt;0))</f>
        <v/>
      </c>
      <c r="V204" s="18">
        <f>SUMPRODUCT((Source_Evolution!$A$3:$A$731=$A204)*(Source_Evolution!$F$3:$F$731&gt;0))</f>
        <v/>
      </c>
      <c r="W204" s="18">
        <f>SUMPRODUCT((Source_Evolution!$A$3:$A$731=$A204)*(Source_Evolution!$G$3:$G$731&gt;0))</f>
        <v/>
      </c>
      <c r="X204" s="18">
        <f>SUMPRODUCT((Source_Evolution!$A$3:$A$731=$A204)*(Source_Evolution!$H$3:$H$731&gt;0))</f>
        <v/>
      </c>
      <c r="Y204" s="18">
        <f>SUMPRODUCT((Source_Evolution!$A$3:$A$731=$A204)*(Source_Evolution!$I$3:$I$731&gt;0))</f>
        <v/>
      </c>
      <c r="Z204" s="18">
        <f>SUMPRODUCT((Source_Evolution!$A$3:$A$731=$A204)*(Source_Evolution!$J$3:$J$731&gt;0))</f>
        <v/>
      </c>
      <c r="AA204" s="18">
        <f>SUMPRODUCT((Source_Evolution!$A$3:$A$731=$A204)*(Source_Evolution!$K$3:$K$731&gt;0))</f>
        <v/>
      </c>
      <c r="AB204" s="18">
        <f>SUMPRODUCT((Source_Evolution!$A$3:$A$731=$A204)*(Source_Evolution!$L$3:$L$731&gt;0))</f>
        <v/>
      </c>
      <c r="AC204" s="18">
        <f>SUMPRODUCT((Source_Evolution!$A$3:$A$731=$A204)*(Source_Evolution!$M$3:$M$731&gt;0))</f>
        <v/>
      </c>
      <c r="AD204" s="18">
        <f>SUMPRODUCT((Source_Evolution!$A$3:$A$731=$A204)*(Source_Evolution!$N$3:$N$731&gt;0))</f>
        <v/>
      </c>
      <c r="AE204" s="18">
        <f>SUMPRODUCT((Source_Evolution!$A$3:$A$731=$A204)*(Source_Evolution!$O$3:$O$731&gt;0))</f>
        <v/>
      </c>
      <c r="AF204" s="18">
        <f>SUMPRODUCT((Source_Evolution!$A$3:$A$731=$A204)*(Source_Evolution!$P$3:$P$731&gt;0))</f>
        <v/>
      </c>
      <c r="AG204" s="18">
        <f>SUMPRODUCT((Source_Evolution!$A$3:$A$731=$A204)*(Source_Evolution!$Q$3:$Q$731&gt;0))</f>
        <v/>
      </c>
    </row>
    <row r="205">
      <c r="A205" t="inlineStr">
        <is>
          <t>Company 282</t>
        </is>
      </c>
      <c r="B205" t="inlineStr">
        <is>
          <t>Software</t>
        </is>
      </c>
      <c r="C205" t="inlineStr">
        <is>
          <t>UK</t>
        </is>
      </c>
      <c r="D205" t="n">
        <v>2014</v>
      </c>
      <c r="E205" s="17">
        <f>SUMIFS(Source_Evolution!$E$3:$E$731,Source_Evolution!$A$3:$A$731,$A205)</f>
        <v/>
      </c>
      <c r="F205" s="17">
        <f>SUMIFS(Source_Evolution!$F$3:$F$731,Source_Evolution!$A$3:$A$731,$A205)</f>
        <v/>
      </c>
      <c r="G205" s="17">
        <f>SUMIFS(Source_Evolution!$G$3:$G$731,Source_Evolution!$A$3:$A$731,$A205)</f>
        <v/>
      </c>
      <c r="H205" s="17">
        <f>SUMIFS(Source_Evolution!$H$3:$H$731,Source_Evolution!$A$3:$A$731,$A205)</f>
        <v/>
      </c>
      <c r="I205" s="17">
        <f>SUMIFS(Source_Evolution!$I$3:$I$731,Source_Evolution!$A$3:$A$731,$A205)</f>
        <v/>
      </c>
      <c r="J205" s="17">
        <f>SUMIFS(Source_Evolution!$J$3:$J$731,Source_Evolution!$A$3:$A$731,$A205)</f>
        <v/>
      </c>
      <c r="K205" s="17">
        <f>SUMIFS(Source_Evolution!$K$3:$K$731,Source_Evolution!$A$3:$A$731,$A205)</f>
        <v/>
      </c>
      <c r="L205" s="17">
        <f>SUMIFS(Source_Evolution!$L$3:$L$731,Source_Evolution!$A$3:$A$731,$A205)</f>
        <v/>
      </c>
      <c r="M205" s="17">
        <f>SUMIFS(Source_Evolution!$M$3:$M$731,Source_Evolution!$A$3:$A$731,$A205)</f>
        <v/>
      </c>
      <c r="N205" s="17">
        <f>SUMIFS(Source_Evolution!$N$3:$N$731,Source_Evolution!$A$3:$A$731,$A205)</f>
        <v/>
      </c>
      <c r="O205" s="17">
        <f>SUMIFS(Source_Evolution!$O$3:$O$731,Source_Evolution!$A$3:$A$731,$A205)</f>
        <v/>
      </c>
      <c r="P205" s="17">
        <f>SUMIFS(Source_Evolution!$P$3:$P$731,Source_Evolution!$A$3:$A$731,$A205)</f>
        <v/>
      </c>
      <c r="Q205" s="17">
        <f>SUMIFS(Source_Evolution!$Q$3:$Q$731,Source_Evolution!$A$3:$A$731,$A205)</f>
        <v/>
      </c>
      <c r="R205" s="17">
        <f>SUM(E205:Q205)</f>
        <v/>
      </c>
      <c r="S205" s="17">
        <f>Q205</f>
        <v/>
      </c>
      <c r="T205">
        <f>IF(B205="Software",1,0)</f>
        <v/>
      </c>
      <c r="U205" s="18">
        <f>SUMPRODUCT((Source_Evolution!$A$3:$A$731=$A205)*(Source_Evolution!$E$3:$E$731&gt;0))</f>
        <v/>
      </c>
      <c r="V205" s="18">
        <f>SUMPRODUCT((Source_Evolution!$A$3:$A$731=$A205)*(Source_Evolution!$F$3:$F$731&gt;0))</f>
        <v/>
      </c>
      <c r="W205" s="18">
        <f>SUMPRODUCT((Source_Evolution!$A$3:$A$731=$A205)*(Source_Evolution!$G$3:$G$731&gt;0))</f>
        <v/>
      </c>
      <c r="X205" s="18">
        <f>SUMPRODUCT((Source_Evolution!$A$3:$A$731=$A205)*(Source_Evolution!$H$3:$H$731&gt;0))</f>
        <v/>
      </c>
      <c r="Y205" s="18">
        <f>SUMPRODUCT((Source_Evolution!$A$3:$A$731=$A205)*(Source_Evolution!$I$3:$I$731&gt;0))</f>
        <v/>
      </c>
      <c r="Z205" s="18">
        <f>SUMPRODUCT((Source_Evolution!$A$3:$A$731=$A205)*(Source_Evolution!$J$3:$J$731&gt;0))</f>
        <v/>
      </c>
      <c r="AA205" s="18">
        <f>SUMPRODUCT((Source_Evolution!$A$3:$A$731=$A205)*(Source_Evolution!$K$3:$K$731&gt;0))</f>
        <v/>
      </c>
      <c r="AB205" s="18">
        <f>SUMPRODUCT((Source_Evolution!$A$3:$A$731=$A205)*(Source_Evolution!$L$3:$L$731&gt;0))</f>
        <v/>
      </c>
      <c r="AC205" s="18">
        <f>SUMPRODUCT((Source_Evolution!$A$3:$A$731=$A205)*(Source_Evolution!$M$3:$M$731&gt;0))</f>
        <v/>
      </c>
      <c r="AD205" s="18">
        <f>SUMPRODUCT((Source_Evolution!$A$3:$A$731=$A205)*(Source_Evolution!$N$3:$N$731&gt;0))</f>
        <v/>
      </c>
      <c r="AE205" s="18">
        <f>SUMPRODUCT((Source_Evolution!$A$3:$A$731=$A205)*(Source_Evolution!$O$3:$O$731&gt;0))</f>
        <v/>
      </c>
      <c r="AF205" s="18">
        <f>SUMPRODUCT((Source_Evolution!$A$3:$A$731=$A205)*(Source_Evolution!$P$3:$P$731&gt;0))</f>
        <v/>
      </c>
      <c r="AG205" s="18">
        <f>SUMPRODUCT((Source_Evolution!$A$3:$A$731=$A205)*(Source_Evolution!$Q$3:$Q$731&gt;0))</f>
        <v/>
      </c>
    </row>
    <row r="206">
      <c r="A206" t="inlineStr">
        <is>
          <t>Company 283</t>
        </is>
      </c>
      <c r="B206" t="inlineStr">
        <is>
          <t>Software</t>
        </is>
      </c>
      <c r="C206" t="inlineStr">
        <is>
          <t>Italy</t>
        </is>
      </c>
      <c r="D206" t="n">
        <v>2014</v>
      </c>
      <c r="E206" s="17">
        <f>SUMIFS(Source_Evolution!$E$3:$E$731,Source_Evolution!$A$3:$A$731,$A206)</f>
        <v/>
      </c>
      <c r="F206" s="17">
        <f>SUMIFS(Source_Evolution!$F$3:$F$731,Source_Evolution!$A$3:$A$731,$A206)</f>
        <v/>
      </c>
      <c r="G206" s="17">
        <f>SUMIFS(Source_Evolution!$G$3:$G$731,Source_Evolution!$A$3:$A$731,$A206)</f>
        <v/>
      </c>
      <c r="H206" s="17">
        <f>SUMIFS(Source_Evolution!$H$3:$H$731,Source_Evolution!$A$3:$A$731,$A206)</f>
        <v/>
      </c>
      <c r="I206" s="17">
        <f>SUMIFS(Source_Evolution!$I$3:$I$731,Source_Evolution!$A$3:$A$731,$A206)</f>
        <v/>
      </c>
      <c r="J206" s="17">
        <f>SUMIFS(Source_Evolution!$J$3:$J$731,Source_Evolution!$A$3:$A$731,$A206)</f>
        <v/>
      </c>
      <c r="K206" s="17">
        <f>SUMIFS(Source_Evolution!$K$3:$K$731,Source_Evolution!$A$3:$A$731,$A206)</f>
        <v/>
      </c>
      <c r="L206" s="17">
        <f>SUMIFS(Source_Evolution!$L$3:$L$731,Source_Evolution!$A$3:$A$731,$A206)</f>
        <v/>
      </c>
      <c r="M206" s="17">
        <f>SUMIFS(Source_Evolution!$M$3:$M$731,Source_Evolution!$A$3:$A$731,$A206)</f>
        <v/>
      </c>
      <c r="N206" s="17">
        <f>SUMIFS(Source_Evolution!$N$3:$N$731,Source_Evolution!$A$3:$A$731,$A206)</f>
        <v/>
      </c>
      <c r="O206" s="17">
        <f>SUMIFS(Source_Evolution!$O$3:$O$731,Source_Evolution!$A$3:$A$731,$A206)</f>
        <v/>
      </c>
      <c r="P206" s="17">
        <f>SUMIFS(Source_Evolution!$P$3:$P$731,Source_Evolution!$A$3:$A$731,$A206)</f>
        <v/>
      </c>
      <c r="Q206" s="17">
        <f>SUMIFS(Source_Evolution!$Q$3:$Q$731,Source_Evolution!$A$3:$A$731,$A206)</f>
        <v/>
      </c>
      <c r="R206" s="17">
        <f>SUM(E206:Q206)</f>
        <v/>
      </c>
      <c r="S206" s="17">
        <f>Q206</f>
        <v/>
      </c>
      <c r="T206">
        <f>IF(B206="Software",1,0)</f>
        <v/>
      </c>
      <c r="U206" s="18">
        <f>SUMPRODUCT((Source_Evolution!$A$3:$A$731=$A206)*(Source_Evolution!$E$3:$E$731&gt;0))</f>
        <v/>
      </c>
      <c r="V206" s="18">
        <f>SUMPRODUCT((Source_Evolution!$A$3:$A$731=$A206)*(Source_Evolution!$F$3:$F$731&gt;0))</f>
        <v/>
      </c>
      <c r="W206" s="18">
        <f>SUMPRODUCT((Source_Evolution!$A$3:$A$731=$A206)*(Source_Evolution!$G$3:$G$731&gt;0))</f>
        <v/>
      </c>
      <c r="X206" s="18">
        <f>SUMPRODUCT((Source_Evolution!$A$3:$A$731=$A206)*(Source_Evolution!$H$3:$H$731&gt;0))</f>
        <v/>
      </c>
      <c r="Y206" s="18">
        <f>SUMPRODUCT((Source_Evolution!$A$3:$A$731=$A206)*(Source_Evolution!$I$3:$I$731&gt;0))</f>
        <v/>
      </c>
      <c r="Z206" s="18">
        <f>SUMPRODUCT((Source_Evolution!$A$3:$A$731=$A206)*(Source_Evolution!$J$3:$J$731&gt;0))</f>
        <v/>
      </c>
      <c r="AA206" s="18">
        <f>SUMPRODUCT((Source_Evolution!$A$3:$A$731=$A206)*(Source_Evolution!$K$3:$K$731&gt;0))</f>
        <v/>
      </c>
      <c r="AB206" s="18">
        <f>SUMPRODUCT((Source_Evolution!$A$3:$A$731=$A206)*(Source_Evolution!$L$3:$L$731&gt;0))</f>
        <v/>
      </c>
      <c r="AC206" s="18">
        <f>SUMPRODUCT((Source_Evolution!$A$3:$A$731=$A206)*(Source_Evolution!$M$3:$M$731&gt;0))</f>
        <v/>
      </c>
      <c r="AD206" s="18">
        <f>SUMPRODUCT((Source_Evolution!$A$3:$A$731=$A206)*(Source_Evolution!$N$3:$N$731&gt;0))</f>
        <v/>
      </c>
      <c r="AE206" s="18">
        <f>SUMPRODUCT((Source_Evolution!$A$3:$A$731=$A206)*(Source_Evolution!$O$3:$O$731&gt;0))</f>
        <v/>
      </c>
      <c r="AF206" s="18">
        <f>SUMPRODUCT((Source_Evolution!$A$3:$A$731=$A206)*(Source_Evolution!$P$3:$P$731&gt;0))</f>
        <v/>
      </c>
      <c r="AG206" s="18">
        <f>SUMPRODUCT((Source_Evolution!$A$3:$A$731=$A206)*(Source_Evolution!$Q$3:$Q$731&gt;0))</f>
        <v/>
      </c>
    </row>
    <row r="207">
      <c r="A207" t="inlineStr">
        <is>
          <t>Company 284</t>
        </is>
      </c>
      <c r="B207" t="inlineStr">
        <is>
          <t>Software</t>
        </is>
      </c>
      <c r="C207" t="inlineStr">
        <is>
          <t>Poland</t>
        </is>
      </c>
      <c r="D207" t="n">
        <v>2017</v>
      </c>
      <c r="E207" s="17">
        <f>SUMIFS(Source_Evolution!$E$3:$E$731,Source_Evolution!$A$3:$A$731,$A207)</f>
        <v/>
      </c>
      <c r="F207" s="17">
        <f>SUMIFS(Source_Evolution!$F$3:$F$731,Source_Evolution!$A$3:$A$731,$A207)</f>
        <v/>
      </c>
      <c r="G207" s="17">
        <f>SUMIFS(Source_Evolution!$G$3:$G$731,Source_Evolution!$A$3:$A$731,$A207)</f>
        <v/>
      </c>
      <c r="H207" s="17">
        <f>SUMIFS(Source_Evolution!$H$3:$H$731,Source_Evolution!$A$3:$A$731,$A207)</f>
        <v/>
      </c>
      <c r="I207" s="17">
        <f>SUMIFS(Source_Evolution!$I$3:$I$731,Source_Evolution!$A$3:$A$731,$A207)</f>
        <v/>
      </c>
      <c r="J207" s="17">
        <f>SUMIFS(Source_Evolution!$J$3:$J$731,Source_Evolution!$A$3:$A$731,$A207)</f>
        <v/>
      </c>
      <c r="K207" s="17">
        <f>SUMIFS(Source_Evolution!$K$3:$K$731,Source_Evolution!$A$3:$A$731,$A207)</f>
        <v/>
      </c>
      <c r="L207" s="17">
        <f>SUMIFS(Source_Evolution!$L$3:$L$731,Source_Evolution!$A$3:$A$731,$A207)</f>
        <v/>
      </c>
      <c r="M207" s="17">
        <f>SUMIFS(Source_Evolution!$M$3:$M$731,Source_Evolution!$A$3:$A$731,$A207)</f>
        <v/>
      </c>
      <c r="N207" s="17">
        <f>SUMIFS(Source_Evolution!$N$3:$N$731,Source_Evolution!$A$3:$A$731,$A207)</f>
        <v/>
      </c>
      <c r="O207" s="17">
        <f>SUMIFS(Source_Evolution!$O$3:$O$731,Source_Evolution!$A$3:$A$731,$A207)</f>
        <v/>
      </c>
      <c r="P207" s="17">
        <f>SUMIFS(Source_Evolution!$P$3:$P$731,Source_Evolution!$A$3:$A$731,$A207)</f>
        <v/>
      </c>
      <c r="Q207" s="17">
        <f>SUMIFS(Source_Evolution!$Q$3:$Q$731,Source_Evolution!$A$3:$A$731,$A207)</f>
        <v/>
      </c>
      <c r="R207" s="17">
        <f>SUM(E207:Q207)</f>
        <v/>
      </c>
      <c r="S207" s="17">
        <f>Q207</f>
        <v/>
      </c>
      <c r="T207">
        <f>IF(B207="Software",1,0)</f>
        <v/>
      </c>
      <c r="U207" s="18">
        <f>SUMPRODUCT((Source_Evolution!$A$3:$A$731=$A207)*(Source_Evolution!$E$3:$E$731&gt;0))</f>
        <v/>
      </c>
      <c r="V207" s="18">
        <f>SUMPRODUCT((Source_Evolution!$A$3:$A$731=$A207)*(Source_Evolution!$F$3:$F$731&gt;0))</f>
        <v/>
      </c>
      <c r="W207" s="18">
        <f>SUMPRODUCT((Source_Evolution!$A$3:$A$731=$A207)*(Source_Evolution!$G$3:$G$731&gt;0))</f>
        <v/>
      </c>
      <c r="X207" s="18">
        <f>SUMPRODUCT((Source_Evolution!$A$3:$A$731=$A207)*(Source_Evolution!$H$3:$H$731&gt;0))</f>
        <v/>
      </c>
      <c r="Y207" s="18">
        <f>SUMPRODUCT((Source_Evolution!$A$3:$A$731=$A207)*(Source_Evolution!$I$3:$I$731&gt;0))</f>
        <v/>
      </c>
      <c r="Z207" s="18">
        <f>SUMPRODUCT((Source_Evolution!$A$3:$A$731=$A207)*(Source_Evolution!$J$3:$J$731&gt;0))</f>
        <v/>
      </c>
      <c r="AA207" s="18">
        <f>SUMPRODUCT((Source_Evolution!$A$3:$A$731=$A207)*(Source_Evolution!$K$3:$K$731&gt;0))</f>
        <v/>
      </c>
      <c r="AB207" s="18">
        <f>SUMPRODUCT((Source_Evolution!$A$3:$A$731=$A207)*(Source_Evolution!$L$3:$L$731&gt;0))</f>
        <v/>
      </c>
      <c r="AC207" s="18">
        <f>SUMPRODUCT((Source_Evolution!$A$3:$A$731=$A207)*(Source_Evolution!$M$3:$M$731&gt;0))</f>
        <v/>
      </c>
      <c r="AD207" s="18">
        <f>SUMPRODUCT((Source_Evolution!$A$3:$A$731=$A207)*(Source_Evolution!$N$3:$N$731&gt;0))</f>
        <v/>
      </c>
      <c r="AE207" s="18">
        <f>SUMPRODUCT((Source_Evolution!$A$3:$A$731=$A207)*(Source_Evolution!$O$3:$O$731&gt;0))</f>
        <v/>
      </c>
      <c r="AF207" s="18">
        <f>SUMPRODUCT((Source_Evolution!$A$3:$A$731=$A207)*(Source_Evolution!$P$3:$P$731&gt;0))</f>
        <v/>
      </c>
      <c r="AG207" s="18">
        <f>SUMPRODUCT((Source_Evolution!$A$3:$A$731=$A207)*(Source_Evolution!$Q$3:$Q$731&gt;0))</f>
        <v/>
      </c>
    </row>
    <row r="208">
      <c r="A208" t="inlineStr">
        <is>
          <t>Company 285</t>
        </is>
      </c>
      <c r="B208" t="inlineStr">
        <is>
          <t>Software</t>
        </is>
      </c>
      <c r="C208" t="inlineStr">
        <is>
          <t>Poland</t>
        </is>
      </c>
      <c r="D208" t="n">
        <v>2016</v>
      </c>
      <c r="E208" s="17">
        <f>SUMIFS(Source_Evolution!$E$3:$E$731,Source_Evolution!$A$3:$A$731,$A208)</f>
        <v/>
      </c>
      <c r="F208" s="17">
        <f>SUMIFS(Source_Evolution!$F$3:$F$731,Source_Evolution!$A$3:$A$731,$A208)</f>
        <v/>
      </c>
      <c r="G208" s="17">
        <f>SUMIFS(Source_Evolution!$G$3:$G$731,Source_Evolution!$A$3:$A$731,$A208)</f>
        <v/>
      </c>
      <c r="H208" s="17">
        <f>SUMIFS(Source_Evolution!$H$3:$H$731,Source_Evolution!$A$3:$A$731,$A208)</f>
        <v/>
      </c>
      <c r="I208" s="17">
        <f>SUMIFS(Source_Evolution!$I$3:$I$731,Source_Evolution!$A$3:$A$731,$A208)</f>
        <v/>
      </c>
      <c r="J208" s="17">
        <f>SUMIFS(Source_Evolution!$J$3:$J$731,Source_Evolution!$A$3:$A$731,$A208)</f>
        <v/>
      </c>
      <c r="K208" s="17">
        <f>SUMIFS(Source_Evolution!$K$3:$K$731,Source_Evolution!$A$3:$A$731,$A208)</f>
        <v/>
      </c>
      <c r="L208" s="17">
        <f>SUMIFS(Source_Evolution!$L$3:$L$731,Source_Evolution!$A$3:$A$731,$A208)</f>
        <v/>
      </c>
      <c r="M208" s="17">
        <f>SUMIFS(Source_Evolution!$M$3:$M$731,Source_Evolution!$A$3:$A$731,$A208)</f>
        <v/>
      </c>
      <c r="N208" s="17">
        <f>SUMIFS(Source_Evolution!$N$3:$N$731,Source_Evolution!$A$3:$A$731,$A208)</f>
        <v/>
      </c>
      <c r="O208" s="17">
        <f>SUMIFS(Source_Evolution!$O$3:$O$731,Source_Evolution!$A$3:$A$731,$A208)</f>
        <v/>
      </c>
      <c r="P208" s="17">
        <f>SUMIFS(Source_Evolution!$P$3:$P$731,Source_Evolution!$A$3:$A$731,$A208)</f>
        <v/>
      </c>
      <c r="Q208" s="17">
        <f>SUMIFS(Source_Evolution!$Q$3:$Q$731,Source_Evolution!$A$3:$A$731,$A208)</f>
        <v/>
      </c>
      <c r="R208" s="17">
        <f>SUM(E208:Q208)</f>
        <v/>
      </c>
      <c r="S208" s="17">
        <f>Q208</f>
        <v/>
      </c>
      <c r="T208">
        <f>IF(B208="Software",1,0)</f>
        <v/>
      </c>
      <c r="U208" s="18">
        <f>SUMPRODUCT((Source_Evolution!$A$3:$A$731=$A208)*(Source_Evolution!$E$3:$E$731&gt;0))</f>
        <v/>
      </c>
      <c r="V208" s="18">
        <f>SUMPRODUCT((Source_Evolution!$A$3:$A$731=$A208)*(Source_Evolution!$F$3:$F$731&gt;0))</f>
        <v/>
      </c>
      <c r="W208" s="18">
        <f>SUMPRODUCT((Source_Evolution!$A$3:$A$731=$A208)*(Source_Evolution!$G$3:$G$731&gt;0))</f>
        <v/>
      </c>
      <c r="X208" s="18">
        <f>SUMPRODUCT((Source_Evolution!$A$3:$A$731=$A208)*(Source_Evolution!$H$3:$H$731&gt;0))</f>
        <v/>
      </c>
      <c r="Y208" s="18">
        <f>SUMPRODUCT((Source_Evolution!$A$3:$A$731=$A208)*(Source_Evolution!$I$3:$I$731&gt;0))</f>
        <v/>
      </c>
      <c r="Z208" s="18">
        <f>SUMPRODUCT((Source_Evolution!$A$3:$A$731=$A208)*(Source_Evolution!$J$3:$J$731&gt;0))</f>
        <v/>
      </c>
      <c r="AA208" s="18">
        <f>SUMPRODUCT((Source_Evolution!$A$3:$A$731=$A208)*(Source_Evolution!$K$3:$K$731&gt;0))</f>
        <v/>
      </c>
      <c r="AB208" s="18">
        <f>SUMPRODUCT((Source_Evolution!$A$3:$A$731=$A208)*(Source_Evolution!$L$3:$L$731&gt;0))</f>
        <v/>
      </c>
      <c r="AC208" s="18">
        <f>SUMPRODUCT((Source_Evolution!$A$3:$A$731=$A208)*(Source_Evolution!$M$3:$M$731&gt;0))</f>
        <v/>
      </c>
      <c r="AD208" s="18">
        <f>SUMPRODUCT((Source_Evolution!$A$3:$A$731=$A208)*(Source_Evolution!$N$3:$N$731&gt;0))</f>
        <v/>
      </c>
      <c r="AE208" s="18">
        <f>SUMPRODUCT((Source_Evolution!$A$3:$A$731=$A208)*(Source_Evolution!$O$3:$O$731&gt;0))</f>
        <v/>
      </c>
      <c r="AF208" s="18">
        <f>SUMPRODUCT((Source_Evolution!$A$3:$A$731=$A208)*(Source_Evolution!$P$3:$P$731&gt;0))</f>
        <v/>
      </c>
      <c r="AG208" s="18">
        <f>SUMPRODUCT((Source_Evolution!$A$3:$A$731=$A208)*(Source_Evolution!$Q$3:$Q$731&gt;0))</f>
        <v/>
      </c>
    </row>
    <row r="209">
      <c r="A209" t="inlineStr">
        <is>
          <t>Company 286</t>
        </is>
      </c>
      <c r="B209" t="inlineStr">
        <is>
          <t>Power</t>
        </is>
      </c>
      <c r="C209" t="inlineStr">
        <is>
          <t>UK</t>
        </is>
      </c>
      <c r="D209" t="n">
        <v>2014</v>
      </c>
      <c r="E209" s="17">
        <f>SUMIFS(Source_Evolution!$E$3:$E$731,Source_Evolution!$A$3:$A$731,$A209)</f>
        <v/>
      </c>
      <c r="F209" s="17">
        <f>SUMIFS(Source_Evolution!$F$3:$F$731,Source_Evolution!$A$3:$A$731,$A209)</f>
        <v/>
      </c>
      <c r="G209" s="17">
        <f>SUMIFS(Source_Evolution!$G$3:$G$731,Source_Evolution!$A$3:$A$731,$A209)</f>
        <v/>
      </c>
      <c r="H209" s="17">
        <f>SUMIFS(Source_Evolution!$H$3:$H$731,Source_Evolution!$A$3:$A$731,$A209)</f>
        <v/>
      </c>
      <c r="I209" s="17">
        <f>SUMIFS(Source_Evolution!$I$3:$I$731,Source_Evolution!$A$3:$A$731,$A209)</f>
        <v/>
      </c>
      <c r="J209" s="17">
        <f>SUMIFS(Source_Evolution!$J$3:$J$731,Source_Evolution!$A$3:$A$731,$A209)</f>
        <v/>
      </c>
      <c r="K209" s="17">
        <f>SUMIFS(Source_Evolution!$K$3:$K$731,Source_Evolution!$A$3:$A$731,$A209)</f>
        <v/>
      </c>
      <c r="L209" s="17">
        <f>SUMIFS(Source_Evolution!$L$3:$L$731,Source_Evolution!$A$3:$A$731,$A209)</f>
        <v/>
      </c>
      <c r="M209" s="17">
        <f>SUMIFS(Source_Evolution!$M$3:$M$731,Source_Evolution!$A$3:$A$731,$A209)</f>
        <v/>
      </c>
      <c r="N209" s="17">
        <f>SUMIFS(Source_Evolution!$N$3:$N$731,Source_Evolution!$A$3:$A$731,$A209)</f>
        <v/>
      </c>
      <c r="O209" s="17">
        <f>SUMIFS(Source_Evolution!$O$3:$O$731,Source_Evolution!$A$3:$A$731,$A209)</f>
        <v/>
      </c>
      <c r="P209" s="17">
        <f>SUMIFS(Source_Evolution!$P$3:$P$731,Source_Evolution!$A$3:$A$731,$A209)</f>
        <v/>
      </c>
      <c r="Q209" s="17">
        <f>SUMIFS(Source_Evolution!$Q$3:$Q$731,Source_Evolution!$A$3:$A$731,$A209)</f>
        <v/>
      </c>
      <c r="R209" s="17">
        <f>SUM(E209:Q209)</f>
        <v/>
      </c>
      <c r="S209" s="17">
        <f>Q209</f>
        <v/>
      </c>
      <c r="T209">
        <f>IF(B209="Software",1,0)</f>
        <v/>
      </c>
      <c r="U209" s="18">
        <f>SUMPRODUCT((Source_Evolution!$A$3:$A$731=$A209)*(Source_Evolution!$E$3:$E$731&gt;0))</f>
        <v/>
      </c>
      <c r="V209" s="18">
        <f>SUMPRODUCT((Source_Evolution!$A$3:$A$731=$A209)*(Source_Evolution!$F$3:$F$731&gt;0))</f>
        <v/>
      </c>
      <c r="W209" s="18">
        <f>SUMPRODUCT((Source_Evolution!$A$3:$A$731=$A209)*(Source_Evolution!$G$3:$G$731&gt;0))</f>
        <v/>
      </c>
      <c r="X209" s="18">
        <f>SUMPRODUCT((Source_Evolution!$A$3:$A$731=$A209)*(Source_Evolution!$H$3:$H$731&gt;0))</f>
        <v/>
      </c>
      <c r="Y209" s="18">
        <f>SUMPRODUCT((Source_Evolution!$A$3:$A$731=$A209)*(Source_Evolution!$I$3:$I$731&gt;0))</f>
        <v/>
      </c>
      <c r="Z209" s="18">
        <f>SUMPRODUCT((Source_Evolution!$A$3:$A$731=$A209)*(Source_Evolution!$J$3:$J$731&gt;0))</f>
        <v/>
      </c>
      <c r="AA209" s="18">
        <f>SUMPRODUCT((Source_Evolution!$A$3:$A$731=$A209)*(Source_Evolution!$K$3:$K$731&gt;0))</f>
        <v/>
      </c>
      <c r="AB209" s="18">
        <f>SUMPRODUCT((Source_Evolution!$A$3:$A$731=$A209)*(Source_Evolution!$L$3:$L$731&gt;0))</f>
        <v/>
      </c>
      <c r="AC209" s="18">
        <f>SUMPRODUCT((Source_Evolution!$A$3:$A$731=$A209)*(Source_Evolution!$M$3:$M$731&gt;0))</f>
        <v/>
      </c>
      <c r="AD209" s="18">
        <f>SUMPRODUCT((Source_Evolution!$A$3:$A$731=$A209)*(Source_Evolution!$N$3:$N$731&gt;0))</f>
        <v/>
      </c>
      <c r="AE209" s="18">
        <f>SUMPRODUCT((Source_Evolution!$A$3:$A$731=$A209)*(Source_Evolution!$O$3:$O$731&gt;0))</f>
        <v/>
      </c>
      <c r="AF209" s="18">
        <f>SUMPRODUCT((Source_Evolution!$A$3:$A$731=$A209)*(Source_Evolution!$P$3:$P$731&gt;0))</f>
        <v/>
      </c>
      <c r="AG209" s="18">
        <f>SUMPRODUCT((Source_Evolution!$A$3:$A$731=$A209)*(Source_Evolution!$Q$3:$Q$731&gt;0))</f>
        <v/>
      </c>
    </row>
    <row r="210">
      <c r="A210" t="inlineStr">
        <is>
          <t>Company 287</t>
        </is>
      </c>
      <c r="B210" t="inlineStr">
        <is>
          <t>Operations</t>
        </is>
      </c>
      <c r="C210" t="inlineStr">
        <is>
          <t>UK</t>
        </is>
      </c>
      <c r="D210" t="n">
        <v>2015</v>
      </c>
      <c r="E210" s="17">
        <f>SUMIFS(Source_Evolution!$E$3:$E$731,Source_Evolution!$A$3:$A$731,$A210)</f>
        <v/>
      </c>
      <c r="F210" s="17">
        <f>SUMIFS(Source_Evolution!$F$3:$F$731,Source_Evolution!$A$3:$A$731,$A210)</f>
        <v/>
      </c>
      <c r="G210" s="17">
        <f>SUMIFS(Source_Evolution!$G$3:$G$731,Source_Evolution!$A$3:$A$731,$A210)</f>
        <v/>
      </c>
      <c r="H210" s="17">
        <f>SUMIFS(Source_Evolution!$H$3:$H$731,Source_Evolution!$A$3:$A$731,$A210)</f>
        <v/>
      </c>
      <c r="I210" s="17">
        <f>SUMIFS(Source_Evolution!$I$3:$I$731,Source_Evolution!$A$3:$A$731,$A210)</f>
        <v/>
      </c>
      <c r="J210" s="17">
        <f>SUMIFS(Source_Evolution!$J$3:$J$731,Source_Evolution!$A$3:$A$731,$A210)</f>
        <v/>
      </c>
      <c r="K210" s="17">
        <f>SUMIFS(Source_Evolution!$K$3:$K$731,Source_Evolution!$A$3:$A$731,$A210)</f>
        <v/>
      </c>
      <c r="L210" s="17">
        <f>SUMIFS(Source_Evolution!$L$3:$L$731,Source_Evolution!$A$3:$A$731,$A210)</f>
        <v/>
      </c>
      <c r="M210" s="17">
        <f>SUMIFS(Source_Evolution!$M$3:$M$731,Source_Evolution!$A$3:$A$731,$A210)</f>
        <v/>
      </c>
      <c r="N210" s="17">
        <f>SUMIFS(Source_Evolution!$N$3:$N$731,Source_Evolution!$A$3:$A$731,$A210)</f>
        <v/>
      </c>
      <c r="O210" s="17">
        <f>SUMIFS(Source_Evolution!$O$3:$O$731,Source_Evolution!$A$3:$A$731,$A210)</f>
        <v/>
      </c>
      <c r="P210" s="17">
        <f>SUMIFS(Source_Evolution!$P$3:$P$731,Source_Evolution!$A$3:$A$731,$A210)</f>
        <v/>
      </c>
      <c r="Q210" s="17">
        <f>SUMIFS(Source_Evolution!$Q$3:$Q$731,Source_Evolution!$A$3:$A$731,$A210)</f>
        <v/>
      </c>
      <c r="R210" s="17">
        <f>SUM(E210:Q210)</f>
        <v/>
      </c>
      <c r="S210" s="17">
        <f>Q210</f>
        <v/>
      </c>
      <c r="T210">
        <f>IF(B210="Software",1,0)</f>
        <v/>
      </c>
      <c r="U210" s="18">
        <f>SUMPRODUCT((Source_Evolution!$A$3:$A$731=$A210)*(Source_Evolution!$E$3:$E$731&gt;0))</f>
        <v/>
      </c>
      <c r="V210" s="18">
        <f>SUMPRODUCT((Source_Evolution!$A$3:$A$731=$A210)*(Source_Evolution!$F$3:$F$731&gt;0))</f>
        <v/>
      </c>
      <c r="W210" s="18">
        <f>SUMPRODUCT((Source_Evolution!$A$3:$A$731=$A210)*(Source_Evolution!$G$3:$G$731&gt;0))</f>
        <v/>
      </c>
      <c r="X210" s="18">
        <f>SUMPRODUCT((Source_Evolution!$A$3:$A$731=$A210)*(Source_Evolution!$H$3:$H$731&gt;0))</f>
        <v/>
      </c>
      <c r="Y210" s="18">
        <f>SUMPRODUCT((Source_Evolution!$A$3:$A$731=$A210)*(Source_Evolution!$I$3:$I$731&gt;0))</f>
        <v/>
      </c>
      <c r="Z210" s="18">
        <f>SUMPRODUCT((Source_Evolution!$A$3:$A$731=$A210)*(Source_Evolution!$J$3:$J$731&gt;0))</f>
        <v/>
      </c>
      <c r="AA210" s="18">
        <f>SUMPRODUCT((Source_Evolution!$A$3:$A$731=$A210)*(Source_Evolution!$K$3:$K$731&gt;0))</f>
        <v/>
      </c>
      <c r="AB210" s="18">
        <f>SUMPRODUCT((Source_Evolution!$A$3:$A$731=$A210)*(Source_Evolution!$L$3:$L$731&gt;0))</f>
        <v/>
      </c>
      <c r="AC210" s="18">
        <f>SUMPRODUCT((Source_Evolution!$A$3:$A$731=$A210)*(Source_Evolution!$M$3:$M$731&gt;0))</f>
        <v/>
      </c>
      <c r="AD210" s="18">
        <f>SUMPRODUCT((Source_Evolution!$A$3:$A$731=$A210)*(Source_Evolution!$N$3:$N$731&gt;0))</f>
        <v/>
      </c>
      <c r="AE210" s="18">
        <f>SUMPRODUCT((Source_Evolution!$A$3:$A$731=$A210)*(Source_Evolution!$O$3:$O$731&gt;0))</f>
        <v/>
      </c>
      <c r="AF210" s="18">
        <f>SUMPRODUCT((Source_Evolution!$A$3:$A$731=$A210)*(Source_Evolution!$P$3:$P$731&gt;0))</f>
        <v/>
      </c>
      <c r="AG210" s="18">
        <f>SUMPRODUCT((Source_Evolution!$A$3:$A$731=$A210)*(Source_Evolution!$Q$3:$Q$731&gt;0))</f>
        <v/>
      </c>
    </row>
    <row r="211">
      <c r="A211" t="inlineStr">
        <is>
          <t>Company 288</t>
        </is>
      </c>
      <c r="B211" t="inlineStr">
        <is>
          <t>Software</t>
        </is>
      </c>
      <c r="C211" t="inlineStr">
        <is>
          <t>Belgium</t>
        </is>
      </c>
      <c r="D211" t="n">
        <v>2014</v>
      </c>
      <c r="E211" s="17">
        <f>SUMIFS(Source_Evolution!$E$3:$E$731,Source_Evolution!$A$3:$A$731,$A211)</f>
        <v/>
      </c>
      <c r="F211" s="17">
        <f>SUMIFS(Source_Evolution!$F$3:$F$731,Source_Evolution!$A$3:$A$731,$A211)</f>
        <v/>
      </c>
      <c r="G211" s="17">
        <f>SUMIFS(Source_Evolution!$G$3:$G$731,Source_Evolution!$A$3:$A$731,$A211)</f>
        <v/>
      </c>
      <c r="H211" s="17">
        <f>SUMIFS(Source_Evolution!$H$3:$H$731,Source_Evolution!$A$3:$A$731,$A211)</f>
        <v/>
      </c>
      <c r="I211" s="17">
        <f>SUMIFS(Source_Evolution!$I$3:$I$731,Source_Evolution!$A$3:$A$731,$A211)</f>
        <v/>
      </c>
      <c r="J211" s="17">
        <f>SUMIFS(Source_Evolution!$J$3:$J$731,Source_Evolution!$A$3:$A$731,$A211)</f>
        <v/>
      </c>
      <c r="K211" s="17">
        <f>SUMIFS(Source_Evolution!$K$3:$K$731,Source_Evolution!$A$3:$A$731,$A211)</f>
        <v/>
      </c>
      <c r="L211" s="17">
        <f>SUMIFS(Source_Evolution!$L$3:$L$731,Source_Evolution!$A$3:$A$731,$A211)</f>
        <v/>
      </c>
      <c r="M211" s="17">
        <f>SUMIFS(Source_Evolution!$M$3:$M$731,Source_Evolution!$A$3:$A$731,$A211)</f>
        <v/>
      </c>
      <c r="N211" s="17">
        <f>SUMIFS(Source_Evolution!$N$3:$N$731,Source_Evolution!$A$3:$A$731,$A211)</f>
        <v/>
      </c>
      <c r="O211" s="17">
        <f>SUMIFS(Source_Evolution!$O$3:$O$731,Source_Evolution!$A$3:$A$731,$A211)</f>
        <v/>
      </c>
      <c r="P211" s="17">
        <f>SUMIFS(Source_Evolution!$P$3:$P$731,Source_Evolution!$A$3:$A$731,$A211)</f>
        <v/>
      </c>
      <c r="Q211" s="17">
        <f>SUMIFS(Source_Evolution!$Q$3:$Q$731,Source_Evolution!$A$3:$A$731,$A211)</f>
        <v/>
      </c>
      <c r="R211" s="17">
        <f>SUM(E211:Q211)</f>
        <v/>
      </c>
      <c r="S211" s="17">
        <f>Q211</f>
        <v/>
      </c>
      <c r="T211">
        <f>IF(B211="Software",1,0)</f>
        <v/>
      </c>
      <c r="U211" s="18">
        <f>SUMPRODUCT((Source_Evolution!$A$3:$A$731=$A211)*(Source_Evolution!$E$3:$E$731&gt;0))</f>
        <v/>
      </c>
      <c r="V211" s="18">
        <f>SUMPRODUCT((Source_Evolution!$A$3:$A$731=$A211)*(Source_Evolution!$F$3:$F$731&gt;0))</f>
        <v/>
      </c>
      <c r="W211" s="18">
        <f>SUMPRODUCT((Source_Evolution!$A$3:$A$731=$A211)*(Source_Evolution!$G$3:$G$731&gt;0))</f>
        <v/>
      </c>
      <c r="X211" s="18">
        <f>SUMPRODUCT((Source_Evolution!$A$3:$A$731=$A211)*(Source_Evolution!$H$3:$H$731&gt;0))</f>
        <v/>
      </c>
      <c r="Y211" s="18">
        <f>SUMPRODUCT((Source_Evolution!$A$3:$A$731=$A211)*(Source_Evolution!$I$3:$I$731&gt;0))</f>
        <v/>
      </c>
      <c r="Z211" s="18">
        <f>SUMPRODUCT((Source_Evolution!$A$3:$A$731=$A211)*(Source_Evolution!$J$3:$J$731&gt;0))</f>
        <v/>
      </c>
      <c r="AA211" s="18">
        <f>SUMPRODUCT((Source_Evolution!$A$3:$A$731=$A211)*(Source_Evolution!$K$3:$K$731&gt;0))</f>
        <v/>
      </c>
      <c r="AB211" s="18">
        <f>SUMPRODUCT((Source_Evolution!$A$3:$A$731=$A211)*(Source_Evolution!$L$3:$L$731&gt;0))</f>
        <v/>
      </c>
      <c r="AC211" s="18">
        <f>SUMPRODUCT((Source_Evolution!$A$3:$A$731=$A211)*(Source_Evolution!$M$3:$M$731&gt;0))</f>
        <v/>
      </c>
      <c r="AD211" s="18">
        <f>SUMPRODUCT((Source_Evolution!$A$3:$A$731=$A211)*(Source_Evolution!$N$3:$N$731&gt;0))</f>
        <v/>
      </c>
      <c r="AE211" s="18">
        <f>SUMPRODUCT((Source_Evolution!$A$3:$A$731=$A211)*(Source_Evolution!$O$3:$O$731&gt;0))</f>
        <v/>
      </c>
      <c r="AF211" s="18">
        <f>SUMPRODUCT((Source_Evolution!$A$3:$A$731=$A211)*(Source_Evolution!$P$3:$P$731&gt;0))</f>
        <v/>
      </c>
      <c r="AG211" s="18">
        <f>SUMPRODUCT((Source_Evolution!$A$3:$A$731=$A211)*(Source_Evolution!$Q$3:$Q$731&gt;0))</f>
        <v/>
      </c>
    </row>
    <row r="212">
      <c r="A212" t="inlineStr">
        <is>
          <t>Company 289</t>
        </is>
      </c>
      <c r="B212" t="inlineStr">
        <is>
          <t>Software</t>
        </is>
      </c>
      <c r="C212" t="inlineStr">
        <is>
          <t>Belgium</t>
        </is>
      </c>
      <c r="D212" t="n">
        <v>2014</v>
      </c>
      <c r="E212" s="17">
        <f>SUMIFS(Source_Evolution!$E$3:$E$731,Source_Evolution!$A$3:$A$731,$A212)</f>
        <v/>
      </c>
      <c r="F212" s="17">
        <f>SUMIFS(Source_Evolution!$F$3:$F$731,Source_Evolution!$A$3:$A$731,$A212)</f>
        <v/>
      </c>
      <c r="G212" s="17">
        <f>SUMIFS(Source_Evolution!$G$3:$G$731,Source_Evolution!$A$3:$A$731,$A212)</f>
        <v/>
      </c>
      <c r="H212" s="17">
        <f>SUMIFS(Source_Evolution!$H$3:$H$731,Source_Evolution!$A$3:$A$731,$A212)</f>
        <v/>
      </c>
      <c r="I212" s="17">
        <f>SUMIFS(Source_Evolution!$I$3:$I$731,Source_Evolution!$A$3:$A$731,$A212)</f>
        <v/>
      </c>
      <c r="J212" s="17">
        <f>SUMIFS(Source_Evolution!$J$3:$J$731,Source_Evolution!$A$3:$A$731,$A212)</f>
        <v/>
      </c>
      <c r="K212" s="17">
        <f>SUMIFS(Source_Evolution!$K$3:$K$731,Source_Evolution!$A$3:$A$731,$A212)</f>
        <v/>
      </c>
      <c r="L212" s="17">
        <f>SUMIFS(Source_Evolution!$L$3:$L$731,Source_Evolution!$A$3:$A$731,$A212)</f>
        <v/>
      </c>
      <c r="M212" s="17">
        <f>SUMIFS(Source_Evolution!$M$3:$M$731,Source_Evolution!$A$3:$A$731,$A212)</f>
        <v/>
      </c>
      <c r="N212" s="17">
        <f>SUMIFS(Source_Evolution!$N$3:$N$731,Source_Evolution!$A$3:$A$731,$A212)</f>
        <v/>
      </c>
      <c r="O212" s="17">
        <f>SUMIFS(Source_Evolution!$O$3:$O$731,Source_Evolution!$A$3:$A$731,$A212)</f>
        <v/>
      </c>
      <c r="P212" s="17">
        <f>SUMIFS(Source_Evolution!$P$3:$P$731,Source_Evolution!$A$3:$A$731,$A212)</f>
        <v/>
      </c>
      <c r="Q212" s="17">
        <f>SUMIFS(Source_Evolution!$Q$3:$Q$731,Source_Evolution!$A$3:$A$731,$A212)</f>
        <v/>
      </c>
      <c r="R212" s="17">
        <f>SUM(E212:Q212)</f>
        <v/>
      </c>
      <c r="S212" s="17">
        <f>Q212</f>
        <v/>
      </c>
      <c r="T212">
        <f>IF(B212="Software",1,0)</f>
        <v/>
      </c>
      <c r="U212" s="18">
        <f>SUMPRODUCT((Source_Evolution!$A$3:$A$731=$A212)*(Source_Evolution!$E$3:$E$731&gt;0))</f>
        <v/>
      </c>
      <c r="V212" s="18">
        <f>SUMPRODUCT((Source_Evolution!$A$3:$A$731=$A212)*(Source_Evolution!$F$3:$F$731&gt;0))</f>
        <v/>
      </c>
      <c r="W212" s="18">
        <f>SUMPRODUCT((Source_Evolution!$A$3:$A$731=$A212)*(Source_Evolution!$G$3:$G$731&gt;0))</f>
        <v/>
      </c>
      <c r="X212" s="18">
        <f>SUMPRODUCT((Source_Evolution!$A$3:$A$731=$A212)*(Source_Evolution!$H$3:$H$731&gt;0))</f>
        <v/>
      </c>
      <c r="Y212" s="18">
        <f>SUMPRODUCT((Source_Evolution!$A$3:$A$731=$A212)*(Source_Evolution!$I$3:$I$731&gt;0))</f>
        <v/>
      </c>
      <c r="Z212" s="18">
        <f>SUMPRODUCT((Source_Evolution!$A$3:$A$731=$A212)*(Source_Evolution!$J$3:$J$731&gt;0))</f>
        <v/>
      </c>
      <c r="AA212" s="18">
        <f>SUMPRODUCT((Source_Evolution!$A$3:$A$731=$A212)*(Source_Evolution!$K$3:$K$731&gt;0))</f>
        <v/>
      </c>
      <c r="AB212" s="18">
        <f>SUMPRODUCT((Source_Evolution!$A$3:$A$731=$A212)*(Source_Evolution!$L$3:$L$731&gt;0))</f>
        <v/>
      </c>
      <c r="AC212" s="18">
        <f>SUMPRODUCT((Source_Evolution!$A$3:$A$731=$A212)*(Source_Evolution!$M$3:$M$731&gt;0))</f>
        <v/>
      </c>
      <c r="AD212" s="18">
        <f>SUMPRODUCT((Source_Evolution!$A$3:$A$731=$A212)*(Source_Evolution!$N$3:$N$731&gt;0))</f>
        <v/>
      </c>
      <c r="AE212" s="18">
        <f>SUMPRODUCT((Source_Evolution!$A$3:$A$731=$A212)*(Source_Evolution!$O$3:$O$731&gt;0))</f>
        <v/>
      </c>
      <c r="AF212" s="18">
        <f>SUMPRODUCT((Source_Evolution!$A$3:$A$731=$A212)*(Source_Evolution!$P$3:$P$731&gt;0))</f>
        <v/>
      </c>
      <c r="AG212" s="18">
        <f>SUMPRODUCT((Source_Evolution!$A$3:$A$731=$A212)*(Source_Evolution!$Q$3:$Q$731&gt;0))</f>
        <v/>
      </c>
    </row>
    <row r="213">
      <c r="A213" t="inlineStr">
        <is>
          <t>Company 29</t>
        </is>
      </c>
      <c r="B213" t="inlineStr">
        <is>
          <t>Power</t>
        </is>
      </c>
      <c r="C213" t="inlineStr">
        <is>
          <t>UK</t>
        </is>
      </c>
      <c r="D213" t="n">
        <v>2015</v>
      </c>
      <c r="E213" s="17">
        <f>SUMIFS(Source_Evolution!$E$3:$E$731,Source_Evolution!$A$3:$A$731,$A213)</f>
        <v/>
      </c>
      <c r="F213" s="17">
        <f>SUMIFS(Source_Evolution!$F$3:$F$731,Source_Evolution!$A$3:$A$731,$A213)</f>
        <v/>
      </c>
      <c r="G213" s="17">
        <f>SUMIFS(Source_Evolution!$G$3:$G$731,Source_Evolution!$A$3:$A$731,$A213)</f>
        <v/>
      </c>
      <c r="H213" s="17">
        <f>SUMIFS(Source_Evolution!$H$3:$H$731,Source_Evolution!$A$3:$A$731,$A213)</f>
        <v/>
      </c>
      <c r="I213" s="17">
        <f>SUMIFS(Source_Evolution!$I$3:$I$731,Source_Evolution!$A$3:$A$731,$A213)</f>
        <v/>
      </c>
      <c r="J213" s="17">
        <f>SUMIFS(Source_Evolution!$J$3:$J$731,Source_Evolution!$A$3:$A$731,$A213)</f>
        <v/>
      </c>
      <c r="K213" s="17">
        <f>SUMIFS(Source_Evolution!$K$3:$K$731,Source_Evolution!$A$3:$A$731,$A213)</f>
        <v/>
      </c>
      <c r="L213" s="17">
        <f>SUMIFS(Source_Evolution!$L$3:$L$731,Source_Evolution!$A$3:$A$731,$A213)</f>
        <v/>
      </c>
      <c r="M213" s="17">
        <f>SUMIFS(Source_Evolution!$M$3:$M$731,Source_Evolution!$A$3:$A$731,$A213)</f>
        <v/>
      </c>
      <c r="N213" s="17">
        <f>SUMIFS(Source_Evolution!$N$3:$N$731,Source_Evolution!$A$3:$A$731,$A213)</f>
        <v/>
      </c>
      <c r="O213" s="17">
        <f>SUMIFS(Source_Evolution!$O$3:$O$731,Source_Evolution!$A$3:$A$731,$A213)</f>
        <v/>
      </c>
      <c r="P213" s="17">
        <f>SUMIFS(Source_Evolution!$P$3:$P$731,Source_Evolution!$A$3:$A$731,$A213)</f>
        <v/>
      </c>
      <c r="Q213" s="17">
        <f>SUMIFS(Source_Evolution!$Q$3:$Q$731,Source_Evolution!$A$3:$A$731,$A213)</f>
        <v/>
      </c>
      <c r="R213" s="17">
        <f>SUM(E213:Q213)</f>
        <v/>
      </c>
      <c r="S213" s="17">
        <f>Q213</f>
        <v/>
      </c>
      <c r="T213">
        <f>IF(B213="Software",1,0)</f>
        <v/>
      </c>
      <c r="U213" s="18">
        <f>SUMPRODUCT((Source_Evolution!$A$3:$A$731=$A213)*(Source_Evolution!$E$3:$E$731&gt;0))</f>
        <v/>
      </c>
      <c r="V213" s="18">
        <f>SUMPRODUCT((Source_Evolution!$A$3:$A$731=$A213)*(Source_Evolution!$F$3:$F$731&gt;0))</f>
        <v/>
      </c>
      <c r="W213" s="18">
        <f>SUMPRODUCT((Source_Evolution!$A$3:$A$731=$A213)*(Source_Evolution!$G$3:$G$731&gt;0))</f>
        <v/>
      </c>
      <c r="X213" s="18">
        <f>SUMPRODUCT((Source_Evolution!$A$3:$A$731=$A213)*(Source_Evolution!$H$3:$H$731&gt;0))</f>
        <v/>
      </c>
      <c r="Y213" s="18">
        <f>SUMPRODUCT((Source_Evolution!$A$3:$A$731=$A213)*(Source_Evolution!$I$3:$I$731&gt;0))</f>
        <v/>
      </c>
      <c r="Z213" s="18">
        <f>SUMPRODUCT((Source_Evolution!$A$3:$A$731=$A213)*(Source_Evolution!$J$3:$J$731&gt;0))</f>
        <v/>
      </c>
      <c r="AA213" s="18">
        <f>SUMPRODUCT((Source_Evolution!$A$3:$A$731=$A213)*(Source_Evolution!$K$3:$K$731&gt;0))</f>
        <v/>
      </c>
      <c r="AB213" s="18">
        <f>SUMPRODUCT((Source_Evolution!$A$3:$A$731=$A213)*(Source_Evolution!$L$3:$L$731&gt;0))</f>
        <v/>
      </c>
      <c r="AC213" s="18">
        <f>SUMPRODUCT((Source_Evolution!$A$3:$A$731=$A213)*(Source_Evolution!$M$3:$M$731&gt;0))</f>
        <v/>
      </c>
      <c r="AD213" s="18">
        <f>SUMPRODUCT((Source_Evolution!$A$3:$A$731=$A213)*(Source_Evolution!$N$3:$N$731&gt;0))</f>
        <v/>
      </c>
      <c r="AE213" s="18">
        <f>SUMPRODUCT((Source_Evolution!$A$3:$A$731=$A213)*(Source_Evolution!$O$3:$O$731&gt;0))</f>
        <v/>
      </c>
      <c r="AF213" s="18">
        <f>SUMPRODUCT((Source_Evolution!$A$3:$A$731=$A213)*(Source_Evolution!$P$3:$P$731&gt;0))</f>
        <v/>
      </c>
      <c r="AG213" s="18">
        <f>SUMPRODUCT((Source_Evolution!$A$3:$A$731=$A213)*(Source_Evolution!$Q$3:$Q$731&gt;0))</f>
        <v/>
      </c>
    </row>
    <row r="214">
      <c r="A214" t="inlineStr">
        <is>
          <t>Company 290</t>
        </is>
      </c>
      <c r="B214" t="inlineStr">
        <is>
          <t>Power</t>
        </is>
      </c>
      <c r="C214" t="inlineStr">
        <is>
          <t>Hungary</t>
        </is>
      </c>
      <c r="D214" t="n">
        <v>2016</v>
      </c>
      <c r="E214" s="17">
        <f>SUMIFS(Source_Evolution!$E$3:$E$731,Source_Evolution!$A$3:$A$731,$A214)</f>
        <v/>
      </c>
      <c r="F214" s="17">
        <f>SUMIFS(Source_Evolution!$F$3:$F$731,Source_Evolution!$A$3:$A$731,$A214)</f>
        <v/>
      </c>
      <c r="G214" s="17">
        <f>SUMIFS(Source_Evolution!$G$3:$G$731,Source_Evolution!$A$3:$A$731,$A214)</f>
        <v/>
      </c>
      <c r="H214" s="17">
        <f>SUMIFS(Source_Evolution!$H$3:$H$731,Source_Evolution!$A$3:$A$731,$A214)</f>
        <v/>
      </c>
      <c r="I214" s="17">
        <f>SUMIFS(Source_Evolution!$I$3:$I$731,Source_Evolution!$A$3:$A$731,$A214)</f>
        <v/>
      </c>
      <c r="J214" s="17">
        <f>SUMIFS(Source_Evolution!$J$3:$J$731,Source_Evolution!$A$3:$A$731,$A214)</f>
        <v/>
      </c>
      <c r="K214" s="17">
        <f>SUMIFS(Source_Evolution!$K$3:$K$731,Source_Evolution!$A$3:$A$731,$A214)</f>
        <v/>
      </c>
      <c r="L214" s="17">
        <f>SUMIFS(Source_Evolution!$L$3:$L$731,Source_Evolution!$A$3:$A$731,$A214)</f>
        <v/>
      </c>
      <c r="M214" s="17">
        <f>SUMIFS(Source_Evolution!$M$3:$M$731,Source_Evolution!$A$3:$A$731,$A214)</f>
        <v/>
      </c>
      <c r="N214" s="17">
        <f>SUMIFS(Source_Evolution!$N$3:$N$731,Source_Evolution!$A$3:$A$731,$A214)</f>
        <v/>
      </c>
      <c r="O214" s="17">
        <f>SUMIFS(Source_Evolution!$O$3:$O$731,Source_Evolution!$A$3:$A$731,$A214)</f>
        <v/>
      </c>
      <c r="P214" s="17">
        <f>SUMIFS(Source_Evolution!$P$3:$P$731,Source_Evolution!$A$3:$A$731,$A214)</f>
        <v/>
      </c>
      <c r="Q214" s="17">
        <f>SUMIFS(Source_Evolution!$Q$3:$Q$731,Source_Evolution!$A$3:$A$731,$A214)</f>
        <v/>
      </c>
      <c r="R214" s="17">
        <f>SUM(E214:Q214)</f>
        <v/>
      </c>
      <c r="S214" s="17">
        <f>Q214</f>
        <v/>
      </c>
      <c r="T214">
        <f>IF(B214="Software",1,0)</f>
        <v/>
      </c>
      <c r="U214" s="18">
        <f>SUMPRODUCT((Source_Evolution!$A$3:$A$731=$A214)*(Source_Evolution!$E$3:$E$731&gt;0))</f>
        <v/>
      </c>
      <c r="V214" s="18">
        <f>SUMPRODUCT((Source_Evolution!$A$3:$A$731=$A214)*(Source_Evolution!$F$3:$F$731&gt;0))</f>
        <v/>
      </c>
      <c r="W214" s="18">
        <f>SUMPRODUCT((Source_Evolution!$A$3:$A$731=$A214)*(Source_Evolution!$G$3:$G$731&gt;0))</f>
        <v/>
      </c>
      <c r="X214" s="18">
        <f>SUMPRODUCT((Source_Evolution!$A$3:$A$731=$A214)*(Source_Evolution!$H$3:$H$731&gt;0))</f>
        <v/>
      </c>
      <c r="Y214" s="18">
        <f>SUMPRODUCT((Source_Evolution!$A$3:$A$731=$A214)*(Source_Evolution!$I$3:$I$731&gt;0))</f>
        <v/>
      </c>
      <c r="Z214" s="18">
        <f>SUMPRODUCT((Source_Evolution!$A$3:$A$731=$A214)*(Source_Evolution!$J$3:$J$731&gt;0))</f>
        <v/>
      </c>
      <c r="AA214" s="18">
        <f>SUMPRODUCT((Source_Evolution!$A$3:$A$731=$A214)*(Source_Evolution!$K$3:$K$731&gt;0))</f>
        <v/>
      </c>
      <c r="AB214" s="18">
        <f>SUMPRODUCT((Source_Evolution!$A$3:$A$731=$A214)*(Source_Evolution!$L$3:$L$731&gt;0))</f>
        <v/>
      </c>
      <c r="AC214" s="18">
        <f>SUMPRODUCT((Source_Evolution!$A$3:$A$731=$A214)*(Source_Evolution!$M$3:$M$731&gt;0))</f>
        <v/>
      </c>
      <c r="AD214" s="18">
        <f>SUMPRODUCT((Source_Evolution!$A$3:$A$731=$A214)*(Source_Evolution!$N$3:$N$731&gt;0))</f>
        <v/>
      </c>
      <c r="AE214" s="18">
        <f>SUMPRODUCT((Source_Evolution!$A$3:$A$731=$A214)*(Source_Evolution!$O$3:$O$731&gt;0))</f>
        <v/>
      </c>
      <c r="AF214" s="18">
        <f>SUMPRODUCT((Source_Evolution!$A$3:$A$731=$A214)*(Source_Evolution!$P$3:$P$731&gt;0))</f>
        <v/>
      </c>
      <c r="AG214" s="18">
        <f>SUMPRODUCT((Source_Evolution!$A$3:$A$731=$A214)*(Source_Evolution!$Q$3:$Q$731&gt;0))</f>
        <v/>
      </c>
    </row>
    <row r="215">
      <c r="A215" t="inlineStr">
        <is>
          <t>Company 291</t>
        </is>
      </c>
      <c r="B215" t="inlineStr">
        <is>
          <t>Software</t>
        </is>
      </c>
      <c r="C215" t="inlineStr">
        <is>
          <t>UK</t>
        </is>
      </c>
      <c r="D215" t="n">
        <v>2018</v>
      </c>
      <c r="E215" s="17">
        <f>SUMIFS(Source_Evolution!$E$3:$E$731,Source_Evolution!$A$3:$A$731,$A215)</f>
        <v/>
      </c>
      <c r="F215" s="17">
        <f>SUMIFS(Source_Evolution!$F$3:$F$731,Source_Evolution!$A$3:$A$731,$A215)</f>
        <v/>
      </c>
      <c r="G215" s="17">
        <f>SUMIFS(Source_Evolution!$G$3:$G$731,Source_Evolution!$A$3:$A$731,$A215)</f>
        <v/>
      </c>
      <c r="H215" s="17">
        <f>SUMIFS(Source_Evolution!$H$3:$H$731,Source_Evolution!$A$3:$A$731,$A215)</f>
        <v/>
      </c>
      <c r="I215" s="17">
        <f>SUMIFS(Source_Evolution!$I$3:$I$731,Source_Evolution!$A$3:$A$731,$A215)</f>
        <v/>
      </c>
      <c r="J215" s="17">
        <f>SUMIFS(Source_Evolution!$J$3:$J$731,Source_Evolution!$A$3:$A$731,$A215)</f>
        <v/>
      </c>
      <c r="K215" s="17">
        <f>SUMIFS(Source_Evolution!$K$3:$K$731,Source_Evolution!$A$3:$A$731,$A215)</f>
        <v/>
      </c>
      <c r="L215" s="17">
        <f>SUMIFS(Source_Evolution!$L$3:$L$731,Source_Evolution!$A$3:$A$731,$A215)</f>
        <v/>
      </c>
      <c r="M215" s="17">
        <f>SUMIFS(Source_Evolution!$M$3:$M$731,Source_Evolution!$A$3:$A$731,$A215)</f>
        <v/>
      </c>
      <c r="N215" s="17">
        <f>SUMIFS(Source_Evolution!$N$3:$N$731,Source_Evolution!$A$3:$A$731,$A215)</f>
        <v/>
      </c>
      <c r="O215" s="17">
        <f>SUMIFS(Source_Evolution!$O$3:$O$731,Source_Evolution!$A$3:$A$731,$A215)</f>
        <v/>
      </c>
      <c r="P215" s="17">
        <f>SUMIFS(Source_Evolution!$P$3:$P$731,Source_Evolution!$A$3:$A$731,$A215)</f>
        <v/>
      </c>
      <c r="Q215" s="17">
        <f>SUMIFS(Source_Evolution!$Q$3:$Q$731,Source_Evolution!$A$3:$A$731,$A215)</f>
        <v/>
      </c>
      <c r="R215" s="17">
        <f>SUM(E215:Q215)</f>
        <v/>
      </c>
      <c r="S215" s="17">
        <f>Q215</f>
        <v/>
      </c>
      <c r="T215">
        <f>IF(B215="Software",1,0)</f>
        <v/>
      </c>
      <c r="U215" s="18">
        <f>SUMPRODUCT((Source_Evolution!$A$3:$A$731=$A215)*(Source_Evolution!$E$3:$E$731&gt;0))</f>
        <v/>
      </c>
      <c r="V215" s="18">
        <f>SUMPRODUCT((Source_Evolution!$A$3:$A$731=$A215)*(Source_Evolution!$F$3:$F$731&gt;0))</f>
        <v/>
      </c>
      <c r="W215" s="18">
        <f>SUMPRODUCT((Source_Evolution!$A$3:$A$731=$A215)*(Source_Evolution!$G$3:$G$731&gt;0))</f>
        <v/>
      </c>
      <c r="X215" s="18">
        <f>SUMPRODUCT((Source_Evolution!$A$3:$A$731=$A215)*(Source_Evolution!$H$3:$H$731&gt;0))</f>
        <v/>
      </c>
      <c r="Y215" s="18">
        <f>SUMPRODUCT((Source_Evolution!$A$3:$A$731=$A215)*(Source_Evolution!$I$3:$I$731&gt;0))</f>
        <v/>
      </c>
      <c r="Z215" s="18">
        <f>SUMPRODUCT((Source_Evolution!$A$3:$A$731=$A215)*(Source_Evolution!$J$3:$J$731&gt;0))</f>
        <v/>
      </c>
      <c r="AA215" s="18">
        <f>SUMPRODUCT((Source_Evolution!$A$3:$A$731=$A215)*(Source_Evolution!$K$3:$K$731&gt;0))</f>
        <v/>
      </c>
      <c r="AB215" s="18">
        <f>SUMPRODUCT((Source_Evolution!$A$3:$A$731=$A215)*(Source_Evolution!$L$3:$L$731&gt;0))</f>
        <v/>
      </c>
      <c r="AC215" s="18">
        <f>SUMPRODUCT((Source_Evolution!$A$3:$A$731=$A215)*(Source_Evolution!$M$3:$M$731&gt;0))</f>
        <v/>
      </c>
      <c r="AD215" s="18">
        <f>SUMPRODUCT((Source_Evolution!$A$3:$A$731=$A215)*(Source_Evolution!$N$3:$N$731&gt;0))</f>
        <v/>
      </c>
      <c r="AE215" s="18">
        <f>SUMPRODUCT((Source_Evolution!$A$3:$A$731=$A215)*(Source_Evolution!$O$3:$O$731&gt;0))</f>
        <v/>
      </c>
      <c r="AF215" s="18">
        <f>SUMPRODUCT((Source_Evolution!$A$3:$A$731=$A215)*(Source_Evolution!$P$3:$P$731&gt;0))</f>
        <v/>
      </c>
      <c r="AG215" s="18">
        <f>SUMPRODUCT((Source_Evolution!$A$3:$A$731=$A215)*(Source_Evolution!$Q$3:$Q$731&gt;0))</f>
        <v/>
      </c>
    </row>
    <row r="216">
      <c r="A216" t="inlineStr">
        <is>
          <t>Company 292</t>
        </is>
      </c>
      <c r="B216" t="inlineStr">
        <is>
          <t>Software</t>
        </is>
      </c>
      <c r="C216" t="inlineStr">
        <is>
          <t>UK</t>
        </is>
      </c>
      <c r="D216" t="n">
        <v>2014</v>
      </c>
      <c r="E216" s="17">
        <f>SUMIFS(Source_Evolution!$E$3:$E$731,Source_Evolution!$A$3:$A$731,$A216)</f>
        <v/>
      </c>
      <c r="F216" s="17">
        <f>SUMIFS(Source_Evolution!$F$3:$F$731,Source_Evolution!$A$3:$A$731,$A216)</f>
        <v/>
      </c>
      <c r="G216" s="17">
        <f>SUMIFS(Source_Evolution!$G$3:$G$731,Source_Evolution!$A$3:$A$731,$A216)</f>
        <v/>
      </c>
      <c r="H216" s="17">
        <f>SUMIFS(Source_Evolution!$H$3:$H$731,Source_Evolution!$A$3:$A$731,$A216)</f>
        <v/>
      </c>
      <c r="I216" s="17">
        <f>SUMIFS(Source_Evolution!$I$3:$I$731,Source_Evolution!$A$3:$A$731,$A216)</f>
        <v/>
      </c>
      <c r="J216" s="17">
        <f>SUMIFS(Source_Evolution!$J$3:$J$731,Source_Evolution!$A$3:$A$731,$A216)</f>
        <v/>
      </c>
      <c r="K216" s="17">
        <f>SUMIFS(Source_Evolution!$K$3:$K$731,Source_Evolution!$A$3:$A$731,$A216)</f>
        <v/>
      </c>
      <c r="L216" s="17">
        <f>SUMIFS(Source_Evolution!$L$3:$L$731,Source_Evolution!$A$3:$A$731,$A216)</f>
        <v/>
      </c>
      <c r="M216" s="17">
        <f>SUMIFS(Source_Evolution!$M$3:$M$731,Source_Evolution!$A$3:$A$731,$A216)</f>
        <v/>
      </c>
      <c r="N216" s="17">
        <f>SUMIFS(Source_Evolution!$N$3:$N$731,Source_Evolution!$A$3:$A$731,$A216)</f>
        <v/>
      </c>
      <c r="O216" s="17">
        <f>SUMIFS(Source_Evolution!$O$3:$O$731,Source_Evolution!$A$3:$A$731,$A216)</f>
        <v/>
      </c>
      <c r="P216" s="17">
        <f>SUMIFS(Source_Evolution!$P$3:$P$731,Source_Evolution!$A$3:$A$731,$A216)</f>
        <v/>
      </c>
      <c r="Q216" s="17">
        <f>SUMIFS(Source_Evolution!$Q$3:$Q$731,Source_Evolution!$A$3:$A$731,$A216)</f>
        <v/>
      </c>
      <c r="R216" s="17">
        <f>SUM(E216:Q216)</f>
        <v/>
      </c>
      <c r="S216" s="17">
        <f>Q216</f>
        <v/>
      </c>
      <c r="T216">
        <f>IF(B216="Software",1,0)</f>
        <v/>
      </c>
      <c r="U216" s="18">
        <f>SUMPRODUCT((Source_Evolution!$A$3:$A$731=$A216)*(Source_Evolution!$E$3:$E$731&gt;0))</f>
        <v/>
      </c>
      <c r="V216" s="18">
        <f>SUMPRODUCT((Source_Evolution!$A$3:$A$731=$A216)*(Source_Evolution!$F$3:$F$731&gt;0))</f>
        <v/>
      </c>
      <c r="W216" s="18">
        <f>SUMPRODUCT((Source_Evolution!$A$3:$A$731=$A216)*(Source_Evolution!$G$3:$G$731&gt;0))</f>
        <v/>
      </c>
      <c r="X216" s="18">
        <f>SUMPRODUCT((Source_Evolution!$A$3:$A$731=$A216)*(Source_Evolution!$H$3:$H$731&gt;0))</f>
        <v/>
      </c>
      <c r="Y216" s="18">
        <f>SUMPRODUCT((Source_Evolution!$A$3:$A$731=$A216)*(Source_Evolution!$I$3:$I$731&gt;0))</f>
        <v/>
      </c>
      <c r="Z216" s="18">
        <f>SUMPRODUCT((Source_Evolution!$A$3:$A$731=$A216)*(Source_Evolution!$J$3:$J$731&gt;0))</f>
        <v/>
      </c>
      <c r="AA216" s="18">
        <f>SUMPRODUCT((Source_Evolution!$A$3:$A$731=$A216)*(Source_Evolution!$K$3:$K$731&gt;0))</f>
        <v/>
      </c>
      <c r="AB216" s="18">
        <f>SUMPRODUCT((Source_Evolution!$A$3:$A$731=$A216)*(Source_Evolution!$L$3:$L$731&gt;0))</f>
        <v/>
      </c>
      <c r="AC216" s="18">
        <f>SUMPRODUCT((Source_Evolution!$A$3:$A$731=$A216)*(Source_Evolution!$M$3:$M$731&gt;0))</f>
        <v/>
      </c>
      <c r="AD216" s="18">
        <f>SUMPRODUCT((Source_Evolution!$A$3:$A$731=$A216)*(Source_Evolution!$N$3:$N$731&gt;0))</f>
        <v/>
      </c>
      <c r="AE216" s="18">
        <f>SUMPRODUCT((Source_Evolution!$A$3:$A$731=$A216)*(Source_Evolution!$O$3:$O$731&gt;0))</f>
        <v/>
      </c>
      <c r="AF216" s="18">
        <f>SUMPRODUCT((Source_Evolution!$A$3:$A$731=$A216)*(Source_Evolution!$P$3:$P$731&gt;0))</f>
        <v/>
      </c>
      <c r="AG216" s="18">
        <f>SUMPRODUCT((Source_Evolution!$A$3:$A$731=$A216)*(Source_Evolution!$Q$3:$Q$731&gt;0))</f>
        <v/>
      </c>
    </row>
    <row r="217">
      <c r="A217" t="inlineStr">
        <is>
          <t>Company 293</t>
        </is>
      </c>
      <c r="B217" t="inlineStr">
        <is>
          <t>Software</t>
        </is>
      </c>
      <c r="C217" t="inlineStr">
        <is>
          <t>Norway</t>
        </is>
      </c>
      <c r="D217" t="n">
        <v>2018</v>
      </c>
      <c r="E217" s="17">
        <f>SUMIFS(Source_Evolution!$E$3:$E$731,Source_Evolution!$A$3:$A$731,$A217)</f>
        <v/>
      </c>
      <c r="F217" s="17">
        <f>SUMIFS(Source_Evolution!$F$3:$F$731,Source_Evolution!$A$3:$A$731,$A217)</f>
        <v/>
      </c>
      <c r="G217" s="17">
        <f>SUMIFS(Source_Evolution!$G$3:$G$731,Source_Evolution!$A$3:$A$731,$A217)</f>
        <v/>
      </c>
      <c r="H217" s="17">
        <f>SUMIFS(Source_Evolution!$H$3:$H$731,Source_Evolution!$A$3:$A$731,$A217)</f>
        <v/>
      </c>
      <c r="I217" s="17">
        <f>SUMIFS(Source_Evolution!$I$3:$I$731,Source_Evolution!$A$3:$A$731,$A217)</f>
        <v/>
      </c>
      <c r="J217" s="17">
        <f>SUMIFS(Source_Evolution!$J$3:$J$731,Source_Evolution!$A$3:$A$731,$A217)</f>
        <v/>
      </c>
      <c r="K217" s="17">
        <f>SUMIFS(Source_Evolution!$K$3:$K$731,Source_Evolution!$A$3:$A$731,$A217)</f>
        <v/>
      </c>
      <c r="L217" s="17">
        <f>SUMIFS(Source_Evolution!$L$3:$L$731,Source_Evolution!$A$3:$A$731,$A217)</f>
        <v/>
      </c>
      <c r="M217" s="17">
        <f>SUMIFS(Source_Evolution!$M$3:$M$731,Source_Evolution!$A$3:$A$731,$A217)</f>
        <v/>
      </c>
      <c r="N217" s="17">
        <f>SUMIFS(Source_Evolution!$N$3:$N$731,Source_Evolution!$A$3:$A$731,$A217)</f>
        <v/>
      </c>
      <c r="O217" s="17">
        <f>SUMIFS(Source_Evolution!$O$3:$O$731,Source_Evolution!$A$3:$A$731,$A217)</f>
        <v/>
      </c>
      <c r="P217" s="17">
        <f>SUMIFS(Source_Evolution!$P$3:$P$731,Source_Evolution!$A$3:$A$731,$A217)</f>
        <v/>
      </c>
      <c r="Q217" s="17">
        <f>SUMIFS(Source_Evolution!$Q$3:$Q$731,Source_Evolution!$A$3:$A$731,$A217)</f>
        <v/>
      </c>
      <c r="R217" s="17">
        <f>SUM(E217:Q217)</f>
        <v/>
      </c>
      <c r="S217" s="17">
        <f>Q217</f>
        <v/>
      </c>
      <c r="T217">
        <f>IF(B217="Software",1,0)</f>
        <v/>
      </c>
      <c r="U217" s="18">
        <f>SUMPRODUCT((Source_Evolution!$A$3:$A$731=$A217)*(Source_Evolution!$E$3:$E$731&gt;0))</f>
        <v/>
      </c>
      <c r="V217" s="18">
        <f>SUMPRODUCT((Source_Evolution!$A$3:$A$731=$A217)*(Source_Evolution!$F$3:$F$731&gt;0))</f>
        <v/>
      </c>
      <c r="W217" s="18">
        <f>SUMPRODUCT((Source_Evolution!$A$3:$A$731=$A217)*(Source_Evolution!$G$3:$G$731&gt;0))</f>
        <v/>
      </c>
      <c r="X217" s="18">
        <f>SUMPRODUCT((Source_Evolution!$A$3:$A$731=$A217)*(Source_Evolution!$H$3:$H$731&gt;0))</f>
        <v/>
      </c>
      <c r="Y217" s="18">
        <f>SUMPRODUCT((Source_Evolution!$A$3:$A$731=$A217)*(Source_Evolution!$I$3:$I$731&gt;0))</f>
        <v/>
      </c>
      <c r="Z217" s="18">
        <f>SUMPRODUCT((Source_Evolution!$A$3:$A$731=$A217)*(Source_Evolution!$J$3:$J$731&gt;0))</f>
        <v/>
      </c>
      <c r="AA217" s="18">
        <f>SUMPRODUCT((Source_Evolution!$A$3:$A$731=$A217)*(Source_Evolution!$K$3:$K$731&gt;0))</f>
        <v/>
      </c>
      <c r="AB217" s="18">
        <f>SUMPRODUCT((Source_Evolution!$A$3:$A$731=$A217)*(Source_Evolution!$L$3:$L$731&gt;0))</f>
        <v/>
      </c>
      <c r="AC217" s="18">
        <f>SUMPRODUCT((Source_Evolution!$A$3:$A$731=$A217)*(Source_Evolution!$M$3:$M$731&gt;0))</f>
        <v/>
      </c>
      <c r="AD217" s="18">
        <f>SUMPRODUCT((Source_Evolution!$A$3:$A$731=$A217)*(Source_Evolution!$N$3:$N$731&gt;0))</f>
        <v/>
      </c>
      <c r="AE217" s="18">
        <f>SUMPRODUCT((Source_Evolution!$A$3:$A$731=$A217)*(Source_Evolution!$O$3:$O$731&gt;0))</f>
        <v/>
      </c>
      <c r="AF217" s="18">
        <f>SUMPRODUCT((Source_Evolution!$A$3:$A$731=$A217)*(Source_Evolution!$P$3:$P$731&gt;0))</f>
        <v/>
      </c>
      <c r="AG217" s="18">
        <f>SUMPRODUCT((Source_Evolution!$A$3:$A$731=$A217)*(Source_Evolution!$Q$3:$Q$731&gt;0))</f>
        <v/>
      </c>
    </row>
    <row r="218">
      <c r="A218" t="inlineStr">
        <is>
          <t>Company 294</t>
        </is>
      </c>
      <c r="B218" t="inlineStr">
        <is>
          <t>Software</t>
        </is>
      </c>
      <c r="C218" t="inlineStr">
        <is>
          <t>Ireland</t>
        </is>
      </c>
      <c r="D218" t="n">
        <v>2014</v>
      </c>
      <c r="E218" s="17">
        <f>SUMIFS(Source_Evolution!$E$3:$E$731,Source_Evolution!$A$3:$A$731,$A218)</f>
        <v/>
      </c>
      <c r="F218" s="17">
        <f>SUMIFS(Source_Evolution!$F$3:$F$731,Source_Evolution!$A$3:$A$731,$A218)</f>
        <v/>
      </c>
      <c r="G218" s="17">
        <f>SUMIFS(Source_Evolution!$G$3:$G$731,Source_Evolution!$A$3:$A$731,$A218)</f>
        <v/>
      </c>
      <c r="H218" s="17">
        <f>SUMIFS(Source_Evolution!$H$3:$H$731,Source_Evolution!$A$3:$A$731,$A218)</f>
        <v/>
      </c>
      <c r="I218" s="17">
        <f>SUMIFS(Source_Evolution!$I$3:$I$731,Source_Evolution!$A$3:$A$731,$A218)</f>
        <v/>
      </c>
      <c r="J218" s="17">
        <f>SUMIFS(Source_Evolution!$J$3:$J$731,Source_Evolution!$A$3:$A$731,$A218)</f>
        <v/>
      </c>
      <c r="K218" s="17">
        <f>SUMIFS(Source_Evolution!$K$3:$K$731,Source_Evolution!$A$3:$A$731,$A218)</f>
        <v/>
      </c>
      <c r="L218" s="17">
        <f>SUMIFS(Source_Evolution!$L$3:$L$731,Source_Evolution!$A$3:$A$731,$A218)</f>
        <v/>
      </c>
      <c r="M218" s="17">
        <f>SUMIFS(Source_Evolution!$M$3:$M$731,Source_Evolution!$A$3:$A$731,$A218)</f>
        <v/>
      </c>
      <c r="N218" s="17">
        <f>SUMIFS(Source_Evolution!$N$3:$N$731,Source_Evolution!$A$3:$A$731,$A218)</f>
        <v/>
      </c>
      <c r="O218" s="17">
        <f>SUMIFS(Source_Evolution!$O$3:$O$731,Source_Evolution!$A$3:$A$731,$A218)</f>
        <v/>
      </c>
      <c r="P218" s="17">
        <f>SUMIFS(Source_Evolution!$P$3:$P$731,Source_Evolution!$A$3:$A$731,$A218)</f>
        <v/>
      </c>
      <c r="Q218" s="17">
        <f>SUMIFS(Source_Evolution!$Q$3:$Q$731,Source_Evolution!$A$3:$A$731,$A218)</f>
        <v/>
      </c>
      <c r="R218" s="17">
        <f>SUM(E218:Q218)</f>
        <v/>
      </c>
      <c r="S218" s="17">
        <f>Q218</f>
        <v/>
      </c>
      <c r="T218">
        <f>IF(B218="Software",1,0)</f>
        <v/>
      </c>
      <c r="U218" s="18">
        <f>SUMPRODUCT((Source_Evolution!$A$3:$A$731=$A218)*(Source_Evolution!$E$3:$E$731&gt;0))</f>
        <v/>
      </c>
      <c r="V218" s="18">
        <f>SUMPRODUCT((Source_Evolution!$A$3:$A$731=$A218)*(Source_Evolution!$F$3:$F$731&gt;0))</f>
        <v/>
      </c>
      <c r="W218" s="18">
        <f>SUMPRODUCT((Source_Evolution!$A$3:$A$731=$A218)*(Source_Evolution!$G$3:$G$731&gt;0))</f>
        <v/>
      </c>
      <c r="X218" s="18">
        <f>SUMPRODUCT((Source_Evolution!$A$3:$A$731=$A218)*(Source_Evolution!$H$3:$H$731&gt;0))</f>
        <v/>
      </c>
      <c r="Y218" s="18">
        <f>SUMPRODUCT((Source_Evolution!$A$3:$A$731=$A218)*(Source_Evolution!$I$3:$I$731&gt;0))</f>
        <v/>
      </c>
      <c r="Z218" s="18">
        <f>SUMPRODUCT((Source_Evolution!$A$3:$A$731=$A218)*(Source_Evolution!$J$3:$J$731&gt;0))</f>
        <v/>
      </c>
      <c r="AA218" s="18">
        <f>SUMPRODUCT((Source_Evolution!$A$3:$A$731=$A218)*(Source_Evolution!$K$3:$K$731&gt;0))</f>
        <v/>
      </c>
      <c r="AB218" s="18">
        <f>SUMPRODUCT((Source_Evolution!$A$3:$A$731=$A218)*(Source_Evolution!$L$3:$L$731&gt;0))</f>
        <v/>
      </c>
      <c r="AC218" s="18">
        <f>SUMPRODUCT((Source_Evolution!$A$3:$A$731=$A218)*(Source_Evolution!$M$3:$M$731&gt;0))</f>
        <v/>
      </c>
      <c r="AD218" s="18">
        <f>SUMPRODUCT((Source_Evolution!$A$3:$A$731=$A218)*(Source_Evolution!$N$3:$N$731&gt;0))</f>
        <v/>
      </c>
      <c r="AE218" s="18">
        <f>SUMPRODUCT((Source_Evolution!$A$3:$A$731=$A218)*(Source_Evolution!$O$3:$O$731&gt;0))</f>
        <v/>
      </c>
      <c r="AF218" s="18">
        <f>SUMPRODUCT((Source_Evolution!$A$3:$A$731=$A218)*(Source_Evolution!$P$3:$P$731&gt;0))</f>
        <v/>
      </c>
      <c r="AG218" s="18">
        <f>SUMPRODUCT((Source_Evolution!$A$3:$A$731=$A218)*(Source_Evolution!$Q$3:$Q$731&gt;0))</f>
        <v/>
      </c>
    </row>
    <row r="219">
      <c r="A219" t="inlineStr">
        <is>
          <t>Company 295</t>
        </is>
      </c>
      <c r="B219" t="inlineStr">
        <is>
          <t>Operations</t>
        </is>
      </c>
      <c r="C219" t="inlineStr">
        <is>
          <t>UK</t>
        </is>
      </c>
      <c r="D219" t="n">
        <v>2014</v>
      </c>
      <c r="E219" s="17">
        <f>SUMIFS(Source_Evolution!$E$3:$E$731,Source_Evolution!$A$3:$A$731,$A219)</f>
        <v/>
      </c>
      <c r="F219" s="17">
        <f>SUMIFS(Source_Evolution!$F$3:$F$731,Source_Evolution!$A$3:$A$731,$A219)</f>
        <v/>
      </c>
      <c r="G219" s="17">
        <f>SUMIFS(Source_Evolution!$G$3:$G$731,Source_Evolution!$A$3:$A$731,$A219)</f>
        <v/>
      </c>
      <c r="H219" s="17">
        <f>SUMIFS(Source_Evolution!$H$3:$H$731,Source_Evolution!$A$3:$A$731,$A219)</f>
        <v/>
      </c>
      <c r="I219" s="17">
        <f>SUMIFS(Source_Evolution!$I$3:$I$731,Source_Evolution!$A$3:$A$731,$A219)</f>
        <v/>
      </c>
      <c r="J219" s="17">
        <f>SUMIFS(Source_Evolution!$J$3:$J$731,Source_Evolution!$A$3:$A$731,$A219)</f>
        <v/>
      </c>
      <c r="K219" s="17">
        <f>SUMIFS(Source_Evolution!$K$3:$K$731,Source_Evolution!$A$3:$A$731,$A219)</f>
        <v/>
      </c>
      <c r="L219" s="17">
        <f>SUMIFS(Source_Evolution!$L$3:$L$731,Source_Evolution!$A$3:$A$731,$A219)</f>
        <v/>
      </c>
      <c r="M219" s="17">
        <f>SUMIFS(Source_Evolution!$M$3:$M$731,Source_Evolution!$A$3:$A$731,$A219)</f>
        <v/>
      </c>
      <c r="N219" s="17">
        <f>SUMIFS(Source_Evolution!$N$3:$N$731,Source_Evolution!$A$3:$A$731,$A219)</f>
        <v/>
      </c>
      <c r="O219" s="17">
        <f>SUMIFS(Source_Evolution!$O$3:$O$731,Source_Evolution!$A$3:$A$731,$A219)</f>
        <v/>
      </c>
      <c r="P219" s="17">
        <f>SUMIFS(Source_Evolution!$P$3:$P$731,Source_Evolution!$A$3:$A$731,$A219)</f>
        <v/>
      </c>
      <c r="Q219" s="17">
        <f>SUMIFS(Source_Evolution!$Q$3:$Q$731,Source_Evolution!$A$3:$A$731,$A219)</f>
        <v/>
      </c>
      <c r="R219" s="17">
        <f>SUM(E219:Q219)</f>
        <v/>
      </c>
      <c r="S219" s="17">
        <f>Q219</f>
        <v/>
      </c>
      <c r="T219">
        <f>IF(B219="Software",1,0)</f>
        <v/>
      </c>
      <c r="U219" s="18">
        <f>SUMPRODUCT((Source_Evolution!$A$3:$A$731=$A219)*(Source_Evolution!$E$3:$E$731&gt;0))</f>
        <v/>
      </c>
      <c r="V219" s="18">
        <f>SUMPRODUCT((Source_Evolution!$A$3:$A$731=$A219)*(Source_Evolution!$F$3:$F$731&gt;0))</f>
        <v/>
      </c>
      <c r="W219" s="18">
        <f>SUMPRODUCT((Source_Evolution!$A$3:$A$731=$A219)*(Source_Evolution!$G$3:$G$731&gt;0))</f>
        <v/>
      </c>
      <c r="X219" s="18">
        <f>SUMPRODUCT((Source_Evolution!$A$3:$A$731=$A219)*(Source_Evolution!$H$3:$H$731&gt;0))</f>
        <v/>
      </c>
      <c r="Y219" s="18">
        <f>SUMPRODUCT((Source_Evolution!$A$3:$A$731=$A219)*(Source_Evolution!$I$3:$I$731&gt;0))</f>
        <v/>
      </c>
      <c r="Z219" s="18">
        <f>SUMPRODUCT((Source_Evolution!$A$3:$A$731=$A219)*(Source_Evolution!$J$3:$J$731&gt;0))</f>
        <v/>
      </c>
      <c r="AA219" s="18">
        <f>SUMPRODUCT((Source_Evolution!$A$3:$A$731=$A219)*(Source_Evolution!$K$3:$K$731&gt;0))</f>
        <v/>
      </c>
      <c r="AB219" s="18">
        <f>SUMPRODUCT((Source_Evolution!$A$3:$A$731=$A219)*(Source_Evolution!$L$3:$L$731&gt;0))</f>
        <v/>
      </c>
      <c r="AC219" s="18">
        <f>SUMPRODUCT((Source_Evolution!$A$3:$A$731=$A219)*(Source_Evolution!$M$3:$M$731&gt;0))</f>
        <v/>
      </c>
      <c r="AD219" s="18">
        <f>SUMPRODUCT((Source_Evolution!$A$3:$A$731=$A219)*(Source_Evolution!$N$3:$N$731&gt;0))</f>
        <v/>
      </c>
      <c r="AE219" s="18">
        <f>SUMPRODUCT((Source_Evolution!$A$3:$A$731=$A219)*(Source_Evolution!$O$3:$O$731&gt;0))</f>
        <v/>
      </c>
      <c r="AF219" s="18">
        <f>SUMPRODUCT((Source_Evolution!$A$3:$A$731=$A219)*(Source_Evolution!$P$3:$P$731&gt;0))</f>
        <v/>
      </c>
      <c r="AG219" s="18">
        <f>SUMPRODUCT((Source_Evolution!$A$3:$A$731=$A219)*(Source_Evolution!$Q$3:$Q$731&gt;0))</f>
        <v/>
      </c>
    </row>
    <row r="220">
      <c r="A220" t="inlineStr">
        <is>
          <t>Company 296</t>
        </is>
      </c>
      <c r="B220" t="inlineStr">
        <is>
          <t>Software</t>
        </is>
      </c>
      <c r="C220" t="inlineStr">
        <is>
          <t>UK</t>
        </is>
      </c>
      <c r="D220" t="n">
        <v>2014</v>
      </c>
      <c r="E220" s="17">
        <f>SUMIFS(Source_Evolution!$E$3:$E$731,Source_Evolution!$A$3:$A$731,$A220)</f>
        <v/>
      </c>
      <c r="F220" s="17">
        <f>SUMIFS(Source_Evolution!$F$3:$F$731,Source_Evolution!$A$3:$A$731,$A220)</f>
        <v/>
      </c>
      <c r="G220" s="17">
        <f>SUMIFS(Source_Evolution!$G$3:$G$731,Source_Evolution!$A$3:$A$731,$A220)</f>
        <v/>
      </c>
      <c r="H220" s="17">
        <f>SUMIFS(Source_Evolution!$H$3:$H$731,Source_Evolution!$A$3:$A$731,$A220)</f>
        <v/>
      </c>
      <c r="I220" s="17">
        <f>SUMIFS(Source_Evolution!$I$3:$I$731,Source_Evolution!$A$3:$A$731,$A220)</f>
        <v/>
      </c>
      <c r="J220" s="17">
        <f>SUMIFS(Source_Evolution!$J$3:$J$731,Source_Evolution!$A$3:$A$731,$A220)</f>
        <v/>
      </c>
      <c r="K220" s="17">
        <f>SUMIFS(Source_Evolution!$K$3:$K$731,Source_Evolution!$A$3:$A$731,$A220)</f>
        <v/>
      </c>
      <c r="L220" s="17">
        <f>SUMIFS(Source_Evolution!$L$3:$L$731,Source_Evolution!$A$3:$A$731,$A220)</f>
        <v/>
      </c>
      <c r="M220" s="17">
        <f>SUMIFS(Source_Evolution!$M$3:$M$731,Source_Evolution!$A$3:$A$731,$A220)</f>
        <v/>
      </c>
      <c r="N220" s="17">
        <f>SUMIFS(Source_Evolution!$N$3:$N$731,Source_Evolution!$A$3:$A$731,$A220)</f>
        <v/>
      </c>
      <c r="O220" s="17">
        <f>SUMIFS(Source_Evolution!$O$3:$O$731,Source_Evolution!$A$3:$A$731,$A220)</f>
        <v/>
      </c>
      <c r="P220" s="17">
        <f>SUMIFS(Source_Evolution!$P$3:$P$731,Source_Evolution!$A$3:$A$731,$A220)</f>
        <v/>
      </c>
      <c r="Q220" s="17">
        <f>SUMIFS(Source_Evolution!$Q$3:$Q$731,Source_Evolution!$A$3:$A$731,$A220)</f>
        <v/>
      </c>
      <c r="R220" s="17">
        <f>SUM(E220:Q220)</f>
        <v/>
      </c>
      <c r="S220" s="17">
        <f>Q220</f>
        <v/>
      </c>
      <c r="T220">
        <f>IF(B220="Software",1,0)</f>
        <v/>
      </c>
      <c r="U220" s="18">
        <f>SUMPRODUCT((Source_Evolution!$A$3:$A$731=$A220)*(Source_Evolution!$E$3:$E$731&gt;0))</f>
        <v/>
      </c>
      <c r="V220" s="18">
        <f>SUMPRODUCT((Source_Evolution!$A$3:$A$731=$A220)*(Source_Evolution!$F$3:$F$731&gt;0))</f>
        <v/>
      </c>
      <c r="W220" s="18">
        <f>SUMPRODUCT((Source_Evolution!$A$3:$A$731=$A220)*(Source_Evolution!$G$3:$G$731&gt;0))</f>
        <v/>
      </c>
      <c r="X220" s="18">
        <f>SUMPRODUCT((Source_Evolution!$A$3:$A$731=$A220)*(Source_Evolution!$H$3:$H$731&gt;0))</f>
        <v/>
      </c>
      <c r="Y220" s="18">
        <f>SUMPRODUCT((Source_Evolution!$A$3:$A$731=$A220)*(Source_Evolution!$I$3:$I$731&gt;0))</f>
        <v/>
      </c>
      <c r="Z220" s="18">
        <f>SUMPRODUCT((Source_Evolution!$A$3:$A$731=$A220)*(Source_Evolution!$J$3:$J$731&gt;0))</f>
        <v/>
      </c>
      <c r="AA220" s="18">
        <f>SUMPRODUCT((Source_Evolution!$A$3:$A$731=$A220)*(Source_Evolution!$K$3:$K$731&gt;0))</f>
        <v/>
      </c>
      <c r="AB220" s="18">
        <f>SUMPRODUCT((Source_Evolution!$A$3:$A$731=$A220)*(Source_Evolution!$L$3:$L$731&gt;0))</f>
        <v/>
      </c>
      <c r="AC220" s="18">
        <f>SUMPRODUCT((Source_Evolution!$A$3:$A$731=$A220)*(Source_Evolution!$M$3:$M$731&gt;0))</f>
        <v/>
      </c>
      <c r="AD220" s="18">
        <f>SUMPRODUCT((Source_Evolution!$A$3:$A$731=$A220)*(Source_Evolution!$N$3:$N$731&gt;0))</f>
        <v/>
      </c>
      <c r="AE220" s="18">
        <f>SUMPRODUCT((Source_Evolution!$A$3:$A$731=$A220)*(Source_Evolution!$O$3:$O$731&gt;0))</f>
        <v/>
      </c>
      <c r="AF220" s="18">
        <f>SUMPRODUCT((Source_Evolution!$A$3:$A$731=$A220)*(Source_Evolution!$P$3:$P$731&gt;0))</f>
        <v/>
      </c>
      <c r="AG220" s="18">
        <f>SUMPRODUCT((Source_Evolution!$A$3:$A$731=$A220)*(Source_Evolution!$Q$3:$Q$731&gt;0))</f>
        <v/>
      </c>
    </row>
    <row r="221">
      <c r="A221" t="inlineStr">
        <is>
          <t>Company 297</t>
        </is>
      </c>
      <c r="B221" t="inlineStr">
        <is>
          <t>Software</t>
        </is>
      </c>
      <c r="C221" t="inlineStr">
        <is>
          <t>UK</t>
        </is>
      </c>
      <c r="D221" t="n">
        <v>2014</v>
      </c>
      <c r="E221" s="17">
        <f>SUMIFS(Source_Evolution!$E$3:$E$731,Source_Evolution!$A$3:$A$731,$A221)</f>
        <v/>
      </c>
      <c r="F221" s="17">
        <f>SUMIFS(Source_Evolution!$F$3:$F$731,Source_Evolution!$A$3:$A$731,$A221)</f>
        <v/>
      </c>
      <c r="G221" s="17">
        <f>SUMIFS(Source_Evolution!$G$3:$G$731,Source_Evolution!$A$3:$A$731,$A221)</f>
        <v/>
      </c>
      <c r="H221" s="17">
        <f>SUMIFS(Source_Evolution!$H$3:$H$731,Source_Evolution!$A$3:$A$731,$A221)</f>
        <v/>
      </c>
      <c r="I221" s="17">
        <f>SUMIFS(Source_Evolution!$I$3:$I$731,Source_Evolution!$A$3:$A$731,$A221)</f>
        <v/>
      </c>
      <c r="J221" s="17">
        <f>SUMIFS(Source_Evolution!$J$3:$J$731,Source_Evolution!$A$3:$A$731,$A221)</f>
        <v/>
      </c>
      <c r="K221" s="17">
        <f>SUMIFS(Source_Evolution!$K$3:$K$731,Source_Evolution!$A$3:$A$731,$A221)</f>
        <v/>
      </c>
      <c r="L221" s="17">
        <f>SUMIFS(Source_Evolution!$L$3:$L$731,Source_Evolution!$A$3:$A$731,$A221)</f>
        <v/>
      </c>
      <c r="M221" s="17">
        <f>SUMIFS(Source_Evolution!$M$3:$M$731,Source_Evolution!$A$3:$A$731,$A221)</f>
        <v/>
      </c>
      <c r="N221" s="17">
        <f>SUMIFS(Source_Evolution!$N$3:$N$731,Source_Evolution!$A$3:$A$731,$A221)</f>
        <v/>
      </c>
      <c r="O221" s="17">
        <f>SUMIFS(Source_Evolution!$O$3:$O$731,Source_Evolution!$A$3:$A$731,$A221)</f>
        <v/>
      </c>
      <c r="P221" s="17">
        <f>SUMIFS(Source_Evolution!$P$3:$P$731,Source_Evolution!$A$3:$A$731,$A221)</f>
        <v/>
      </c>
      <c r="Q221" s="17">
        <f>SUMIFS(Source_Evolution!$Q$3:$Q$731,Source_Evolution!$A$3:$A$731,$A221)</f>
        <v/>
      </c>
      <c r="R221" s="17">
        <f>SUM(E221:Q221)</f>
        <v/>
      </c>
      <c r="S221" s="17">
        <f>Q221</f>
        <v/>
      </c>
      <c r="T221">
        <f>IF(B221="Software",1,0)</f>
        <v/>
      </c>
      <c r="U221" s="18">
        <f>SUMPRODUCT((Source_Evolution!$A$3:$A$731=$A221)*(Source_Evolution!$E$3:$E$731&gt;0))</f>
        <v/>
      </c>
      <c r="V221" s="18">
        <f>SUMPRODUCT((Source_Evolution!$A$3:$A$731=$A221)*(Source_Evolution!$F$3:$F$731&gt;0))</f>
        <v/>
      </c>
      <c r="W221" s="18">
        <f>SUMPRODUCT((Source_Evolution!$A$3:$A$731=$A221)*(Source_Evolution!$G$3:$G$731&gt;0))</f>
        <v/>
      </c>
      <c r="X221" s="18">
        <f>SUMPRODUCT((Source_Evolution!$A$3:$A$731=$A221)*(Source_Evolution!$H$3:$H$731&gt;0))</f>
        <v/>
      </c>
      <c r="Y221" s="18">
        <f>SUMPRODUCT((Source_Evolution!$A$3:$A$731=$A221)*(Source_Evolution!$I$3:$I$731&gt;0))</f>
        <v/>
      </c>
      <c r="Z221" s="18">
        <f>SUMPRODUCT((Source_Evolution!$A$3:$A$731=$A221)*(Source_Evolution!$J$3:$J$731&gt;0))</f>
        <v/>
      </c>
      <c r="AA221" s="18">
        <f>SUMPRODUCT((Source_Evolution!$A$3:$A$731=$A221)*(Source_Evolution!$K$3:$K$731&gt;0))</f>
        <v/>
      </c>
      <c r="AB221" s="18">
        <f>SUMPRODUCT((Source_Evolution!$A$3:$A$731=$A221)*(Source_Evolution!$L$3:$L$731&gt;0))</f>
        <v/>
      </c>
      <c r="AC221" s="18">
        <f>SUMPRODUCT((Source_Evolution!$A$3:$A$731=$A221)*(Source_Evolution!$M$3:$M$731&gt;0))</f>
        <v/>
      </c>
      <c r="AD221" s="18">
        <f>SUMPRODUCT((Source_Evolution!$A$3:$A$731=$A221)*(Source_Evolution!$N$3:$N$731&gt;0))</f>
        <v/>
      </c>
      <c r="AE221" s="18">
        <f>SUMPRODUCT((Source_Evolution!$A$3:$A$731=$A221)*(Source_Evolution!$O$3:$O$731&gt;0))</f>
        <v/>
      </c>
      <c r="AF221" s="18">
        <f>SUMPRODUCT((Source_Evolution!$A$3:$A$731=$A221)*(Source_Evolution!$P$3:$P$731&gt;0))</f>
        <v/>
      </c>
      <c r="AG221" s="18">
        <f>SUMPRODUCT((Source_Evolution!$A$3:$A$731=$A221)*(Source_Evolution!$Q$3:$Q$731&gt;0))</f>
        <v/>
      </c>
    </row>
    <row r="222">
      <c r="A222" t="inlineStr">
        <is>
          <t>Company 298</t>
        </is>
      </c>
      <c r="B222" t="inlineStr">
        <is>
          <t>Software</t>
        </is>
      </c>
      <c r="C222" t="inlineStr">
        <is>
          <t>UK</t>
        </is>
      </c>
      <c r="D222" t="n">
        <v>2014</v>
      </c>
      <c r="E222" s="17">
        <f>SUMIFS(Source_Evolution!$E$3:$E$731,Source_Evolution!$A$3:$A$731,$A222)</f>
        <v/>
      </c>
      <c r="F222" s="17">
        <f>SUMIFS(Source_Evolution!$F$3:$F$731,Source_Evolution!$A$3:$A$731,$A222)</f>
        <v/>
      </c>
      <c r="G222" s="17">
        <f>SUMIFS(Source_Evolution!$G$3:$G$731,Source_Evolution!$A$3:$A$731,$A222)</f>
        <v/>
      </c>
      <c r="H222" s="17">
        <f>SUMIFS(Source_Evolution!$H$3:$H$731,Source_Evolution!$A$3:$A$731,$A222)</f>
        <v/>
      </c>
      <c r="I222" s="17">
        <f>SUMIFS(Source_Evolution!$I$3:$I$731,Source_Evolution!$A$3:$A$731,$A222)</f>
        <v/>
      </c>
      <c r="J222" s="17">
        <f>SUMIFS(Source_Evolution!$J$3:$J$731,Source_Evolution!$A$3:$A$731,$A222)</f>
        <v/>
      </c>
      <c r="K222" s="17">
        <f>SUMIFS(Source_Evolution!$K$3:$K$731,Source_Evolution!$A$3:$A$731,$A222)</f>
        <v/>
      </c>
      <c r="L222" s="17">
        <f>SUMIFS(Source_Evolution!$L$3:$L$731,Source_Evolution!$A$3:$A$731,$A222)</f>
        <v/>
      </c>
      <c r="M222" s="17">
        <f>SUMIFS(Source_Evolution!$M$3:$M$731,Source_Evolution!$A$3:$A$731,$A222)</f>
        <v/>
      </c>
      <c r="N222" s="17">
        <f>SUMIFS(Source_Evolution!$N$3:$N$731,Source_Evolution!$A$3:$A$731,$A222)</f>
        <v/>
      </c>
      <c r="O222" s="17">
        <f>SUMIFS(Source_Evolution!$O$3:$O$731,Source_Evolution!$A$3:$A$731,$A222)</f>
        <v/>
      </c>
      <c r="P222" s="17">
        <f>SUMIFS(Source_Evolution!$P$3:$P$731,Source_Evolution!$A$3:$A$731,$A222)</f>
        <v/>
      </c>
      <c r="Q222" s="17">
        <f>SUMIFS(Source_Evolution!$Q$3:$Q$731,Source_Evolution!$A$3:$A$731,$A222)</f>
        <v/>
      </c>
      <c r="R222" s="17">
        <f>SUM(E222:Q222)</f>
        <v/>
      </c>
      <c r="S222" s="17">
        <f>Q222</f>
        <v/>
      </c>
      <c r="T222">
        <f>IF(B222="Software",1,0)</f>
        <v/>
      </c>
      <c r="U222" s="18">
        <f>SUMPRODUCT((Source_Evolution!$A$3:$A$731=$A222)*(Source_Evolution!$E$3:$E$731&gt;0))</f>
        <v/>
      </c>
      <c r="V222" s="18">
        <f>SUMPRODUCT((Source_Evolution!$A$3:$A$731=$A222)*(Source_Evolution!$F$3:$F$731&gt;0))</f>
        <v/>
      </c>
      <c r="W222" s="18">
        <f>SUMPRODUCT((Source_Evolution!$A$3:$A$731=$A222)*(Source_Evolution!$G$3:$G$731&gt;0))</f>
        <v/>
      </c>
      <c r="X222" s="18">
        <f>SUMPRODUCT((Source_Evolution!$A$3:$A$731=$A222)*(Source_Evolution!$H$3:$H$731&gt;0))</f>
        <v/>
      </c>
      <c r="Y222" s="18">
        <f>SUMPRODUCT((Source_Evolution!$A$3:$A$731=$A222)*(Source_Evolution!$I$3:$I$731&gt;0))</f>
        <v/>
      </c>
      <c r="Z222" s="18">
        <f>SUMPRODUCT((Source_Evolution!$A$3:$A$731=$A222)*(Source_Evolution!$J$3:$J$731&gt;0))</f>
        <v/>
      </c>
      <c r="AA222" s="18">
        <f>SUMPRODUCT((Source_Evolution!$A$3:$A$731=$A222)*(Source_Evolution!$K$3:$K$731&gt;0))</f>
        <v/>
      </c>
      <c r="AB222" s="18">
        <f>SUMPRODUCT((Source_Evolution!$A$3:$A$731=$A222)*(Source_Evolution!$L$3:$L$731&gt;0))</f>
        <v/>
      </c>
      <c r="AC222" s="18">
        <f>SUMPRODUCT((Source_Evolution!$A$3:$A$731=$A222)*(Source_Evolution!$M$3:$M$731&gt;0))</f>
        <v/>
      </c>
      <c r="AD222" s="18">
        <f>SUMPRODUCT((Source_Evolution!$A$3:$A$731=$A222)*(Source_Evolution!$N$3:$N$731&gt;0))</f>
        <v/>
      </c>
      <c r="AE222" s="18">
        <f>SUMPRODUCT((Source_Evolution!$A$3:$A$731=$A222)*(Source_Evolution!$O$3:$O$731&gt;0))</f>
        <v/>
      </c>
      <c r="AF222" s="18">
        <f>SUMPRODUCT((Source_Evolution!$A$3:$A$731=$A222)*(Source_Evolution!$P$3:$P$731&gt;0))</f>
        <v/>
      </c>
      <c r="AG222" s="18">
        <f>SUMPRODUCT((Source_Evolution!$A$3:$A$731=$A222)*(Source_Evolution!$Q$3:$Q$731&gt;0))</f>
        <v/>
      </c>
    </row>
    <row r="223">
      <c r="A223" t="inlineStr">
        <is>
          <t>Company 299</t>
        </is>
      </c>
      <c r="B223" t="inlineStr">
        <is>
          <t>Operations</t>
        </is>
      </c>
      <c r="C223" t="inlineStr">
        <is>
          <t>UK</t>
        </is>
      </c>
      <c r="D223" t="n">
        <v>2018</v>
      </c>
      <c r="E223" s="17">
        <f>SUMIFS(Source_Evolution!$E$3:$E$731,Source_Evolution!$A$3:$A$731,$A223)</f>
        <v/>
      </c>
      <c r="F223" s="17">
        <f>SUMIFS(Source_Evolution!$F$3:$F$731,Source_Evolution!$A$3:$A$731,$A223)</f>
        <v/>
      </c>
      <c r="G223" s="17">
        <f>SUMIFS(Source_Evolution!$G$3:$G$731,Source_Evolution!$A$3:$A$731,$A223)</f>
        <v/>
      </c>
      <c r="H223" s="17">
        <f>SUMIFS(Source_Evolution!$H$3:$H$731,Source_Evolution!$A$3:$A$731,$A223)</f>
        <v/>
      </c>
      <c r="I223" s="17">
        <f>SUMIFS(Source_Evolution!$I$3:$I$731,Source_Evolution!$A$3:$A$731,$A223)</f>
        <v/>
      </c>
      <c r="J223" s="17">
        <f>SUMIFS(Source_Evolution!$J$3:$J$731,Source_Evolution!$A$3:$A$731,$A223)</f>
        <v/>
      </c>
      <c r="K223" s="17">
        <f>SUMIFS(Source_Evolution!$K$3:$K$731,Source_Evolution!$A$3:$A$731,$A223)</f>
        <v/>
      </c>
      <c r="L223" s="17">
        <f>SUMIFS(Source_Evolution!$L$3:$L$731,Source_Evolution!$A$3:$A$731,$A223)</f>
        <v/>
      </c>
      <c r="M223" s="17">
        <f>SUMIFS(Source_Evolution!$M$3:$M$731,Source_Evolution!$A$3:$A$731,$A223)</f>
        <v/>
      </c>
      <c r="N223" s="17">
        <f>SUMIFS(Source_Evolution!$N$3:$N$731,Source_Evolution!$A$3:$A$731,$A223)</f>
        <v/>
      </c>
      <c r="O223" s="17">
        <f>SUMIFS(Source_Evolution!$O$3:$O$731,Source_Evolution!$A$3:$A$731,$A223)</f>
        <v/>
      </c>
      <c r="P223" s="17">
        <f>SUMIFS(Source_Evolution!$P$3:$P$731,Source_Evolution!$A$3:$A$731,$A223)</f>
        <v/>
      </c>
      <c r="Q223" s="17">
        <f>SUMIFS(Source_Evolution!$Q$3:$Q$731,Source_Evolution!$A$3:$A$731,$A223)</f>
        <v/>
      </c>
      <c r="R223" s="17">
        <f>SUM(E223:Q223)</f>
        <v/>
      </c>
      <c r="S223" s="17">
        <f>Q223</f>
        <v/>
      </c>
      <c r="T223">
        <f>IF(B223="Software",1,0)</f>
        <v/>
      </c>
      <c r="U223" s="18">
        <f>SUMPRODUCT((Source_Evolution!$A$3:$A$731=$A223)*(Source_Evolution!$E$3:$E$731&gt;0))</f>
        <v/>
      </c>
      <c r="V223" s="18">
        <f>SUMPRODUCT((Source_Evolution!$A$3:$A$731=$A223)*(Source_Evolution!$F$3:$F$731&gt;0))</f>
        <v/>
      </c>
      <c r="W223" s="18">
        <f>SUMPRODUCT((Source_Evolution!$A$3:$A$731=$A223)*(Source_Evolution!$G$3:$G$731&gt;0))</f>
        <v/>
      </c>
      <c r="X223" s="18">
        <f>SUMPRODUCT((Source_Evolution!$A$3:$A$731=$A223)*(Source_Evolution!$H$3:$H$731&gt;0))</f>
        <v/>
      </c>
      <c r="Y223" s="18">
        <f>SUMPRODUCT((Source_Evolution!$A$3:$A$731=$A223)*(Source_Evolution!$I$3:$I$731&gt;0))</f>
        <v/>
      </c>
      <c r="Z223" s="18">
        <f>SUMPRODUCT((Source_Evolution!$A$3:$A$731=$A223)*(Source_Evolution!$J$3:$J$731&gt;0))</f>
        <v/>
      </c>
      <c r="AA223" s="18">
        <f>SUMPRODUCT((Source_Evolution!$A$3:$A$731=$A223)*(Source_Evolution!$K$3:$K$731&gt;0))</f>
        <v/>
      </c>
      <c r="AB223" s="18">
        <f>SUMPRODUCT((Source_Evolution!$A$3:$A$731=$A223)*(Source_Evolution!$L$3:$L$731&gt;0))</f>
        <v/>
      </c>
      <c r="AC223" s="18">
        <f>SUMPRODUCT((Source_Evolution!$A$3:$A$731=$A223)*(Source_Evolution!$M$3:$M$731&gt;0))</f>
        <v/>
      </c>
      <c r="AD223" s="18">
        <f>SUMPRODUCT((Source_Evolution!$A$3:$A$731=$A223)*(Source_Evolution!$N$3:$N$731&gt;0))</f>
        <v/>
      </c>
      <c r="AE223" s="18">
        <f>SUMPRODUCT((Source_Evolution!$A$3:$A$731=$A223)*(Source_Evolution!$O$3:$O$731&gt;0))</f>
        <v/>
      </c>
      <c r="AF223" s="18">
        <f>SUMPRODUCT((Source_Evolution!$A$3:$A$731=$A223)*(Source_Evolution!$P$3:$P$731&gt;0))</f>
        <v/>
      </c>
      <c r="AG223" s="18">
        <f>SUMPRODUCT((Source_Evolution!$A$3:$A$731=$A223)*(Source_Evolution!$Q$3:$Q$731&gt;0))</f>
        <v/>
      </c>
    </row>
    <row r="224">
      <c r="A224" t="inlineStr">
        <is>
          <t>Company 3</t>
        </is>
      </c>
      <c r="B224" t="inlineStr">
        <is>
          <t>Software</t>
        </is>
      </c>
      <c r="C224" t="inlineStr">
        <is>
          <t>Ireland</t>
        </is>
      </c>
      <c r="D224" t="n">
        <v>2014</v>
      </c>
      <c r="E224" s="17">
        <f>SUMIFS(Source_Evolution!$E$3:$E$731,Source_Evolution!$A$3:$A$731,$A224)</f>
        <v/>
      </c>
      <c r="F224" s="17">
        <f>SUMIFS(Source_Evolution!$F$3:$F$731,Source_Evolution!$A$3:$A$731,$A224)</f>
        <v/>
      </c>
      <c r="G224" s="17">
        <f>SUMIFS(Source_Evolution!$G$3:$G$731,Source_Evolution!$A$3:$A$731,$A224)</f>
        <v/>
      </c>
      <c r="H224" s="17">
        <f>SUMIFS(Source_Evolution!$H$3:$H$731,Source_Evolution!$A$3:$A$731,$A224)</f>
        <v/>
      </c>
      <c r="I224" s="17">
        <f>SUMIFS(Source_Evolution!$I$3:$I$731,Source_Evolution!$A$3:$A$731,$A224)</f>
        <v/>
      </c>
      <c r="J224" s="17">
        <f>SUMIFS(Source_Evolution!$J$3:$J$731,Source_Evolution!$A$3:$A$731,$A224)</f>
        <v/>
      </c>
      <c r="K224" s="17">
        <f>SUMIFS(Source_Evolution!$K$3:$K$731,Source_Evolution!$A$3:$A$731,$A224)</f>
        <v/>
      </c>
      <c r="L224" s="17">
        <f>SUMIFS(Source_Evolution!$L$3:$L$731,Source_Evolution!$A$3:$A$731,$A224)</f>
        <v/>
      </c>
      <c r="M224" s="17">
        <f>SUMIFS(Source_Evolution!$M$3:$M$731,Source_Evolution!$A$3:$A$731,$A224)</f>
        <v/>
      </c>
      <c r="N224" s="17">
        <f>SUMIFS(Source_Evolution!$N$3:$N$731,Source_Evolution!$A$3:$A$731,$A224)</f>
        <v/>
      </c>
      <c r="O224" s="17">
        <f>SUMIFS(Source_Evolution!$O$3:$O$731,Source_Evolution!$A$3:$A$731,$A224)</f>
        <v/>
      </c>
      <c r="P224" s="17">
        <f>SUMIFS(Source_Evolution!$P$3:$P$731,Source_Evolution!$A$3:$A$731,$A224)</f>
        <v/>
      </c>
      <c r="Q224" s="17">
        <f>SUMIFS(Source_Evolution!$Q$3:$Q$731,Source_Evolution!$A$3:$A$731,$A224)</f>
        <v/>
      </c>
      <c r="R224" s="17">
        <f>SUM(E224:Q224)</f>
        <v/>
      </c>
      <c r="S224" s="17">
        <f>Q224</f>
        <v/>
      </c>
      <c r="T224">
        <f>IF(B224="Software",1,0)</f>
        <v/>
      </c>
      <c r="U224" s="18">
        <f>SUMPRODUCT((Source_Evolution!$A$3:$A$731=$A224)*(Source_Evolution!$E$3:$E$731&gt;0))</f>
        <v/>
      </c>
      <c r="V224" s="18">
        <f>SUMPRODUCT((Source_Evolution!$A$3:$A$731=$A224)*(Source_Evolution!$F$3:$F$731&gt;0))</f>
        <v/>
      </c>
      <c r="W224" s="18">
        <f>SUMPRODUCT((Source_Evolution!$A$3:$A$731=$A224)*(Source_Evolution!$G$3:$G$731&gt;0))</f>
        <v/>
      </c>
      <c r="X224" s="18">
        <f>SUMPRODUCT((Source_Evolution!$A$3:$A$731=$A224)*(Source_Evolution!$H$3:$H$731&gt;0))</f>
        <v/>
      </c>
      <c r="Y224" s="18">
        <f>SUMPRODUCT((Source_Evolution!$A$3:$A$731=$A224)*(Source_Evolution!$I$3:$I$731&gt;0))</f>
        <v/>
      </c>
      <c r="Z224" s="18">
        <f>SUMPRODUCT((Source_Evolution!$A$3:$A$731=$A224)*(Source_Evolution!$J$3:$J$731&gt;0))</f>
        <v/>
      </c>
      <c r="AA224" s="18">
        <f>SUMPRODUCT((Source_Evolution!$A$3:$A$731=$A224)*(Source_Evolution!$K$3:$K$731&gt;0))</f>
        <v/>
      </c>
      <c r="AB224" s="18">
        <f>SUMPRODUCT((Source_Evolution!$A$3:$A$731=$A224)*(Source_Evolution!$L$3:$L$731&gt;0))</f>
        <v/>
      </c>
      <c r="AC224" s="18">
        <f>SUMPRODUCT((Source_Evolution!$A$3:$A$731=$A224)*(Source_Evolution!$M$3:$M$731&gt;0))</f>
        <v/>
      </c>
      <c r="AD224" s="18">
        <f>SUMPRODUCT((Source_Evolution!$A$3:$A$731=$A224)*(Source_Evolution!$N$3:$N$731&gt;0))</f>
        <v/>
      </c>
      <c r="AE224" s="18">
        <f>SUMPRODUCT((Source_Evolution!$A$3:$A$731=$A224)*(Source_Evolution!$O$3:$O$731&gt;0))</f>
        <v/>
      </c>
      <c r="AF224" s="18">
        <f>SUMPRODUCT((Source_Evolution!$A$3:$A$731=$A224)*(Source_Evolution!$P$3:$P$731&gt;0))</f>
        <v/>
      </c>
      <c r="AG224" s="18">
        <f>SUMPRODUCT((Source_Evolution!$A$3:$A$731=$A224)*(Source_Evolution!$Q$3:$Q$731&gt;0))</f>
        <v/>
      </c>
    </row>
    <row r="225">
      <c r="A225" t="inlineStr">
        <is>
          <t>Company 30</t>
        </is>
      </c>
      <c r="B225" t="inlineStr">
        <is>
          <t>Software</t>
        </is>
      </c>
      <c r="C225" t="inlineStr">
        <is>
          <t>Sweden</t>
        </is>
      </c>
      <c r="D225" t="n">
        <v>2014</v>
      </c>
      <c r="E225" s="17">
        <f>SUMIFS(Source_Evolution!$E$3:$E$731,Source_Evolution!$A$3:$A$731,$A225)</f>
        <v/>
      </c>
      <c r="F225" s="17">
        <f>SUMIFS(Source_Evolution!$F$3:$F$731,Source_Evolution!$A$3:$A$731,$A225)</f>
        <v/>
      </c>
      <c r="G225" s="17">
        <f>SUMIFS(Source_Evolution!$G$3:$G$731,Source_Evolution!$A$3:$A$731,$A225)</f>
        <v/>
      </c>
      <c r="H225" s="17">
        <f>SUMIFS(Source_Evolution!$H$3:$H$731,Source_Evolution!$A$3:$A$731,$A225)</f>
        <v/>
      </c>
      <c r="I225" s="17">
        <f>SUMIFS(Source_Evolution!$I$3:$I$731,Source_Evolution!$A$3:$A$731,$A225)</f>
        <v/>
      </c>
      <c r="J225" s="17">
        <f>SUMIFS(Source_Evolution!$J$3:$J$731,Source_Evolution!$A$3:$A$731,$A225)</f>
        <v/>
      </c>
      <c r="K225" s="17">
        <f>SUMIFS(Source_Evolution!$K$3:$K$731,Source_Evolution!$A$3:$A$731,$A225)</f>
        <v/>
      </c>
      <c r="L225" s="17">
        <f>SUMIFS(Source_Evolution!$L$3:$L$731,Source_Evolution!$A$3:$A$731,$A225)</f>
        <v/>
      </c>
      <c r="M225" s="17">
        <f>SUMIFS(Source_Evolution!$M$3:$M$731,Source_Evolution!$A$3:$A$731,$A225)</f>
        <v/>
      </c>
      <c r="N225" s="17">
        <f>SUMIFS(Source_Evolution!$N$3:$N$731,Source_Evolution!$A$3:$A$731,$A225)</f>
        <v/>
      </c>
      <c r="O225" s="17">
        <f>SUMIFS(Source_Evolution!$O$3:$O$731,Source_Evolution!$A$3:$A$731,$A225)</f>
        <v/>
      </c>
      <c r="P225" s="17">
        <f>SUMIFS(Source_Evolution!$P$3:$P$731,Source_Evolution!$A$3:$A$731,$A225)</f>
        <v/>
      </c>
      <c r="Q225" s="17">
        <f>SUMIFS(Source_Evolution!$Q$3:$Q$731,Source_Evolution!$A$3:$A$731,$A225)</f>
        <v/>
      </c>
      <c r="R225" s="17">
        <f>SUM(E225:Q225)</f>
        <v/>
      </c>
      <c r="S225" s="17">
        <f>Q225</f>
        <v/>
      </c>
      <c r="T225">
        <f>IF(B225="Software",1,0)</f>
        <v/>
      </c>
      <c r="U225" s="18">
        <f>SUMPRODUCT((Source_Evolution!$A$3:$A$731=$A225)*(Source_Evolution!$E$3:$E$731&gt;0))</f>
        <v/>
      </c>
      <c r="V225" s="18">
        <f>SUMPRODUCT((Source_Evolution!$A$3:$A$731=$A225)*(Source_Evolution!$F$3:$F$731&gt;0))</f>
        <v/>
      </c>
      <c r="W225" s="18">
        <f>SUMPRODUCT((Source_Evolution!$A$3:$A$731=$A225)*(Source_Evolution!$G$3:$G$731&gt;0))</f>
        <v/>
      </c>
      <c r="X225" s="18">
        <f>SUMPRODUCT((Source_Evolution!$A$3:$A$731=$A225)*(Source_Evolution!$H$3:$H$731&gt;0))</f>
        <v/>
      </c>
      <c r="Y225" s="18">
        <f>SUMPRODUCT((Source_Evolution!$A$3:$A$731=$A225)*(Source_Evolution!$I$3:$I$731&gt;0))</f>
        <v/>
      </c>
      <c r="Z225" s="18">
        <f>SUMPRODUCT((Source_Evolution!$A$3:$A$731=$A225)*(Source_Evolution!$J$3:$J$731&gt;0))</f>
        <v/>
      </c>
      <c r="AA225" s="18">
        <f>SUMPRODUCT((Source_Evolution!$A$3:$A$731=$A225)*(Source_Evolution!$K$3:$K$731&gt;0))</f>
        <v/>
      </c>
      <c r="AB225" s="18">
        <f>SUMPRODUCT((Source_Evolution!$A$3:$A$731=$A225)*(Source_Evolution!$L$3:$L$731&gt;0))</f>
        <v/>
      </c>
      <c r="AC225" s="18">
        <f>SUMPRODUCT((Source_Evolution!$A$3:$A$731=$A225)*(Source_Evolution!$M$3:$M$731&gt;0))</f>
        <v/>
      </c>
      <c r="AD225" s="18">
        <f>SUMPRODUCT((Source_Evolution!$A$3:$A$731=$A225)*(Source_Evolution!$N$3:$N$731&gt;0))</f>
        <v/>
      </c>
      <c r="AE225" s="18">
        <f>SUMPRODUCT((Source_Evolution!$A$3:$A$731=$A225)*(Source_Evolution!$O$3:$O$731&gt;0))</f>
        <v/>
      </c>
      <c r="AF225" s="18">
        <f>SUMPRODUCT((Source_Evolution!$A$3:$A$731=$A225)*(Source_Evolution!$P$3:$P$731&gt;0))</f>
        <v/>
      </c>
      <c r="AG225" s="18">
        <f>SUMPRODUCT((Source_Evolution!$A$3:$A$731=$A225)*(Source_Evolution!$Q$3:$Q$731&gt;0))</f>
        <v/>
      </c>
    </row>
    <row r="226">
      <c r="A226" t="inlineStr">
        <is>
          <t>Company 300</t>
        </is>
      </c>
      <c r="B226" t="inlineStr">
        <is>
          <t>Software</t>
        </is>
      </c>
      <c r="C226" t="inlineStr">
        <is>
          <t>UK</t>
        </is>
      </c>
      <c r="D226" t="n">
        <v>2026</v>
      </c>
      <c r="E226" s="17">
        <f>SUMIFS(Source_Evolution!$E$3:$E$731,Source_Evolution!$A$3:$A$731,$A226)</f>
        <v/>
      </c>
      <c r="F226" s="17">
        <f>SUMIFS(Source_Evolution!$F$3:$F$731,Source_Evolution!$A$3:$A$731,$A226)</f>
        <v/>
      </c>
      <c r="G226" s="17">
        <f>SUMIFS(Source_Evolution!$G$3:$G$731,Source_Evolution!$A$3:$A$731,$A226)</f>
        <v/>
      </c>
      <c r="H226" s="17">
        <f>SUMIFS(Source_Evolution!$H$3:$H$731,Source_Evolution!$A$3:$A$731,$A226)</f>
        <v/>
      </c>
      <c r="I226" s="17">
        <f>SUMIFS(Source_Evolution!$I$3:$I$731,Source_Evolution!$A$3:$A$731,$A226)</f>
        <v/>
      </c>
      <c r="J226" s="17">
        <f>SUMIFS(Source_Evolution!$J$3:$J$731,Source_Evolution!$A$3:$A$731,$A226)</f>
        <v/>
      </c>
      <c r="K226" s="17">
        <f>SUMIFS(Source_Evolution!$K$3:$K$731,Source_Evolution!$A$3:$A$731,$A226)</f>
        <v/>
      </c>
      <c r="L226" s="17">
        <f>SUMIFS(Source_Evolution!$L$3:$L$731,Source_Evolution!$A$3:$A$731,$A226)</f>
        <v/>
      </c>
      <c r="M226" s="17">
        <f>SUMIFS(Source_Evolution!$M$3:$M$731,Source_Evolution!$A$3:$A$731,$A226)</f>
        <v/>
      </c>
      <c r="N226" s="17">
        <f>SUMIFS(Source_Evolution!$N$3:$N$731,Source_Evolution!$A$3:$A$731,$A226)</f>
        <v/>
      </c>
      <c r="O226" s="17">
        <f>SUMIFS(Source_Evolution!$O$3:$O$731,Source_Evolution!$A$3:$A$731,$A226)</f>
        <v/>
      </c>
      <c r="P226" s="17">
        <f>SUMIFS(Source_Evolution!$P$3:$P$731,Source_Evolution!$A$3:$A$731,$A226)</f>
        <v/>
      </c>
      <c r="Q226" s="17">
        <f>SUMIFS(Source_Evolution!$Q$3:$Q$731,Source_Evolution!$A$3:$A$731,$A226)</f>
        <v/>
      </c>
      <c r="R226" s="17">
        <f>SUM(E226:Q226)</f>
        <v/>
      </c>
      <c r="S226" s="17">
        <f>Q226</f>
        <v/>
      </c>
      <c r="T226">
        <f>IF(B226="Software",1,0)</f>
        <v/>
      </c>
      <c r="U226" s="18">
        <f>SUMPRODUCT((Source_Evolution!$A$3:$A$731=$A226)*(Source_Evolution!$E$3:$E$731&gt;0))</f>
        <v/>
      </c>
      <c r="V226" s="18">
        <f>SUMPRODUCT((Source_Evolution!$A$3:$A$731=$A226)*(Source_Evolution!$F$3:$F$731&gt;0))</f>
        <v/>
      </c>
      <c r="W226" s="18">
        <f>SUMPRODUCT((Source_Evolution!$A$3:$A$731=$A226)*(Source_Evolution!$G$3:$G$731&gt;0))</f>
        <v/>
      </c>
      <c r="X226" s="18">
        <f>SUMPRODUCT((Source_Evolution!$A$3:$A$731=$A226)*(Source_Evolution!$H$3:$H$731&gt;0))</f>
        <v/>
      </c>
      <c r="Y226" s="18">
        <f>SUMPRODUCT((Source_Evolution!$A$3:$A$731=$A226)*(Source_Evolution!$I$3:$I$731&gt;0))</f>
        <v/>
      </c>
      <c r="Z226" s="18">
        <f>SUMPRODUCT((Source_Evolution!$A$3:$A$731=$A226)*(Source_Evolution!$J$3:$J$731&gt;0))</f>
        <v/>
      </c>
      <c r="AA226" s="18">
        <f>SUMPRODUCT((Source_Evolution!$A$3:$A$731=$A226)*(Source_Evolution!$K$3:$K$731&gt;0))</f>
        <v/>
      </c>
      <c r="AB226" s="18">
        <f>SUMPRODUCT((Source_Evolution!$A$3:$A$731=$A226)*(Source_Evolution!$L$3:$L$731&gt;0))</f>
        <v/>
      </c>
      <c r="AC226" s="18">
        <f>SUMPRODUCT((Source_Evolution!$A$3:$A$731=$A226)*(Source_Evolution!$M$3:$M$731&gt;0))</f>
        <v/>
      </c>
      <c r="AD226" s="18">
        <f>SUMPRODUCT((Source_Evolution!$A$3:$A$731=$A226)*(Source_Evolution!$N$3:$N$731&gt;0))</f>
        <v/>
      </c>
      <c r="AE226" s="18">
        <f>SUMPRODUCT((Source_Evolution!$A$3:$A$731=$A226)*(Source_Evolution!$O$3:$O$731&gt;0))</f>
        <v/>
      </c>
      <c r="AF226" s="18">
        <f>SUMPRODUCT((Source_Evolution!$A$3:$A$731=$A226)*(Source_Evolution!$P$3:$P$731&gt;0))</f>
        <v/>
      </c>
      <c r="AG226" s="18">
        <f>SUMPRODUCT((Source_Evolution!$A$3:$A$731=$A226)*(Source_Evolution!$Q$3:$Q$731&gt;0))</f>
        <v/>
      </c>
    </row>
    <row r="227">
      <c r="A227" t="inlineStr">
        <is>
          <t>Company 301</t>
        </is>
      </c>
      <c r="B227" t="inlineStr">
        <is>
          <t>Power</t>
        </is>
      </c>
      <c r="C227" t="inlineStr">
        <is>
          <t>UK</t>
        </is>
      </c>
      <c r="D227" t="n">
        <v>2014</v>
      </c>
      <c r="E227" s="17">
        <f>SUMIFS(Source_Evolution!$E$3:$E$731,Source_Evolution!$A$3:$A$731,$A227)</f>
        <v/>
      </c>
      <c r="F227" s="17">
        <f>SUMIFS(Source_Evolution!$F$3:$F$731,Source_Evolution!$A$3:$A$731,$A227)</f>
        <v/>
      </c>
      <c r="G227" s="17">
        <f>SUMIFS(Source_Evolution!$G$3:$G$731,Source_Evolution!$A$3:$A$731,$A227)</f>
        <v/>
      </c>
      <c r="H227" s="17">
        <f>SUMIFS(Source_Evolution!$H$3:$H$731,Source_Evolution!$A$3:$A$731,$A227)</f>
        <v/>
      </c>
      <c r="I227" s="17">
        <f>SUMIFS(Source_Evolution!$I$3:$I$731,Source_Evolution!$A$3:$A$731,$A227)</f>
        <v/>
      </c>
      <c r="J227" s="17">
        <f>SUMIFS(Source_Evolution!$J$3:$J$731,Source_Evolution!$A$3:$A$731,$A227)</f>
        <v/>
      </c>
      <c r="K227" s="17">
        <f>SUMIFS(Source_Evolution!$K$3:$K$731,Source_Evolution!$A$3:$A$731,$A227)</f>
        <v/>
      </c>
      <c r="L227" s="17">
        <f>SUMIFS(Source_Evolution!$L$3:$L$731,Source_Evolution!$A$3:$A$731,$A227)</f>
        <v/>
      </c>
      <c r="M227" s="17">
        <f>SUMIFS(Source_Evolution!$M$3:$M$731,Source_Evolution!$A$3:$A$731,$A227)</f>
        <v/>
      </c>
      <c r="N227" s="17">
        <f>SUMIFS(Source_Evolution!$N$3:$N$731,Source_Evolution!$A$3:$A$731,$A227)</f>
        <v/>
      </c>
      <c r="O227" s="17">
        <f>SUMIFS(Source_Evolution!$O$3:$O$731,Source_Evolution!$A$3:$A$731,$A227)</f>
        <v/>
      </c>
      <c r="P227" s="17">
        <f>SUMIFS(Source_Evolution!$P$3:$P$731,Source_Evolution!$A$3:$A$731,$A227)</f>
        <v/>
      </c>
      <c r="Q227" s="17">
        <f>SUMIFS(Source_Evolution!$Q$3:$Q$731,Source_Evolution!$A$3:$A$731,$A227)</f>
        <v/>
      </c>
      <c r="R227" s="17">
        <f>SUM(E227:Q227)</f>
        <v/>
      </c>
      <c r="S227" s="17">
        <f>Q227</f>
        <v/>
      </c>
      <c r="T227">
        <f>IF(B227="Software",1,0)</f>
        <v/>
      </c>
      <c r="U227" s="18">
        <f>SUMPRODUCT((Source_Evolution!$A$3:$A$731=$A227)*(Source_Evolution!$E$3:$E$731&gt;0))</f>
        <v/>
      </c>
      <c r="V227" s="18">
        <f>SUMPRODUCT((Source_Evolution!$A$3:$A$731=$A227)*(Source_Evolution!$F$3:$F$731&gt;0))</f>
        <v/>
      </c>
      <c r="W227" s="18">
        <f>SUMPRODUCT((Source_Evolution!$A$3:$A$731=$A227)*(Source_Evolution!$G$3:$G$731&gt;0))</f>
        <v/>
      </c>
      <c r="X227" s="18">
        <f>SUMPRODUCT((Source_Evolution!$A$3:$A$731=$A227)*(Source_Evolution!$H$3:$H$731&gt;0))</f>
        <v/>
      </c>
      <c r="Y227" s="18">
        <f>SUMPRODUCT((Source_Evolution!$A$3:$A$731=$A227)*(Source_Evolution!$I$3:$I$731&gt;0))</f>
        <v/>
      </c>
      <c r="Z227" s="18">
        <f>SUMPRODUCT((Source_Evolution!$A$3:$A$731=$A227)*(Source_Evolution!$J$3:$J$731&gt;0))</f>
        <v/>
      </c>
      <c r="AA227" s="18">
        <f>SUMPRODUCT((Source_Evolution!$A$3:$A$731=$A227)*(Source_Evolution!$K$3:$K$731&gt;0))</f>
        <v/>
      </c>
      <c r="AB227" s="18">
        <f>SUMPRODUCT((Source_Evolution!$A$3:$A$731=$A227)*(Source_Evolution!$L$3:$L$731&gt;0))</f>
        <v/>
      </c>
      <c r="AC227" s="18">
        <f>SUMPRODUCT((Source_Evolution!$A$3:$A$731=$A227)*(Source_Evolution!$M$3:$M$731&gt;0))</f>
        <v/>
      </c>
      <c r="AD227" s="18">
        <f>SUMPRODUCT((Source_Evolution!$A$3:$A$731=$A227)*(Source_Evolution!$N$3:$N$731&gt;0))</f>
        <v/>
      </c>
      <c r="AE227" s="18">
        <f>SUMPRODUCT((Source_Evolution!$A$3:$A$731=$A227)*(Source_Evolution!$O$3:$O$731&gt;0))</f>
        <v/>
      </c>
      <c r="AF227" s="18">
        <f>SUMPRODUCT((Source_Evolution!$A$3:$A$731=$A227)*(Source_Evolution!$P$3:$P$731&gt;0))</f>
        <v/>
      </c>
      <c r="AG227" s="18">
        <f>SUMPRODUCT((Source_Evolution!$A$3:$A$731=$A227)*(Source_Evolution!$Q$3:$Q$731&gt;0))</f>
        <v/>
      </c>
    </row>
    <row r="228">
      <c r="A228" t="inlineStr">
        <is>
          <t>Company 302</t>
        </is>
      </c>
      <c r="B228" t="inlineStr">
        <is>
          <t>Operations</t>
        </is>
      </c>
      <c r="C228" t="inlineStr">
        <is>
          <t>Denmark</t>
        </is>
      </c>
      <c r="D228" t="n">
        <v>2014</v>
      </c>
      <c r="E228" s="17">
        <f>SUMIFS(Source_Evolution!$E$3:$E$731,Source_Evolution!$A$3:$A$731,$A228)</f>
        <v/>
      </c>
      <c r="F228" s="17">
        <f>SUMIFS(Source_Evolution!$F$3:$F$731,Source_Evolution!$A$3:$A$731,$A228)</f>
        <v/>
      </c>
      <c r="G228" s="17">
        <f>SUMIFS(Source_Evolution!$G$3:$G$731,Source_Evolution!$A$3:$A$731,$A228)</f>
        <v/>
      </c>
      <c r="H228" s="17">
        <f>SUMIFS(Source_Evolution!$H$3:$H$731,Source_Evolution!$A$3:$A$731,$A228)</f>
        <v/>
      </c>
      <c r="I228" s="17">
        <f>SUMIFS(Source_Evolution!$I$3:$I$731,Source_Evolution!$A$3:$A$731,$A228)</f>
        <v/>
      </c>
      <c r="J228" s="17">
        <f>SUMIFS(Source_Evolution!$J$3:$J$731,Source_Evolution!$A$3:$A$731,$A228)</f>
        <v/>
      </c>
      <c r="K228" s="17">
        <f>SUMIFS(Source_Evolution!$K$3:$K$731,Source_Evolution!$A$3:$A$731,$A228)</f>
        <v/>
      </c>
      <c r="L228" s="17">
        <f>SUMIFS(Source_Evolution!$L$3:$L$731,Source_Evolution!$A$3:$A$731,$A228)</f>
        <v/>
      </c>
      <c r="M228" s="17">
        <f>SUMIFS(Source_Evolution!$M$3:$M$731,Source_Evolution!$A$3:$A$731,$A228)</f>
        <v/>
      </c>
      <c r="N228" s="17">
        <f>SUMIFS(Source_Evolution!$N$3:$N$731,Source_Evolution!$A$3:$A$731,$A228)</f>
        <v/>
      </c>
      <c r="O228" s="17">
        <f>SUMIFS(Source_Evolution!$O$3:$O$731,Source_Evolution!$A$3:$A$731,$A228)</f>
        <v/>
      </c>
      <c r="P228" s="17">
        <f>SUMIFS(Source_Evolution!$P$3:$P$731,Source_Evolution!$A$3:$A$731,$A228)</f>
        <v/>
      </c>
      <c r="Q228" s="17">
        <f>SUMIFS(Source_Evolution!$Q$3:$Q$731,Source_Evolution!$A$3:$A$731,$A228)</f>
        <v/>
      </c>
      <c r="R228" s="17">
        <f>SUM(E228:Q228)</f>
        <v/>
      </c>
      <c r="S228" s="17">
        <f>Q228</f>
        <v/>
      </c>
      <c r="T228">
        <f>IF(B228="Software",1,0)</f>
        <v/>
      </c>
      <c r="U228" s="18">
        <f>SUMPRODUCT((Source_Evolution!$A$3:$A$731=$A228)*(Source_Evolution!$E$3:$E$731&gt;0))</f>
        <v/>
      </c>
      <c r="V228" s="18">
        <f>SUMPRODUCT((Source_Evolution!$A$3:$A$731=$A228)*(Source_Evolution!$F$3:$F$731&gt;0))</f>
        <v/>
      </c>
      <c r="W228" s="18">
        <f>SUMPRODUCT((Source_Evolution!$A$3:$A$731=$A228)*(Source_Evolution!$G$3:$G$731&gt;0))</f>
        <v/>
      </c>
      <c r="X228" s="18">
        <f>SUMPRODUCT((Source_Evolution!$A$3:$A$731=$A228)*(Source_Evolution!$H$3:$H$731&gt;0))</f>
        <v/>
      </c>
      <c r="Y228" s="18">
        <f>SUMPRODUCT((Source_Evolution!$A$3:$A$731=$A228)*(Source_Evolution!$I$3:$I$731&gt;0))</f>
        <v/>
      </c>
      <c r="Z228" s="18">
        <f>SUMPRODUCT((Source_Evolution!$A$3:$A$731=$A228)*(Source_Evolution!$J$3:$J$731&gt;0))</f>
        <v/>
      </c>
      <c r="AA228" s="18">
        <f>SUMPRODUCT((Source_Evolution!$A$3:$A$731=$A228)*(Source_Evolution!$K$3:$K$731&gt;0))</f>
        <v/>
      </c>
      <c r="AB228" s="18">
        <f>SUMPRODUCT((Source_Evolution!$A$3:$A$731=$A228)*(Source_Evolution!$L$3:$L$731&gt;0))</f>
        <v/>
      </c>
      <c r="AC228" s="18">
        <f>SUMPRODUCT((Source_Evolution!$A$3:$A$731=$A228)*(Source_Evolution!$M$3:$M$731&gt;0))</f>
        <v/>
      </c>
      <c r="AD228" s="18">
        <f>SUMPRODUCT((Source_Evolution!$A$3:$A$731=$A228)*(Source_Evolution!$N$3:$N$731&gt;0))</f>
        <v/>
      </c>
      <c r="AE228" s="18">
        <f>SUMPRODUCT((Source_Evolution!$A$3:$A$731=$A228)*(Source_Evolution!$O$3:$O$731&gt;0))</f>
        <v/>
      </c>
      <c r="AF228" s="18">
        <f>SUMPRODUCT((Source_Evolution!$A$3:$A$731=$A228)*(Source_Evolution!$P$3:$P$731&gt;0))</f>
        <v/>
      </c>
      <c r="AG228" s="18">
        <f>SUMPRODUCT((Source_Evolution!$A$3:$A$731=$A228)*(Source_Evolution!$Q$3:$Q$731&gt;0))</f>
        <v/>
      </c>
    </row>
    <row r="229">
      <c r="A229" t="inlineStr">
        <is>
          <t>Company 303</t>
        </is>
      </c>
      <c r="B229" t="inlineStr">
        <is>
          <t>Operations</t>
        </is>
      </c>
      <c r="C229" t="inlineStr">
        <is>
          <t>UK</t>
        </is>
      </c>
      <c r="D229" t="n">
        <v>2014</v>
      </c>
      <c r="E229" s="17">
        <f>SUMIFS(Source_Evolution!$E$3:$E$731,Source_Evolution!$A$3:$A$731,$A229)</f>
        <v/>
      </c>
      <c r="F229" s="17">
        <f>SUMIFS(Source_Evolution!$F$3:$F$731,Source_Evolution!$A$3:$A$731,$A229)</f>
        <v/>
      </c>
      <c r="G229" s="17">
        <f>SUMIFS(Source_Evolution!$G$3:$G$731,Source_Evolution!$A$3:$A$731,$A229)</f>
        <v/>
      </c>
      <c r="H229" s="17">
        <f>SUMIFS(Source_Evolution!$H$3:$H$731,Source_Evolution!$A$3:$A$731,$A229)</f>
        <v/>
      </c>
      <c r="I229" s="17">
        <f>SUMIFS(Source_Evolution!$I$3:$I$731,Source_Evolution!$A$3:$A$731,$A229)</f>
        <v/>
      </c>
      <c r="J229" s="17">
        <f>SUMIFS(Source_Evolution!$J$3:$J$731,Source_Evolution!$A$3:$A$731,$A229)</f>
        <v/>
      </c>
      <c r="K229" s="17">
        <f>SUMIFS(Source_Evolution!$K$3:$K$731,Source_Evolution!$A$3:$A$731,$A229)</f>
        <v/>
      </c>
      <c r="L229" s="17">
        <f>SUMIFS(Source_Evolution!$L$3:$L$731,Source_Evolution!$A$3:$A$731,$A229)</f>
        <v/>
      </c>
      <c r="M229" s="17">
        <f>SUMIFS(Source_Evolution!$M$3:$M$731,Source_Evolution!$A$3:$A$731,$A229)</f>
        <v/>
      </c>
      <c r="N229" s="17">
        <f>SUMIFS(Source_Evolution!$N$3:$N$731,Source_Evolution!$A$3:$A$731,$A229)</f>
        <v/>
      </c>
      <c r="O229" s="17">
        <f>SUMIFS(Source_Evolution!$O$3:$O$731,Source_Evolution!$A$3:$A$731,$A229)</f>
        <v/>
      </c>
      <c r="P229" s="17">
        <f>SUMIFS(Source_Evolution!$P$3:$P$731,Source_Evolution!$A$3:$A$731,$A229)</f>
        <v/>
      </c>
      <c r="Q229" s="17">
        <f>SUMIFS(Source_Evolution!$Q$3:$Q$731,Source_Evolution!$A$3:$A$731,$A229)</f>
        <v/>
      </c>
      <c r="R229" s="17">
        <f>SUM(E229:Q229)</f>
        <v/>
      </c>
      <c r="S229" s="17">
        <f>Q229</f>
        <v/>
      </c>
      <c r="T229">
        <f>IF(B229="Software",1,0)</f>
        <v/>
      </c>
      <c r="U229" s="18">
        <f>SUMPRODUCT((Source_Evolution!$A$3:$A$731=$A229)*(Source_Evolution!$E$3:$E$731&gt;0))</f>
        <v/>
      </c>
      <c r="V229" s="18">
        <f>SUMPRODUCT((Source_Evolution!$A$3:$A$731=$A229)*(Source_Evolution!$F$3:$F$731&gt;0))</f>
        <v/>
      </c>
      <c r="W229" s="18">
        <f>SUMPRODUCT((Source_Evolution!$A$3:$A$731=$A229)*(Source_Evolution!$G$3:$G$731&gt;0))</f>
        <v/>
      </c>
      <c r="X229" s="18">
        <f>SUMPRODUCT((Source_Evolution!$A$3:$A$731=$A229)*(Source_Evolution!$H$3:$H$731&gt;0))</f>
        <v/>
      </c>
      <c r="Y229" s="18">
        <f>SUMPRODUCT((Source_Evolution!$A$3:$A$731=$A229)*(Source_Evolution!$I$3:$I$731&gt;0))</f>
        <v/>
      </c>
      <c r="Z229" s="18">
        <f>SUMPRODUCT((Source_Evolution!$A$3:$A$731=$A229)*(Source_Evolution!$J$3:$J$731&gt;0))</f>
        <v/>
      </c>
      <c r="AA229" s="18">
        <f>SUMPRODUCT((Source_Evolution!$A$3:$A$731=$A229)*(Source_Evolution!$K$3:$K$731&gt;0))</f>
        <v/>
      </c>
      <c r="AB229" s="18">
        <f>SUMPRODUCT((Source_Evolution!$A$3:$A$731=$A229)*(Source_Evolution!$L$3:$L$731&gt;0))</f>
        <v/>
      </c>
      <c r="AC229" s="18">
        <f>SUMPRODUCT((Source_Evolution!$A$3:$A$731=$A229)*(Source_Evolution!$M$3:$M$731&gt;0))</f>
        <v/>
      </c>
      <c r="AD229" s="18">
        <f>SUMPRODUCT((Source_Evolution!$A$3:$A$731=$A229)*(Source_Evolution!$N$3:$N$731&gt;0))</f>
        <v/>
      </c>
      <c r="AE229" s="18">
        <f>SUMPRODUCT((Source_Evolution!$A$3:$A$731=$A229)*(Source_Evolution!$O$3:$O$731&gt;0))</f>
        <v/>
      </c>
      <c r="AF229" s="18">
        <f>SUMPRODUCT((Source_Evolution!$A$3:$A$731=$A229)*(Source_Evolution!$P$3:$P$731&gt;0))</f>
        <v/>
      </c>
      <c r="AG229" s="18">
        <f>SUMPRODUCT((Source_Evolution!$A$3:$A$731=$A229)*(Source_Evolution!$Q$3:$Q$731&gt;0))</f>
        <v/>
      </c>
    </row>
    <row r="230">
      <c r="A230" t="inlineStr">
        <is>
          <t>Company 304</t>
        </is>
      </c>
      <c r="B230" t="inlineStr">
        <is>
          <t>Operations</t>
        </is>
      </c>
      <c r="C230" t="inlineStr">
        <is>
          <t>Norway</t>
        </is>
      </c>
      <c r="D230" t="n">
        <v>2014</v>
      </c>
      <c r="E230" s="17">
        <f>SUMIFS(Source_Evolution!$E$3:$E$731,Source_Evolution!$A$3:$A$731,$A230)</f>
        <v/>
      </c>
      <c r="F230" s="17">
        <f>SUMIFS(Source_Evolution!$F$3:$F$731,Source_Evolution!$A$3:$A$731,$A230)</f>
        <v/>
      </c>
      <c r="G230" s="17">
        <f>SUMIFS(Source_Evolution!$G$3:$G$731,Source_Evolution!$A$3:$A$731,$A230)</f>
        <v/>
      </c>
      <c r="H230" s="17">
        <f>SUMIFS(Source_Evolution!$H$3:$H$731,Source_Evolution!$A$3:$A$731,$A230)</f>
        <v/>
      </c>
      <c r="I230" s="17">
        <f>SUMIFS(Source_Evolution!$I$3:$I$731,Source_Evolution!$A$3:$A$731,$A230)</f>
        <v/>
      </c>
      <c r="J230" s="17">
        <f>SUMIFS(Source_Evolution!$J$3:$J$731,Source_Evolution!$A$3:$A$731,$A230)</f>
        <v/>
      </c>
      <c r="K230" s="17">
        <f>SUMIFS(Source_Evolution!$K$3:$K$731,Source_Evolution!$A$3:$A$731,$A230)</f>
        <v/>
      </c>
      <c r="L230" s="17">
        <f>SUMIFS(Source_Evolution!$L$3:$L$731,Source_Evolution!$A$3:$A$731,$A230)</f>
        <v/>
      </c>
      <c r="M230" s="17">
        <f>SUMIFS(Source_Evolution!$M$3:$M$731,Source_Evolution!$A$3:$A$731,$A230)</f>
        <v/>
      </c>
      <c r="N230" s="17">
        <f>SUMIFS(Source_Evolution!$N$3:$N$731,Source_Evolution!$A$3:$A$731,$A230)</f>
        <v/>
      </c>
      <c r="O230" s="17">
        <f>SUMIFS(Source_Evolution!$O$3:$O$731,Source_Evolution!$A$3:$A$731,$A230)</f>
        <v/>
      </c>
      <c r="P230" s="17">
        <f>SUMIFS(Source_Evolution!$P$3:$P$731,Source_Evolution!$A$3:$A$731,$A230)</f>
        <v/>
      </c>
      <c r="Q230" s="17">
        <f>SUMIFS(Source_Evolution!$Q$3:$Q$731,Source_Evolution!$A$3:$A$731,$A230)</f>
        <v/>
      </c>
      <c r="R230" s="17">
        <f>SUM(E230:Q230)</f>
        <v/>
      </c>
      <c r="S230" s="17">
        <f>Q230</f>
        <v/>
      </c>
      <c r="T230">
        <f>IF(B230="Software",1,0)</f>
        <v/>
      </c>
      <c r="U230" s="18">
        <f>SUMPRODUCT((Source_Evolution!$A$3:$A$731=$A230)*(Source_Evolution!$E$3:$E$731&gt;0))</f>
        <v/>
      </c>
      <c r="V230" s="18">
        <f>SUMPRODUCT((Source_Evolution!$A$3:$A$731=$A230)*(Source_Evolution!$F$3:$F$731&gt;0))</f>
        <v/>
      </c>
      <c r="W230" s="18">
        <f>SUMPRODUCT((Source_Evolution!$A$3:$A$731=$A230)*(Source_Evolution!$G$3:$G$731&gt;0))</f>
        <v/>
      </c>
      <c r="X230" s="18">
        <f>SUMPRODUCT((Source_Evolution!$A$3:$A$731=$A230)*(Source_Evolution!$H$3:$H$731&gt;0))</f>
        <v/>
      </c>
      <c r="Y230" s="18">
        <f>SUMPRODUCT((Source_Evolution!$A$3:$A$731=$A230)*(Source_Evolution!$I$3:$I$731&gt;0))</f>
        <v/>
      </c>
      <c r="Z230" s="18">
        <f>SUMPRODUCT((Source_Evolution!$A$3:$A$731=$A230)*(Source_Evolution!$J$3:$J$731&gt;0))</f>
        <v/>
      </c>
      <c r="AA230" s="18">
        <f>SUMPRODUCT((Source_Evolution!$A$3:$A$731=$A230)*(Source_Evolution!$K$3:$K$731&gt;0))</f>
        <v/>
      </c>
      <c r="AB230" s="18">
        <f>SUMPRODUCT((Source_Evolution!$A$3:$A$731=$A230)*(Source_Evolution!$L$3:$L$731&gt;0))</f>
        <v/>
      </c>
      <c r="AC230" s="18">
        <f>SUMPRODUCT((Source_Evolution!$A$3:$A$731=$A230)*(Source_Evolution!$M$3:$M$731&gt;0))</f>
        <v/>
      </c>
      <c r="AD230" s="18">
        <f>SUMPRODUCT((Source_Evolution!$A$3:$A$731=$A230)*(Source_Evolution!$N$3:$N$731&gt;0))</f>
        <v/>
      </c>
      <c r="AE230" s="18">
        <f>SUMPRODUCT((Source_Evolution!$A$3:$A$731=$A230)*(Source_Evolution!$O$3:$O$731&gt;0))</f>
        <v/>
      </c>
      <c r="AF230" s="18">
        <f>SUMPRODUCT((Source_Evolution!$A$3:$A$731=$A230)*(Source_Evolution!$P$3:$P$731&gt;0))</f>
        <v/>
      </c>
      <c r="AG230" s="18">
        <f>SUMPRODUCT((Source_Evolution!$A$3:$A$731=$A230)*(Source_Evolution!$Q$3:$Q$731&gt;0))</f>
        <v/>
      </c>
    </row>
    <row r="231">
      <c r="A231" t="inlineStr">
        <is>
          <t>Company 305</t>
        </is>
      </c>
      <c r="B231" t="inlineStr">
        <is>
          <t>Operations</t>
        </is>
      </c>
      <c r="C231" t="inlineStr">
        <is>
          <t>France</t>
        </is>
      </c>
      <c r="D231" t="n">
        <v>2014</v>
      </c>
      <c r="E231" s="17">
        <f>SUMIFS(Source_Evolution!$E$3:$E$731,Source_Evolution!$A$3:$A$731,$A231)</f>
        <v/>
      </c>
      <c r="F231" s="17">
        <f>SUMIFS(Source_Evolution!$F$3:$F$731,Source_Evolution!$A$3:$A$731,$A231)</f>
        <v/>
      </c>
      <c r="G231" s="17">
        <f>SUMIFS(Source_Evolution!$G$3:$G$731,Source_Evolution!$A$3:$A$731,$A231)</f>
        <v/>
      </c>
      <c r="H231" s="17">
        <f>SUMIFS(Source_Evolution!$H$3:$H$731,Source_Evolution!$A$3:$A$731,$A231)</f>
        <v/>
      </c>
      <c r="I231" s="17">
        <f>SUMIFS(Source_Evolution!$I$3:$I$731,Source_Evolution!$A$3:$A$731,$A231)</f>
        <v/>
      </c>
      <c r="J231" s="17">
        <f>SUMIFS(Source_Evolution!$J$3:$J$731,Source_Evolution!$A$3:$A$731,$A231)</f>
        <v/>
      </c>
      <c r="K231" s="17">
        <f>SUMIFS(Source_Evolution!$K$3:$K$731,Source_Evolution!$A$3:$A$731,$A231)</f>
        <v/>
      </c>
      <c r="L231" s="17">
        <f>SUMIFS(Source_Evolution!$L$3:$L$731,Source_Evolution!$A$3:$A$731,$A231)</f>
        <v/>
      </c>
      <c r="M231" s="17">
        <f>SUMIFS(Source_Evolution!$M$3:$M$731,Source_Evolution!$A$3:$A$731,$A231)</f>
        <v/>
      </c>
      <c r="N231" s="17">
        <f>SUMIFS(Source_Evolution!$N$3:$N$731,Source_Evolution!$A$3:$A$731,$A231)</f>
        <v/>
      </c>
      <c r="O231" s="17">
        <f>SUMIFS(Source_Evolution!$O$3:$O$731,Source_Evolution!$A$3:$A$731,$A231)</f>
        <v/>
      </c>
      <c r="P231" s="17">
        <f>SUMIFS(Source_Evolution!$P$3:$P$731,Source_Evolution!$A$3:$A$731,$A231)</f>
        <v/>
      </c>
      <c r="Q231" s="17">
        <f>SUMIFS(Source_Evolution!$Q$3:$Q$731,Source_Evolution!$A$3:$A$731,$A231)</f>
        <v/>
      </c>
      <c r="R231" s="17">
        <f>SUM(E231:Q231)</f>
        <v/>
      </c>
      <c r="S231" s="17">
        <f>Q231</f>
        <v/>
      </c>
      <c r="T231">
        <f>IF(B231="Software",1,0)</f>
        <v/>
      </c>
      <c r="U231" s="18">
        <f>SUMPRODUCT((Source_Evolution!$A$3:$A$731=$A231)*(Source_Evolution!$E$3:$E$731&gt;0))</f>
        <v/>
      </c>
      <c r="V231" s="18">
        <f>SUMPRODUCT((Source_Evolution!$A$3:$A$731=$A231)*(Source_Evolution!$F$3:$F$731&gt;0))</f>
        <v/>
      </c>
      <c r="W231" s="18">
        <f>SUMPRODUCT((Source_Evolution!$A$3:$A$731=$A231)*(Source_Evolution!$G$3:$G$731&gt;0))</f>
        <v/>
      </c>
      <c r="X231" s="18">
        <f>SUMPRODUCT((Source_Evolution!$A$3:$A$731=$A231)*(Source_Evolution!$H$3:$H$731&gt;0))</f>
        <v/>
      </c>
      <c r="Y231" s="18">
        <f>SUMPRODUCT((Source_Evolution!$A$3:$A$731=$A231)*(Source_Evolution!$I$3:$I$731&gt;0))</f>
        <v/>
      </c>
      <c r="Z231" s="18">
        <f>SUMPRODUCT((Source_Evolution!$A$3:$A$731=$A231)*(Source_Evolution!$J$3:$J$731&gt;0))</f>
        <v/>
      </c>
      <c r="AA231" s="18">
        <f>SUMPRODUCT((Source_Evolution!$A$3:$A$731=$A231)*(Source_Evolution!$K$3:$K$731&gt;0))</f>
        <v/>
      </c>
      <c r="AB231" s="18">
        <f>SUMPRODUCT((Source_Evolution!$A$3:$A$731=$A231)*(Source_Evolution!$L$3:$L$731&gt;0))</f>
        <v/>
      </c>
      <c r="AC231" s="18">
        <f>SUMPRODUCT((Source_Evolution!$A$3:$A$731=$A231)*(Source_Evolution!$M$3:$M$731&gt;0))</f>
        <v/>
      </c>
      <c r="AD231" s="18">
        <f>SUMPRODUCT((Source_Evolution!$A$3:$A$731=$A231)*(Source_Evolution!$N$3:$N$731&gt;0))</f>
        <v/>
      </c>
      <c r="AE231" s="18">
        <f>SUMPRODUCT((Source_Evolution!$A$3:$A$731=$A231)*(Source_Evolution!$O$3:$O$731&gt;0))</f>
        <v/>
      </c>
      <c r="AF231" s="18">
        <f>SUMPRODUCT((Source_Evolution!$A$3:$A$731=$A231)*(Source_Evolution!$P$3:$P$731&gt;0))</f>
        <v/>
      </c>
      <c r="AG231" s="18">
        <f>SUMPRODUCT((Source_Evolution!$A$3:$A$731=$A231)*(Source_Evolution!$Q$3:$Q$731&gt;0))</f>
        <v/>
      </c>
    </row>
    <row r="232">
      <c r="A232" t="inlineStr">
        <is>
          <t>Company 306</t>
        </is>
      </c>
      <c r="B232" t="inlineStr">
        <is>
          <t>Software</t>
        </is>
      </c>
      <c r="C232" t="inlineStr">
        <is>
          <t>UK</t>
        </is>
      </c>
      <c r="D232" t="n">
        <v>2014</v>
      </c>
      <c r="E232" s="17">
        <f>SUMIFS(Source_Evolution!$E$3:$E$731,Source_Evolution!$A$3:$A$731,$A232)</f>
        <v/>
      </c>
      <c r="F232" s="17">
        <f>SUMIFS(Source_Evolution!$F$3:$F$731,Source_Evolution!$A$3:$A$731,$A232)</f>
        <v/>
      </c>
      <c r="G232" s="17">
        <f>SUMIFS(Source_Evolution!$G$3:$G$731,Source_Evolution!$A$3:$A$731,$A232)</f>
        <v/>
      </c>
      <c r="H232" s="17">
        <f>SUMIFS(Source_Evolution!$H$3:$H$731,Source_Evolution!$A$3:$A$731,$A232)</f>
        <v/>
      </c>
      <c r="I232" s="17">
        <f>SUMIFS(Source_Evolution!$I$3:$I$731,Source_Evolution!$A$3:$A$731,$A232)</f>
        <v/>
      </c>
      <c r="J232" s="17">
        <f>SUMIFS(Source_Evolution!$J$3:$J$731,Source_Evolution!$A$3:$A$731,$A232)</f>
        <v/>
      </c>
      <c r="K232" s="17">
        <f>SUMIFS(Source_Evolution!$K$3:$K$731,Source_Evolution!$A$3:$A$731,$A232)</f>
        <v/>
      </c>
      <c r="L232" s="17">
        <f>SUMIFS(Source_Evolution!$L$3:$L$731,Source_Evolution!$A$3:$A$731,$A232)</f>
        <v/>
      </c>
      <c r="M232" s="17">
        <f>SUMIFS(Source_Evolution!$M$3:$M$731,Source_Evolution!$A$3:$A$731,$A232)</f>
        <v/>
      </c>
      <c r="N232" s="17">
        <f>SUMIFS(Source_Evolution!$N$3:$N$731,Source_Evolution!$A$3:$A$731,$A232)</f>
        <v/>
      </c>
      <c r="O232" s="17">
        <f>SUMIFS(Source_Evolution!$O$3:$O$731,Source_Evolution!$A$3:$A$731,$A232)</f>
        <v/>
      </c>
      <c r="P232" s="17">
        <f>SUMIFS(Source_Evolution!$P$3:$P$731,Source_Evolution!$A$3:$A$731,$A232)</f>
        <v/>
      </c>
      <c r="Q232" s="17">
        <f>SUMIFS(Source_Evolution!$Q$3:$Q$731,Source_Evolution!$A$3:$A$731,$A232)</f>
        <v/>
      </c>
      <c r="R232" s="17">
        <f>SUM(E232:Q232)</f>
        <v/>
      </c>
      <c r="S232" s="17">
        <f>Q232</f>
        <v/>
      </c>
      <c r="T232">
        <f>IF(B232="Software",1,0)</f>
        <v/>
      </c>
      <c r="U232" s="18">
        <f>SUMPRODUCT((Source_Evolution!$A$3:$A$731=$A232)*(Source_Evolution!$E$3:$E$731&gt;0))</f>
        <v/>
      </c>
      <c r="V232" s="18">
        <f>SUMPRODUCT((Source_Evolution!$A$3:$A$731=$A232)*(Source_Evolution!$F$3:$F$731&gt;0))</f>
        <v/>
      </c>
      <c r="W232" s="18">
        <f>SUMPRODUCT((Source_Evolution!$A$3:$A$731=$A232)*(Source_Evolution!$G$3:$G$731&gt;0))</f>
        <v/>
      </c>
      <c r="X232" s="18">
        <f>SUMPRODUCT((Source_Evolution!$A$3:$A$731=$A232)*(Source_Evolution!$H$3:$H$731&gt;0))</f>
        <v/>
      </c>
      <c r="Y232" s="18">
        <f>SUMPRODUCT((Source_Evolution!$A$3:$A$731=$A232)*(Source_Evolution!$I$3:$I$731&gt;0))</f>
        <v/>
      </c>
      <c r="Z232" s="18">
        <f>SUMPRODUCT((Source_Evolution!$A$3:$A$731=$A232)*(Source_Evolution!$J$3:$J$731&gt;0))</f>
        <v/>
      </c>
      <c r="AA232" s="18">
        <f>SUMPRODUCT((Source_Evolution!$A$3:$A$731=$A232)*(Source_Evolution!$K$3:$K$731&gt;0))</f>
        <v/>
      </c>
      <c r="AB232" s="18">
        <f>SUMPRODUCT((Source_Evolution!$A$3:$A$731=$A232)*(Source_Evolution!$L$3:$L$731&gt;0))</f>
        <v/>
      </c>
      <c r="AC232" s="18">
        <f>SUMPRODUCT((Source_Evolution!$A$3:$A$731=$A232)*(Source_Evolution!$M$3:$M$731&gt;0))</f>
        <v/>
      </c>
      <c r="AD232" s="18">
        <f>SUMPRODUCT((Source_Evolution!$A$3:$A$731=$A232)*(Source_Evolution!$N$3:$N$731&gt;0))</f>
        <v/>
      </c>
      <c r="AE232" s="18">
        <f>SUMPRODUCT((Source_Evolution!$A$3:$A$731=$A232)*(Source_Evolution!$O$3:$O$731&gt;0))</f>
        <v/>
      </c>
      <c r="AF232" s="18">
        <f>SUMPRODUCT((Source_Evolution!$A$3:$A$731=$A232)*(Source_Evolution!$P$3:$P$731&gt;0))</f>
        <v/>
      </c>
      <c r="AG232" s="18">
        <f>SUMPRODUCT((Source_Evolution!$A$3:$A$731=$A232)*(Source_Evolution!$Q$3:$Q$731&gt;0))</f>
        <v/>
      </c>
    </row>
    <row r="233">
      <c r="A233" t="inlineStr">
        <is>
          <t>Company 307</t>
        </is>
      </c>
      <c r="B233" t="inlineStr">
        <is>
          <t>Operations</t>
        </is>
      </c>
      <c r="C233" t="inlineStr">
        <is>
          <t>Hungary</t>
        </is>
      </c>
      <c r="D233" t="n">
        <v>2018</v>
      </c>
      <c r="E233" s="17">
        <f>SUMIFS(Source_Evolution!$E$3:$E$731,Source_Evolution!$A$3:$A$731,$A233)</f>
        <v/>
      </c>
      <c r="F233" s="17">
        <f>SUMIFS(Source_Evolution!$F$3:$F$731,Source_Evolution!$A$3:$A$731,$A233)</f>
        <v/>
      </c>
      <c r="G233" s="17">
        <f>SUMIFS(Source_Evolution!$G$3:$G$731,Source_Evolution!$A$3:$A$731,$A233)</f>
        <v/>
      </c>
      <c r="H233" s="17">
        <f>SUMIFS(Source_Evolution!$H$3:$H$731,Source_Evolution!$A$3:$A$731,$A233)</f>
        <v/>
      </c>
      <c r="I233" s="17">
        <f>SUMIFS(Source_Evolution!$I$3:$I$731,Source_Evolution!$A$3:$A$731,$A233)</f>
        <v/>
      </c>
      <c r="J233" s="17">
        <f>SUMIFS(Source_Evolution!$J$3:$J$731,Source_Evolution!$A$3:$A$731,$A233)</f>
        <v/>
      </c>
      <c r="K233" s="17">
        <f>SUMIFS(Source_Evolution!$K$3:$K$731,Source_Evolution!$A$3:$A$731,$A233)</f>
        <v/>
      </c>
      <c r="L233" s="17">
        <f>SUMIFS(Source_Evolution!$L$3:$L$731,Source_Evolution!$A$3:$A$731,$A233)</f>
        <v/>
      </c>
      <c r="M233" s="17">
        <f>SUMIFS(Source_Evolution!$M$3:$M$731,Source_Evolution!$A$3:$A$731,$A233)</f>
        <v/>
      </c>
      <c r="N233" s="17">
        <f>SUMIFS(Source_Evolution!$N$3:$N$731,Source_Evolution!$A$3:$A$731,$A233)</f>
        <v/>
      </c>
      <c r="O233" s="17">
        <f>SUMIFS(Source_Evolution!$O$3:$O$731,Source_Evolution!$A$3:$A$731,$A233)</f>
        <v/>
      </c>
      <c r="P233" s="17">
        <f>SUMIFS(Source_Evolution!$P$3:$P$731,Source_Evolution!$A$3:$A$731,$A233)</f>
        <v/>
      </c>
      <c r="Q233" s="17">
        <f>SUMIFS(Source_Evolution!$Q$3:$Q$731,Source_Evolution!$A$3:$A$731,$A233)</f>
        <v/>
      </c>
      <c r="R233" s="17">
        <f>SUM(E233:Q233)</f>
        <v/>
      </c>
      <c r="S233" s="17">
        <f>Q233</f>
        <v/>
      </c>
      <c r="T233">
        <f>IF(B233="Software",1,0)</f>
        <v/>
      </c>
      <c r="U233" s="18">
        <f>SUMPRODUCT((Source_Evolution!$A$3:$A$731=$A233)*(Source_Evolution!$E$3:$E$731&gt;0))</f>
        <v/>
      </c>
      <c r="V233" s="18">
        <f>SUMPRODUCT((Source_Evolution!$A$3:$A$731=$A233)*(Source_Evolution!$F$3:$F$731&gt;0))</f>
        <v/>
      </c>
      <c r="W233" s="18">
        <f>SUMPRODUCT((Source_Evolution!$A$3:$A$731=$A233)*(Source_Evolution!$G$3:$G$731&gt;0))</f>
        <v/>
      </c>
      <c r="X233" s="18">
        <f>SUMPRODUCT((Source_Evolution!$A$3:$A$731=$A233)*(Source_Evolution!$H$3:$H$731&gt;0))</f>
        <v/>
      </c>
      <c r="Y233" s="18">
        <f>SUMPRODUCT((Source_Evolution!$A$3:$A$731=$A233)*(Source_Evolution!$I$3:$I$731&gt;0))</f>
        <v/>
      </c>
      <c r="Z233" s="18">
        <f>SUMPRODUCT((Source_Evolution!$A$3:$A$731=$A233)*(Source_Evolution!$J$3:$J$731&gt;0))</f>
        <v/>
      </c>
      <c r="AA233" s="18">
        <f>SUMPRODUCT((Source_Evolution!$A$3:$A$731=$A233)*(Source_Evolution!$K$3:$K$731&gt;0))</f>
        <v/>
      </c>
      <c r="AB233" s="18">
        <f>SUMPRODUCT((Source_Evolution!$A$3:$A$731=$A233)*(Source_Evolution!$L$3:$L$731&gt;0))</f>
        <v/>
      </c>
      <c r="AC233" s="18">
        <f>SUMPRODUCT((Source_Evolution!$A$3:$A$731=$A233)*(Source_Evolution!$M$3:$M$731&gt;0))</f>
        <v/>
      </c>
      <c r="AD233" s="18">
        <f>SUMPRODUCT((Source_Evolution!$A$3:$A$731=$A233)*(Source_Evolution!$N$3:$N$731&gt;0))</f>
        <v/>
      </c>
      <c r="AE233" s="18">
        <f>SUMPRODUCT((Source_Evolution!$A$3:$A$731=$A233)*(Source_Evolution!$O$3:$O$731&gt;0))</f>
        <v/>
      </c>
      <c r="AF233" s="18">
        <f>SUMPRODUCT((Source_Evolution!$A$3:$A$731=$A233)*(Source_Evolution!$P$3:$P$731&gt;0))</f>
        <v/>
      </c>
      <c r="AG233" s="18">
        <f>SUMPRODUCT((Source_Evolution!$A$3:$A$731=$A233)*(Source_Evolution!$Q$3:$Q$731&gt;0))</f>
        <v/>
      </c>
    </row>
    <row r="234">
      <c r="A234" t="inlineStr">
        <is>
          <t>Company 308</t>
        </is>
      </c>
      <c r="B234" t="inlineStr">
        <is>
          <t>Software</t>
        </is>
      </c>
      <c r="C234" t="inlineStr">
        <is>
          <t>Hungary</t>
        </is>
      </c>
      <c r="D234" t="n">
        <v>2017</v>
      </c>
      <c r="E234" s="17">
        <f>SUMIFS(Source_Evolution!$E$3:$E$731,Source_Evolution!$A$3:$A$731,$A234)</f>
        <v/>
      </c>
      <c r="F234" s="17">
        <f>SUMIFS(Source_Evolution!$F$3:$F$731,Source_Evolution!$A$3:$A$731,$A234)</f>
        <v/>
      </c>
      <c r="G234" s="17">
        <f>SUMIFS(Source_Evolution!$G$3:$G$731,Source_Evolution!$A$3:$A$731,$A234)</f>
        <v/>
      </c>
      <c r="H234" s="17">
        <f>SUMIFS(Source_Evolution!$H$3:$H$731,Source_Evolution!$A$3:$A$731,$A234)</f>
        <v/>
      </c>
      <c r="I234" s="17">
        <f>SUMIFS(Source_Evolution!$I$3:$I$731,Source_Evolution!$A$3:$A$731,$A234)</f>
        <v/>
      </c>
      <c r="J234" s="17">
        <f>SUMIFS(Source_Evolution!$J$3:$J$731,Source_Evolution!$A$3:$A$731,$A234)</f>
        <v/>
      </c>
      <c r="K234" s="17">
        <f>SUMIFS(Source_Evolution!$K$3:$K$731,Source_Evolution!$A$3:$A$731,$A234)</f>
        <v/>
      </c>
      <c r="L234" s="17">
        <f>SUMIFS(Source_Evolution!$L$3:$L$731,Source_Evolution!$A$3:$A$731,$A234)</f>
        <v/>
      </c>
      <c r="M234" s="17">
        <f>SUMIFS(Source_Evolution!$M$3:$M$731,Source_Evolution!$A$3:$A$731,$A234)</f>
        <v/>
      </c>
      <c r="N234" s="17">
        <f>SUMIFS(Source_Evolution!$N$3:$N$731,Source_Evolution!$A$3:$A$731,$A234)</f>
        <v/>
      </c>
      <c r="O234" s="17">
        <f>SUMIFS(Source_Evolution!$O$3:$O$731,Source_Evolution!$A$3:$A$731,$A234)</f>
        <v/>
      </c>
      <c r="P234" s="17">
        <f>SUMIFS(Source_Evolution!$P$3:$P$731,Source_Evolution!$A$3:$A$731,$A234)</f>
        <v/>
      </c>
      <c r="Q234" s="17">
        <f>SUMIFS(Source_Evolution!$Q$3:$Q$731,Source_Evolution!$A$3:$A$731,$A234)</f>
        <v/>
      </c>
      <c r="R234" s="17">
        <f>SUM(E234:Q234)</f>
        <v/>
      </c>
      <c r="S234" s="17">
        <f>Q234</f>
        <v/>
      </c>
      <c r="T234">
        <f>IF(B234="Software",1,0)</f>
        <v/>
      </c>
      <c r="U234" s="18">
        <f>SUMPRODUCT((Source_Evolution!$A$3:$A$731=$A234)*(Source_Evolution!$E$3:$E$731&gt;0))</f>
        <v/>
      </c>
      <c r="V234" s="18">
        <f>SUMPRODUCT((Source_Evolution!$A$3:$A$731=$A234)*(Source_Evolution!$F$3:$F$731&gt;0))</f>
        <v/>
      </c>
      <c r="W234" s="18">
        <f>SUMPRODUCT((Source_Evolution!$A$3:$A$731=$A234)*(Source_Evolution!$G$3:$G$731&gt;0))</f>
        <v/>
      </c>
      <c r="X234" s="18">
        <f>SUMPRODUCT((Source_Evolution!$A$3:$A$731=$A234)*(Source_Evolution!$H$3:$H$731&gt;0))</f>
        <v/>
      </c>
      <c r="Y234" s="18">
        <f>SUMPRODUCT((Source_Evolution!$A$3:$A$731=$A234)*(Source_Evolution!$I$3:$I$731&gt;0))</f>
        <v/>
      </c>
      <c r="Z234" s="18">
        <f>SUMPRODUCT((Source_Evolution!$A$3:$A$731=$A234)*(Source_Evolution!$J$3:$J$731&gt;0))</f>
        <v/>
      </c>
      <c r="AA234" s="18">
        <f>SUMPRODUCT((Source_Evolution!$A$3:$A$731=$A234)*(Source_Evolution!$K$3:$K$731&gt;0))</f>
        <v/>
      </c>
      <c r="AB234" s="18">
        <f>SUMPRODUCT((Source_Evolution!$A$3:$A$731=$A234)*(Source_Evolution!$L$3:$L$731&gt;0))</f>
        <v/>
      </c>
      <c r="AC234" s="18">
        <f>SUMPRODUCT((Source_Evolution!$A$3:$A$731=$A234)*(Source_Evolution!$M$3:$M$731&gt;0))</f>
        <v/>
      </c>
      <c r="AD234" s="18">
        <f>SUMPRODUCT((Source_Evolution!$A$3:$A$731=$A234)*(Source_Evolution!$N$3:$N$731&gt;0))</f>
        <v/>
      </c>
      <c r="AE234" s="18">
        <f>SUMPRODUCT((Source_Evolution!$A$3:$A$731=$A234)*(Source_Evolution!$O$3:$O$731&gt;0))</f>
        <v/>
      </c>
      <c r="AF234" s="18">
        <f>SUMPRODUCT((Source_Evolution!$A$3:$A$731=$A234)*(Source_Evolution!$P$3:$P$731&gt;0))</f>
        <v/>
      </c>
      <c r="AG234" s="18">
        <f>SUMPRODUCT((Source_Evolution!$A$3:$A$731=$A234)*(Source_Evolution!$Q$3:$Q$731&gt;0))</f>
        <v/>
      </c>
    </row>
    <row r="235">
      <c r="A235" t="inlineStr">
        <is>
          <t>Company 309</t>
        </is>
      </c>
      <c r="B235" t="inlineStr">
        <is>
          <t>Software</t>
        </is>
      </c>
      <c r="C235" t="inlineStr">
        <is>
          <t>Hungary</t>
        </is>
      </c>
      <c r="D235" t="n">
        <v>2016</v>
      </c>
      <c r="E235" s="17">
        <f>SUMIFS(Source_Evolution!$E$3:$E$731,Source_Evolution!$A$3:$A$731,$A235)</f>
        <v/>
      </c>
      <c r="F235" s="17">
        <f>SUMIFS(Source_Evolution!$F$3:$F$731,Source_Evolution!$A$3:$A$731,$A235)</f>
        <v/>
      </c>
      <c r="G235" s="17">
        <f>SUMIFS(Source_Evolution!$G$3:$G$731,Source_Evolution!$A$3:$A$731,$A235)</f>
        <v/>
      </c>
      <c r="H235" s="17">
        <f>SUMIFS(Source_Evolution!$H$3:$H$731,Source_Evolution!$A$3:$A$731,$A235)</f>
        <v/>
      </c>
      <c r="I235" s="17">
        <f>SUMIFS(Source_Evolution!$I$3:$I$731,Source_Evolution!$A$3:$A$731,$A235)</f>
        <v/>
      </c>
      <c r="J235" s="17">
        <f>SUMIFS(Source_Evolution!$J$3:$J$731,Source_Evolution!$A$3:$A$731,$A235)</f>
        <v/>
      </c>
      <c r="K235" s="17">
        <f>SUMIFS(Source_Evolution!$K$3:$K$731,Source_Evolution!$A$3:$A$731,$A235)</f>
        <v/>
      </c>
      <c r="L235" s="17">
        <f>SUMIFS(Source_Evolution!$L$3:$L$731,Source_Evolution!$A$3:$A$731,$A235)</f>
        <v/>
      </c>
      <c r="M235" s="17">
        <f>SUMIFS(Source_Evolution!$M$3:$M$731,Source_Evolution!$A$3:$A$731,$A235)</f>
        <v/>
      </c>
      <c r="N235" s="17">
        <f>SUMIFS(Source_Evolution!$N$3:$N$731,Source_Evolution!$A$3:$A$731,$A235)</f>
        <v/>
      </c>
      <c r="O235" s="17">
        <f>SUMIFS(Source_Evolution!$O$3:$O$731,Source_Evolution!$A$3:$A$731,$A235)</f>
        <v/>
      </c>
      <c r="P235" s="17">
        <f>SUMIFS(Source_Evolution!$P$3:$P$731,Source_Evolution!$A$3:$A$731,$A235)</f>
        <v/>
      </c>
      <c r="Q235" s="17">
        <f>SUMIFS(Source_Evolution!$Q$3:$Q$731,Source_Evolution!$A$3:$A$731,$A235)</f>
        <v/>
      </c>
      <c r="R235" s="17">
        <f>SUM(E235:Q235)</f>
        <v/>
      </c>
      <c r="S235" s="17">
        <f>Q235</f>
        <v/>
      </c>
      <c r="T235">
        <f>IF(B235="Software",1,0)</f>
        <v/>
      </c>
      <c r="U235" s="18">
        <f>SUMPRODUCT((Source_Evolution!$A$3:$A$731=$A235)*(Source_Evolution!$E$3:$E$731&gt;0))</f>
        <v/>
      </c>
      <c r="V235" s="18">
        <f>SUMPRODUCT((Source_Evolution!$A$3:$A$731=$A235)*(Source_Evolution!$F$3:$F$731&gt;0))</f>
        <v/>
      </c>
      <c r="W235" s="18">
        <f>SUMPRODUCT((Source_Evolution!$A$3:$A$731=$A235)*(Source_Evolution!$G$3:$G$731&gt;0))</f>
        <v/>
      </c>
      <c r="X235" s="18">
        <f>SUMPRODUCT((Source_Evolution!$A$3:$A$731=$A235)*(Source_Evolution!$H$3:$H$731&gt;0))</f>
        <v/>
      </c>
      <c r="Y235" s="18">
        <f>SUMPRODUCT((Source_Evolution!$A$3:$A$731=$A235)*(Source_Evolution!$I$3:$I$731&gt;0))</f>
        <v/>
      </c>
      <c r="Z235" s="18">
        <f>SUMPRODUCT((Source_Evolution!$A$3:$A$731=$A235)*(Source_Evolution!$J$3:$J$731&gt;0))</f>
        <v/>
      </c>
      <c r="AA235" s="18">
        <f>SUMPRODUCT((Source_Evolution!$A$3:$A$731=$A235)*(Source_Evolution!$K$3:$K$731&gt;0))</f>
        <v/>
      </c>
      <c r="AB235" s="18">
        <f>SUMPRODUCT((Source_Evolution!$A$3:$A$731=$A235)*(Source_Evolution!$L$3:$L$731&gt;0))</f>
        <v/>
      </c>
      <c r="AC235" s="18">
        <f>SUMPRODUCT((Source_Evolution!$A$3:$A$731=$A235)*(Source_Evolution!$M$3:$M$731&gt;0))</f>
        <v/>
      </c>
      <c r="AD235" s="18">
        <f>SUMPRODUCT((Source_Evolution!$A$3:$A$731=$A235)*(Source_Evolution!$N$3:$N$731&gt;0))</f>
        <v/>
      </c>
      <c r="AE235" s="18">
        <f>SUMPRODUCT((Source_Evolution!$A$3:$A$731=$A235)*(Source_Evolution!$O$3:$O$731&gt;0))</f>
        <v/>
      </c>
      <c r="AF235" s="18">
        <f>SUMPRODUCT((Source_Evolution!$A$3:$A$731=$A235)*(Source_Evolution!$P$3:$P$731&gt;0))</f>
        <v/>
      </c>
      <c r="AG235" s="18">
        <f>SUMPRODUCT((Source_Evolution!$A$3:$A$731=$A235)*(Source_Evolution!$Q$3:$Q$731&gt;0))</f>
        <v/>
      </c>
    </row>
    <row r="236">
      <c r="A236" t="inlineStr">
        <is>
          <t>Company 31</t>
        </is>
      </c>
      <c r="B236" t="inlineStr">
        <is>
          <t>Operations</t>
        </is>
      </c>
      <c r="C236" t="inlineStr">
        <is>
          <t>Netherlands</t>
        </is>
      </c>
      <c r="D236" t="n">
        <v>2014</v>
      </c>
      <c r="E236" s="17">
        <f>SUMIFS(Source_Evolution!$E$3:$E$731,Source_Evolution!$A$3:$A$731,$A236)</f>
        <v/>
      </c>
      <c r="F236" s="17">
        <f>SUMIFS(Source_Evolution!$F$3:$F$731,Source_Evolution!$A$3:$A$731,$A236)</f>
        <v/>
      </c>
      <c r="G236" s="17">
        <f>SUMIFS(Source_Evolution!$G$3:$G$731,Source_Evolution!$A$3:$A$731,$A236)</f>
        <v/>
      </c>
      <c r="H236" s="17">
        <f>SUMIFS(Source_Evolution!$H$3:$H$731,Source_Evolution!$A$3:$A$731,$A236)</f>
        <v/>
      </c>
      <c r="I236" s="17">
        <f>SUMIFS(Source_Evolution!$I$3:$I$731,Source_Evolution!$A$3:$A$731,$A236)</f>
        <v/>
      </c>
      <c r="J236" s="17">
        <f>SUMIFS(Source_Evolution!$J$3:$J$731,Source_Evolution!$A$3:$A$731,$A236)</f>
        <v/>
      </c>
      <c r="K236" s="17">
        <f>SUMIFS(Source_Evolution!$K$3:$K$731,Source_Evolution!$A$3:$A$731,$A236)</f>
        <v/>
      </c>
      <c r="L236" s="17">
        <f>SUMIFS(Source_Evolution!$L$3:$L$731,Source_Evolution!$A$3:$A$731,$A236)</f>
        <v/>
      </c>
      <c r="M236" s="17">
        <f>SUMIFS(Source_Evolution!$M$3:$M$731,Source_Evolution!$A$3:$A$731,$A236)</f>
        <v/>
      </c>
      <c r="N236" s="17">
        <f>SUMIFS(Source_Evolution!$N$3:$N$731,Source_Evolution!$A$3:$A$731,$A236)</f>
        <v/>
      </c>
      <c r="O236" s="17">
        <f>SUMIFS(Source_Evolution!$O$3:$O$731,Source_Evolution!$A$3:$A$731,$A236)</f>
        <v/>
      </c>
      <c r="P236" s="17">
        <f>SUMIFS(Source_Evolution!$P$3:$P$731,Source_Evolution!$A$3:$A$731,$A236)</f>
        <v/>
      </c>
      <c r="Q236" s="17">
        <f>SUMIFS(Source_Evolution!$Q$3:$Q$731,Source_Evolution!$A$3:$A$731,$A236)</f>
        <v/>
      </c>
      <c r="R236" s="17">
        <f>SUM(E236:Q236)</f>
        <v/>
      </c>
      <c r="S236" s="17">
        <f>Q236</f>
        <v/>
      </c>
      <c r="T236">
        <f>IF(B236="Software",1,0)</f>
        <v/>
      </c>
      <c r="U236" s="18">
        <f>SUMPRODUCT((Source_Evolution!$A$3:$A$731=$A236)*(Source_Evolution!$E$3:$E$731&gt;0))</f>
        <v/>
      </c>
      <c r="V236" s="18">
        <f>SUMPRODUCT((Source_Evolution!$A$3:$A$731=$A236)*(Source_Evolution!$F$3:$F$731&gt;0))</f>
        <v/>
      </c>
      <c r="W236" s="18">
        <f>SUMPRODUCT((Source_Evolution!$A$3:$A$731=$A236)*(Source_Evolution!$G$3:$G$731&gt;0))</f>
        <v/>
      </c>
      <c r="X236" s="18">
        <f>SUMPRODUCT((Source_Evolution!$A$3:$A$731=$A236)*(Source_Evolution!$H$3:$H$731&gt;0))</f>
        <v/>
      </c>
      <c r="Y236" s="18">
        <f>SUMPRODUCT((Source_Evolution!$A$3:$A$731=$A236)*(Source_Evolution!$I$3:$I$731&gt;0))</f>
        <v/>
      </c>
      <c r="Z236" s="18">
        <f>SUMPRODUCT((Source_Evolution!$A$3:$A$731=$A236)*(Source_Evolution!$J$3:$J$731&gt;0))</f>
        <v/>
      </c>
      <c r="AA236" s="18">
        <f>SUMPRODUCT((Source_Evolution!$A$3:$A$731=$A236)*(Source_Evolution!$K$3:$K$731&gt;0))</f>
        <v/>
      </c>
      <c r="AB236" s="18">
        <f>SUMPRODUCT((Source_Evolution!$A$3:$A$731=$A236)*(Source_Evolution!$L$3:$L$731&gt;0))</f>
        <v/>
      </c>
      <c r="AC236" s="18">
        <f>SUMPRODUCT((Source_Evolution!$A$3:$A$731=$A236)*(Source_Evolution!$M$3:$M$731&gt;0))</f>
        <v/>
      </c>
      <c r="AD236" s="18">
        <f>SUMPRODUCT((Source_Evolution!$A$3:$A$731=$A236)*(Source_Evolution!$N$3:$N$731&gt;0))</f>
        <v/>
      </c>
      <c r="AE236" s="18">
        <f>SUMPRODUCT((Source_Evolution!$A$3:$A$731=$A236)*(Source_Evolution!$O$3:$O$731&gt;0))</f>
        <v/>
      </c>
      <c r="AF236" s="18">
        <f>SUMPRODUCT((Source_Evolution!$A$3:$A$731=$A236)*(Source_Evolution!$P$3:$P$731&gt;0))</f>
        <v/>
      </c>
      <c r="AG236" s="18">
        <f>SUMPRODUCT((Source_Evolution!$A$3:$A$731=$A236)*(Source_Evolution!$Q$3:$Q$731&gt;0))</f>
        <v/>
      </c>
    </row>
    <row r="237">
      <c r="A237" t="inlineStr">
        <is>
          <t>Company 310</t>
        </is>
      </c>
      <c r="B237" t="inlineStr">
        <is>
          <t>Software</t>
        </is>
      </c>
      <c r="C237" t="inlineStr">
        <is>
          <t>Hungary</t>
        </is>
      </c>
      <c r="D237" t="n">
        <v>2014</v>
      </c>
      <c r="E237" s="17">
        <f>SUMIFS(Source_Evolution!$E$3:$E$731,Source_Evolution!$A$3:$A$731,$A237)</f>
        <v/>
      </c>
      <c r="F237" s="17">
        <f>SUMIFS(Source_Evolution!$F$3:$F$731,Source_Evolution!$A$3:$A$731,$A237)</f>
        <v/>
      </c>
      <c r="G237" s="17">
        <f>SUMIFS(Source_Evolution!$G$3:$G$731,Source_Evolution!$A$3:$A$731,$A237)</f>
        <v/>
      </c>
      <c r="H237" s="17">
        <f>SUMIFS(Source_Evolution!$H$3:$H$731,Source_Evolution!$A$3:$A$731,$A237)</f>
        <v/>
      </c>
      <c r="I237" s="17">
        <f>SUMIFS(Source_Evolution!$I$3:$I$731,Source_Evolution!$A$3:$A$731,$A237)</f>
        <v/>
      </c>
      <c r="J237" s="17">
        <f>SUMIFS(Source_Evolution!$J$3:$J$731,Source_Evolution!$A$3:$A$731,$A237)</f>
        <v/>
      </c>
      <c r="K237" s="17">
        <f>SUMIFS(Source_Evolution!$K$3:$K$731,Source_Evolution!$A$3:$A$731,$A237)</f>
        <v/>
      </c>
      <c r="L237" s="17">
        <f>SUMIFS(Source_Evolution!$L$3:$L$731,Source_Evolution!$A$3:$A$731,$A237)</f>
        <v/>
      </c>
      <c r="M237" s="17">
        <f>SUMIFS(Source_Evolution!$M$3:$M$731,Source_Evolution!$A$3:$A$731,$A237)</f>
        <v/>
      </c>
      <c r="N237" s="17">
        <f>SUMIFS(Source_Evolution!$N$3:$N$731,Source_Evolution!$A$3:$A$731,$A237)</f>
        <v/>
      </c>
      <c r="O237" s="17">
        <f>SUMIFS(Source_Evolution!$O$3:$O$731,Source_Evolution!$A$3:$A$731,$A237)</f>
        <v/>
      </c>
      <c r="P237" s="17">
        <f>SUMIFS(Source_Evolution!$P$3:$P$731,Source_Evolution!$A$3:$A$731,$A237)</f>
        <v/>
      </c>
      <c r="Q237" s="17">
        <f>SUMIFS(Source_Evolution!$Q$3:$Q$731,Source_Evolution!$A$3:$A$731,$A237)</f>
        <v/>
      </c>
      <c r="R237" s="17">
        <f>SUM(E237:Q237)</f>
        <v/>
      </c>
      <c r="S237" s="17">
        <f>Q237</f>
        <v/>
      </c>
      <c r="T237">
        <f>IF(B237="Software",1,0)</f>
        <v/>
      </c>
      <c r="U237" s="18">
        <f>SUMPRODUCT((Source_Evolution!$A$3:$A$731=$A237)*(Source_Evolution!$E$3:$E$731&gt;0))</f>
        <v/>
      </c>
      <c r="V237" s="18">
        <f>SUMPRODUCT((Source_Evolution!$A$3:$A$731=$A237)*(Source_Evolution!$F$3:$F$731&gt;0))</f>
        <v/>
      </c>
      <c r="W237" s="18">
        <f>SUMPRODUCT((Source_Evolution!$A$3:$A$731=$A237)*(Source_Evolution!$G$3:$G$731&gt;0))</f>
        <v/>
      </c>
      <c r="X237" s="18">
        <f>SUMPRODUCT((Source_Evolution!$A$3:$A$731=$A237)*(Source_Evolution!$H$3:$H$731&gt;0))</f>
        <v/>
      </c>
      <c r="Y237" s="18">
        <f>SUMPRODUCT((Source_Evolution!$A$3:$A$731=$A237)*(Source_Evolution!$I$3:$I$731&gt;0))</f>
        <v/>
      </c>
      <c r="Z237" s="18">
        <f>SUMPRODUCT((Source_Evolution!$A$3:$A$731=$A237)*(Source_Evolution!$J$3:$J$731&gt;0))</f>
        <v/>
      </c>
      <c r="AA237" s="18">
        <f>SUMPRODUCT((Source_Evolution!$A$3:$A$731=$A237)*(Source_Evolution!$K$3:$K$731&gt;0))</f>
        <v/>
      </c>
      <c r="AB237" s="18">
        <f>SUMPRODUCT((Source_Evolution!$A$3:$A$731=$A237)*(Source_Evolution!$L$3:$L$731&gt;0))</f>
        <v/>
      </c>
      <c r="AC237" s="18">
        <f>SUMPRODUCT((Source_Evolution!$A$3:$A$731=$A237)*(Source_Evolution!$M$3:$M$731&gt;0))</f>
        <v/>
      </c>
      <c r="AD237" s="18">
        <f>SUMPRODUCT((Source_Evolution!$A$3:$A$731=$A237)*(Source_Evolution!$N$3:$N$731&gt;0))</f>
        <v/>
      </c>
      <c r="AE237" s="18">
        <f>SUMPRODUCT((Source_Evolution!$A$3:$A$731=$A237)*(Source_Evolution!$O$3:$O$731&gt;0))</f>
        <v/>
      </c>
      <c r="AF237" s="18">
        <f>SUMPRODUCT((Source_Evolution!$A$3:$A$731=$A237)*(Source_Evolution!$P$3:$P$731&gt;0))</f>
        <v/>
      </c>
      <c r="AG237" s="18">
        <f>SUMPRODUCT((Source_Evolution!$A$3:$A$731=$A237)*(Source_Evolution!$Q$3:$Q$731&gt;0))</f>
        <v/>
      </c>
    </row>
    <row r="238">
      <c r="A238" t="inlineStr">
        <is>
          <t>Company 311</t>
        </is>
      </c>
      <c r="B238" t="inlineStr">
        <is>
          <t>Software</t>
        </is>
      </c>
      <c r="C238" t="inlineStr">
        <is>
          <t>UK</t>
        </is>
      </c>
      <c r="D238" t="n">
        <v>2014</v>
      </c>
      <c r="E238" s="17">
        <f>SUMIFS(Source_Evolution!$E$3:$E$731,Source_Evolution!$A$3:$A$731,$A238)</f>
        <v/>
      </c>
      <c r="F238" s="17">
        <f>SUMIFS(Source_Evolution!$F$3:$F$731,Source_Evolution!$A$3:$A$731,$A238)</f>
        <v/>
      </c>
      <c r="G238" s="17">
        <f>SUMIFS(Source_Evolution!$G$3:$G$731,Source_Evolution!$A$3:$A$731,$A238)</f>
        <v/>
      </c>
      <c r="H238" s="17">
        <f>SUMIFS(Source_Evolution!$H$3:$H$731,Source_Evolution!$A$3:$A$731,$A238)</f>
        <v/>
      </c>
      <c r="I238" s="17">
        <f>SUMIFS(Source_Evolution!$I$3:$I$731,Source_Evolution!$A$3:$A$731,$A238)</f>
        <v/>
      </c>
      <c r="J238" s="17">
        <f>SUMIFS(Source_Evolution!$J$3:$J$731,Source_Evolution!$A$3:$A$731,$A238)</f>
        <v/>
      </c>
      <c r="K238" s="17">
        <f>SUMIFS(Source_Evolution!$K$3:$K$731,Source_Evolution!$A$3:$A$731,$A238)</f>
        <v/>
      </c>
      <c r="L238" s="17">
        <f>SUMIFS(Source_Evolution!$L$3:$L$731,Source_Evolution!$A$3:$A$731,$A238)</f>
        <v/>
      </c>
      <c r="M238" s="17">
        <f>SUMIFS(Source_Evolution!$M$3:$M$731,Source_Evolution!$A$3:$A$731,$A238)</f>
        <v/>
      </c>
      <c r="N238" s="17">
        <f>SUMIFS(Source_Evolution!$N$3:$N$731,Source_Evolution!$A$3:$A$731,$A238)</f>
        <v/>
      </c>
      <c r="O238" s="17">
        <f>SUMIFS(Source_Evolution!$O$3:$O$731,Source_Evolution!$A$3:$A$731,$A238)</f>
        <v/>
      </c>
      <c r="P238" s="17">
        <f>SUMIFS(Source_Evolution!$P$3:$P$731,Source_Evolution!$A$3:$A$731,$A238)</f>
        <v/>
      </c>
      <c r="Q238" s="17">
        <f>SUMIFS(Source_Evolution!$Q$3:$Q$731,Source_Evolution!$A$3:$A$731,$A238)</f>
        <v/>
      </c>
      <c r="R238" s="17">
        <f>SUM(E238:Q238)</f>
        <v/>
      </c>
      <c r="S238" s="17">
        <f>Q238</f>
        <v/>
      </c>
      <c r="T238">
        <f>IF(B238="Software",1,0)</f>
        <v/>
      </c>
      <c r="U238" s="18">
        <f>SUMPRODUCT((Source_Evolution!$A$3:$A$731=$A238)*(Source_Evolution!$E$3:$E$731&gt;0))</f>
        <v/>
      </c>
      <c r="V238" s="18">
        <f>SUMPRODUCT((Source_Evolution!$A$3:$A$731=$A238)*(Source_Evolution!$F$3:$F$731&gt;0))</f>
        <v/>
      </c>
      <c r="W238" s="18">
        <f>SUMPRODUCT((Source_Evolution!$A$3:$A$731=$A238)*(Source_Evolution!$G$3:$G$731&gt;0))</f>
        <v/>
      </c>
      <c r="X238" s="18">
        <f>SUMPRODUCT((Source_Evolution!$A$3:$A$731=$A238)*(Source_Evolution!$H$3:$H$731&gt;0))</f>
        <v/>
      </c>
      <c r="Y238" s="18">
        <f>SUMPRODUCT((Source_Evolution!$A$3:$A$731=$A238)*(Source_Evolution!$I$3:$I$731&gt;0))</f>
        <v/>
      </c>
      <c r="Z238" s="18">
        <f>SUMPRODUCT((Source_Evolution!$A$3:$A$731=$A238)*(Source_Evolution!$J$3:$J$731&gt;0))</f>
        <v/>
      </c>
      <c r="AA238" s="18">
        <f>SUMPRODUCT((Source_Evolution!$A$3:$A$731=$A238)*(Source_Evolution!$K$3:$K$731&gt;0))</f>
        <v/>
      </c>
      <c r="AB238" s="18">
        <f>SUMPRODUCT((Source_Evolution!$A$3:$A$731=$A238)*(Source_Evolution!$L$3:$L$731&gt;0))</f>
        <v/>
      </c>
      <c r="AC238" s="18">
        <f>SUMPRODUCT((Source_Evolution!$A$3:$A$731=$A238)*(Source_Evolution!$M$3:$M$731&gt;0))</f>
        <v/>
      </c>
      <c r="AD238" s="18">
        <f>SUMPRODUCT((Source_Evolution!$A$3:$A$731=$A238)*(Source_Evolution!$N$3:$N$731&gt;0))</f>
        <v/>
      </c>
      <c r="AE238" s="18">
        <f>SUMPRODUCT((Source_Evolution!$A$3:$A$731=$A238)*(Source_Evolution!$O$3:$O$731&gt;0))</f>
        <v/>
      </c>
      <c r="AF238" s="18">
        <f>SUMPRODUCT((Source_Evolution!$A$3:$A$731=$A238)*(Source_Evolution!$P$3:$P$731&gt;0))</f>
        <v/>
      </c>
      <c r="AG238" s="18">
        <f>SUMPRODUCT((Source_Evolution!$A$3:$A$731=$A238)*(Source_Evolution!$Q$3:$Q$731&gt;0))</f>
        <v/>
      </c>
    </row>
    <row r="239">
      <c r="A239" t="inlineStr">
        <is>
          <t>Company 312</t>
        </is>
      </c>
      <c r="B239" t="inlineStr">
        <is>
          <t>Operations</t>
        </is>
      </c>
      <c r="C239" t="inlineStr">
        <is>
          <t>UK</t>
        </is>
      </c>
      <c r="D239" t="n">
        <v>2014</v>
      </c>
      <c r="E239" s="17">
        <f>SUMIFS(Source_Evolution!$E$3:$E$731,Source_Evolution!$A$3:$A$731,$A239)</f>
        <v/>
      </c>
      <c r="F239" s="17">
        <f>SUMIFS(Source_Evolution!$F$3:$F$731,Source_Evolution!$A$3:$A$731,$A239)</f>
        <v/>
      </c>
      <c r="G239" s="17">
        <f>SUMIFS(Source_Evolution!$G$3:$G$731,Source_Evolution!$A$3:$A$731,$A239)</f>
        <v/>
      </c>
      <c r="H239" s="17">
        <f>SUMIFS(Source_Evolution!$H$3:$H$731,Source_Evolution!$A$3:$A$731,$A239)</f>
        <v/>
      </c>
      <c r="I239" s="17">
        <f>SUMIFS(Source_Evolution!$I$3:$I$731,Source_Evolution!$A$3:$A$731,$A239)</f>
        <v/>
      </c>
      <c r="J239" s="17">
        <f>SUMIFS(Source_Evolution!$J$3:$J$731,Source_Evolution!$A$3:$A$731,$A239)</f>
        <v/>
      </c>
      <c r="K239" s="17">
        <f>SUMIFS(Source_Evolution!$K$3:$K$731,Source_Evolution!$A$3:$A$731,$A239)</f>
        <v/>
      </c>
      <c r="L239" s="17">
        <f>SUMIFS(Source_Evolution!$L$3:$L$731,Source_Evolution!$A$3:$A$731,$A239)</f>
        <v/>
      </c>
      <c r="M239" s="17">
        <f>SUMIFS(Source_Evolution!$M$3:$M$731,Source_Evolution!$A$3:$A$731,$A239)</f>
        <v/>
      </c>
      <c r="N239" s="17">
        <f>SUMIFS(Source_Evolution!$N$3:$N$731,Source_Evolution!$A$3:$A$731,$A239)</f>
        <v/>
      </c>
      <c r="O239" s="17">
        <f>SUMIFS(Source_Evolution!$O$3:$O$731,Source_Evolution!$A$3:$A$731,$A239)</f>
        <v/>
      </c>
      <c r="P239" s="17">
        <f>SUMIFS(Source_Evolution!$P$3:$P$731,Source_Evolution!$A$3:$A$731,$A239)</f>
        <v/>
      </c>
      <c r="Q239" s="17">
        <f>SUMIFS(Source_Evolution!$Q$3:$Q$731,Source_Evolution!$A$3:$A$731,$A239)</f>
        <v/>
      </c>
      <c r="R239" s="17">
        <f>SUM(E239:Q239)</f>
        <v/>
      </c>
      <c r="S239" s="17">
        <f>Q239</f>
        <v/>
      </c>
      <c r="T239">
        <f>IF(B239="Software",1,0)</f>
        <v/>
      </c>
      <c r="U239" s="18">
        <f>SUMPRODUCT((Source_Evolution!$A$3:$A$731=$A239)*(Source_Evolution!$E$3:$E$731&gt;0))</f>
        <v/>
      </c>
      <c r="V239" s="18">
        <f>SUMPRODUCT((Source_Evolution!$A$3:$A$731=$A239)*(Source_Evolution!$F$3:$F$731&gt;0))</f>
        <v/>
      </c>
      <c r="W239" s="18">
        <f>SUMPRODUCT((Source_Evolution!$A$3:$A$731=$A239)*(Source_Evolution!$G$3:$G$731&gt;0))</f>
        <v/>
      </c>
      <c r="X239" s="18">
        <f>SUMPRODUCT((Source_Evolution!$A$3:$A$731=$A239)*(Source_Evolution!$H$3:$H$731&gt;0))</f>
        <v/>
      </c>
      <c r="Y239" s="18">
        <f>SUMPRODUCT((Source_Evolution!$A$3:$A$731=$A239)*(Source_Evolution!$I$3:$I$731&gt;0))</f>
        <v/>
      </c>
      <c r="Z239" s="18">
        <f>SUMPRODUCT((Source_Evolution!$A$3:$A$731=$A239)*(Source_Evolution!$J$3:$J$731&gt;0))</f>
        <v/>
      </c>
      <c r="AA239" s="18">
        <f>SUMPRODUCT((Source_Evolution!$A$3:$A$731=$A239)*(Source_Evolution!$K$3:$K$731&gt;0))</f>
        <v/>
      </c>
      <c r="AB239" s="18">
        <f>SUMPRODUCT((Source_Evolution!$A$3:$A$731=$A239)*(Source_Evolution!$L$3:$L$731&gt;0))</f>
        <v/>
      </c>
      <c r="AC239" s="18">
        <f>SUMPRODUCT((Source_Evolution!$A$3:$A$731=$A239)*(Source_Evolution!$M$3:$M$731&gt;0))</f>
        <v/>
      </c>
      <c r="AD239" s="18">
        <f>SUMPRODUCT((Source_Evolution!$A$3:$A$731=$A239)*(Source_Evolution!$N$3:$N$731&gt;0))</f>
        <v/>
      </c>
      <c r="AE239" s="18">
        <f>SUMPRODUCT((Source_Evolution!$A$3:$A$731=$A239)*(Source_Evolution!$O$3:$O$731&gt;0))</f>
        <v/>
      </c>
      <c r="AF239" s="18">
        <f>SUMPRODUCT((Source_Evolution!$A$3:$A$731=$A239)*(Source_Evolution!$P$3:$P$731&gt;0))</f>
        <v/>
      </c>
      <c r="AG239" s="18">
        <f>SUMPRODUCT((Source_Evolution!$A$3:$A$731=$A239)*(Source_Evolution!$Q$3:$Q$731&gt;0))</f>
        <v/>
      </c>
    </row>
    <row r="240">
      <c r="A240" t="inlineStr">
        <is>
          <t>Company 314</t>
        </is>
      </c>
      <c r="B240" t="inlineStr">
        <is>
          <t>Software</t>
        </is>
      </c>
      <c r="C240" t="inlineStr">
        <is>
          <t>Denmark</t>
        </is>
      </c>
      <c r="D240" t="n">
        <v>2014</v>
      </c>
      <c r="E240" s="17">
        <f>SUMIFS(Source_Evolution!$E$3:$E$731,Source_Evolution!$A$3:$A$731,$A240)</f>
        <v/>
      </c>
      <c r="F240" s="17">
        <f>SUMIFS(Source_Evolution!$F$3:$F$731,Source_Evolution!$A$3:$A$731,$A240)</f>
        <v/>
      </c>
      <c r="G240" s="17">
        <f>SUMIFS(Source_Evolution!$G$3:$G$731,Source_Evolution!$A$3:$A$731,$A240)</f>
        <v/>
      </c>
      <c r="H240" s="17">
        <f>SUMIFS(Source_Evolution!$H$3:$H$731,Source_Evolution!$A$3:$A$731,$A240)</f>
        <v/>
      </c>
      <c r="I240" s="17">
        <f>SUMIFS(Source_Evolution!$I$3:$I$731,Source_Evolution!$A$3:$A$731,$A240)</f>
        <v/>
      </c>
      <c r="J240" s="17">
        <f>SUMIFS(Source_Evolution!$J$3:$J$731,Source_Evolution!$A$3:$A$731,$A240)</f>
        <v/>
      </c>
      <c r="K240" s="17">
        <f>SUMIFS(Source_Evolution!$K$3:$K$731,Source_Evolution!$A$3:$A$731,$A240)</f>
        <v/>
      </c>
      <c r="L240" s="17">
        <f>SUMIFS(Source_Evolution!$L$3:$L$731,Source_Evolution!$A$3:$A$731,$A240)</f>
        <v/>
      </c>
      <c r="M240" s="17">
        <f>SUMIFS(Source_Evolution!$M$3:$M$731,Source_Evolution!$A$3:$A$731,$A240)</f>
        <v/>
      </c>
      <c r="N240" s="17">
        <f>SUMIFS(Source_Evolution!$N$3:$N$731,Source_Evolution!$A$3:$A$731,$A240)</f>
        <v/>
      </c>
      <c r="O240" s="17">
        <f>SUMIFS(Source_Evolution!$O$3:$O$731,Source_Evolution!$A$3:$A$731,$A240)</f>
        <v/>
      </c>
      <c r="P240" s="17">
        <f>SUMIFS(Source_Evolution!$P$3:$P$731,Source_Evolution!$A$3:$A$731,$A240)</f>
        <v/>
      </c>
      <c r="Q240" s="17">
        <f>SUMIFS(Source_Evolution!$Q$3:$Q$731,Source_Evolution!$A$3:$A$731,$A240)</f>
        <v/>
      </c>
      <c r="R240" s="17">
        <f>SUM(E240:Q240)</f>
        <v/>
      </c>
      <c r="S240" s="17">
        <f>Q240</f>
        <v/>
      </c>
      <c r="T240">
        <f>IF(B240="Software",1,0)</f>
        <v/>
      </c>
      <c r="U240" s="18">
        <f>SUMPRODUCT((Source_Evolution!$A$3:$A$731=$A240)*(Source_Evolution!$E$3:$E$731&gt;0))</f>
        <v/>
      </c>
      <c r="V240" s="18">
        <f>SUMPRODUCT((Source_Evolution!$A$3:$A$731=$A240)*(Source_Evolution!$F$3:$F$731&gt;0))</f>
        <v/>
      </c>
      <c r="W240" s="18">
        <f>SUMPRODUCT((Source_Evolution!$A$3:$A$731=$A240)*(Source_Evolution!$G$3:$G$731&gt;0))</f>
        <v/>
      </c>
      <c r="X240" s="18">
        <f>SUMPRODUCT((Source_Evolution!$A$3:$A$731=$A240)*(Source_Evolution!$H$3:$H$731&gt;0))</f>
        <v/>
      </c>
      <c r="Y240" s="18">
        <f>SUMPRODUCT((Source_Evolution!$A$3:$A$731=$A240)*(Source_Evolution!$I$3:$I$731&gt;0))</f>
        <v/>
      </c>
      <c r="Z240" s="18">
        <f>SUMPRODUCT((Source_Evolution!$A$3:$A$731=$A240)*(Source_Evolution!$J$3:$J$731&gt;0))</f>
        <v/>
      </c>
      <c r="AA240" s="18">
        <f>SUMPRODUCT((Source_Evolution!$A$3:$A$731=$A240)*(Source_Evolution!$K$3:$K$731&gt;0))</f>
        <v/>
      </c>
      <c r="AB240" s="18">
        <f>SUMPRODUCT((Source_Evolution!$A$3:$A$731=$A240)*(Source_Evolution!$L$3:$L$731&gt;0))</f>
        <v/>
      </c>
      <c r="AC240" s="18">
        <f>SUMPRODUCT((Source_Evolution!$A$3:$A$731=$A240)*(Source_Evolution!$M$3:$M$731&gt;0))</f>
        <v/>
      </c>
      <c r="AD240" s="18">
        <f>SUMPRODUCT((Source_Evolution!$A$3:$A$731=$A240)*(Source_Evolution!$N$3:$N$731&gt;0))</f>
        <v/>
      </c>
      <c r="AE240" s="18">
        <f>SUMPRODUCT((Source_Evolution!$A$3:$A$731=$A240)*(Source_Evolution!$O$3:$O$731&gt;0))</f>
        <v/>
      </c>
      <c r="AF240" s="18">
        <f>SUMPRODUCT((Source_Evolution!$A$3:$A$731=$A240)*(Source_Evolution!$P$3:$P$731&gt;0))</f>
        <v/>
      </c>
      <c r="AG240" s="18">
        <f>SUMPRODUCT((Source_Evolution!$A$3:$A$731=$A240)*(Source_Evolution!$Q$3:$Q$731&gt;0))</f>
        <v/>
      </c>
    </row>
    <row r="241">
      <c r="A241" t="inlineStr">
        <is>
          <t>Company 315</t>
        </is>
      </c>
      <c r="B241" t="inlineStr">
        <is>
          <t>Software</t>
        </is>
      </c>
      <c r="C241" t="inlineStr">
        <is>
          <t>Denmark</t>
        </is>
      </c>
      <c r="D241" t="n">
        <v>2014</v>
      </c>
      <c r="E241" s="17">
        <f>SUMIFS(Source_Evolution!$E$3:$E$731,Source_Evolution!$A$3:$A$731,$A241)</f>
        <v/>
      </c>
      <c r="F241" s="17">
        <f>SUMIFS(Source_Evolution!$F$3:$F$731,Source_Evolution!$A$3:$A$731,$A241)</f>
        <v/>
      </c>
      <c r="G241" s="17">
        <f>SUMIFS(Source_Evolution!$G$3:$G$731,Source_Evolution!$A$3:$A$731,$A241)</f>
        <v/>
      </c>
      <c r="H241" s="17">
        <f>SUMIFS(Source_Evolution!$H$3:$H$731,Source_Evolution!$A$3:$A$731,$A241)</f>
        <v/>
      </c>
      <c r="I241" s="17">
        <f>SUMIFS(Source_Evolution!$I$3:$I$731,Source_Evolution!$A$3:$A$731,$A241)</f>
        <v/>
      </c>
      <c r="J241" s="17">
        <f>SUMIFS(Source_Evolution!$J$3:$J$731,Source_Evolution!$A$3:$A$731,$A241)</f>
        <v/>
      </c>
      <c r="K241" s="17">
        <f>SUMIFS(Source_Evolution!$K$3:$K$731,Source_Evolution!$A$3:$A$731,$A241)</f>
        <v/>
      </c>
      <c r="L241" s="17">
        <f>SUMIFS(Source_Evolution!$L$3:$L$731,Source_Evolution!$A$3:$A$731,$A241)</f>
        <v/>
      </c>
      <c r="M241" s="17">
        <f>SUMIFS(Source_Evolution!$M$3:$M$731,Source_Evolution!$A$3:$A$731,$A241)</f>
        <v/>
      </c>
      <c r="N241" s="17">
        <f>SUMIFS(Source_Evolution!$N$3:$N$731,Source_Evolution!$A$3:$A$731,$A241)</f>
        <v/>
      </c>
      <c r="O241" s="17">
        <f>SUMIFS(Source_Evolution!$O$3:$O$731,Source_Evolution!$A$3:$A$731,$A241)</f>
        <v/>
      </c>
      <c r="P241" s="17">
        <f>SUMIFS(Source_Evolution!$P$3:$P$731,Source_Evolution!$A$3:$A$731,$A241)</f>
        <v/>
      </c>
      <c r="Q241" s="17">
        <f>SUMIFS(Source_Evolution!$Q$3:$Q$731,Source_Evolution!$A$3:$A$731,$A241)</f>
        <v/>
      </c>
      <c r="R241" s="17">
        <f>SUM(E241:Q241)</f>
        <v/>
      </c>
      <c r="S241" s="17">
        <f>Q241</f>
        <v/>
      </c>
      <c r="T241">
        <f>IF(B241="Software",1,0)</f>
        <v/>
      </c>
      <c r="U241" s="18">
        <f>SUMPRODUCT((Source_Evolution!$A$3:$A$731=$A241)*(Source_Evolution!$E$3:$E$731&gt;0))</f>
        <v/>
      </c>
      <c r="V241" s="18">
        <f>SUMPRODUCT((Source_Evolution!$A$3:$A$731=$A241)*(Source_Evolution!$F$3:$F$731&gt;0))</f>
        <v/>
      </c>
      <c r="W241" s="18">
        <f>SUMPRODUCT((Source_Evolution!$A$3:$A$731=$A241)*(Source_Evolution!$G$3:$G$731&gt;0))</f>
        <v/>
      </c>
      <c r="X241" s="18">
        <f>SUMPRODUCT((Source_Evolution!$A$3:$A$731=$A241)*(Source_Evolution!$H$3:$H$731&gt;0))</f>
        <v/>
      </c>
      <c r="Y241" s="18">
        <f>SUMPRODUCT((Source_Evolution!$A$3:$A$731=$A241)*(Source_Evolution!$I$3:$I$731&gt;0))</f>
        <v/>
      </c>
      <c r="Z241" s="18">
        <f>SUMPRODUCT((Source_Evolution!$A$3:$A$731=$A241)*(Source_Evolution!$J$3:$J$731&gt;0))</f>
        <v/>
      </c>
      <c r="AA241" s="18">
        <f>SUMPRODUCT((Source_Evolution!$A$3:$A$731=$A241)*(Source_Evolution!$K$3:$K$731&gt;0))</f>
        <v/>
      </c>
      <c r="AB241" s="18">
        <f>SUMPRODUCT((Source_Evolution!$A$3:$A$731=$A241)*(Source_Evolution!$L$3:$L$731&gt;0))</f>
        <v/>
      </c>
      <c r="AC241" s="18">
        <f>SUMPRODUCT((Source_Evolution!$A$3:$A$731=$A241)*(Source_Evolution!$M$3:$M$731&gt;0))</f>
        <v/>
      </c>
      <c r="AD241" s="18">
        <f>SUMPRODUCT((Source_Evolution!$A$3:$A$731=$A241)*(Source_Evolution!$N$3:$N$731&gt;0))</f>
        <v/>
      </c>
      <c r="AE241" s="18">
        <f>SUMPRODUCT((Source_Evolution!$A$3:$A$731=$A241)*(Source_Evolution!$O$3:$O$731&gt;0))</f>
        <v/>
      </c>
      <c r="AF241" s="18">
        <f>SUMPRODUCT((Source_Evolution!$A$3:$A$731=$A241)*(Source_Evolution!$P$3:$P$731&gt;0))</f>
        <v/>
      </c>
      <c r="AG241" s="18">
        <f>SUMPRODUCT((Source_Evolution!$A$3:$A$731=$A241)*(Source_Evolution!$Q$3:$Q$731&gt;0))</f>
        <v/>
      </c>
    </row>
    <row r="242">
      <c r="A242" t="inlineStr">
        <is>
          <t>Company 316</t>
        </is>
      </c>
      <c r="B242" t="inlineStr">
        <is>
          <t>Software</t>
        </is>
      </c>
      <c r="C242" t="inlineStr">
        <is>
          <t>UK</t>
        </is>
      </c>
      <c r="D242" t="n">
        <v>2014</v>
      </c>
      <c r="E242" s="17">
        <f>SUMIFS(Source_Evolution!$E$3:$E$731,Source_Evolution!$A$3:$A$731,$A242)</f>
        <v/>
      </c>
      <c r="F242" s="17">
        <f>SUMIFS(Source_Evolution!$F$3:$F$731,Source_Evolution!$A$3:$A$731,$A242)</f>
        <v/>
      </c>
      <c r="G242" s="17">
        <f>SUMIFS(Source_Evolution!$G$3:$G$731,Source_Evolution!$A$3:$A$731,$A242)</f>
        <v/>
      </c>
      <c r="H242" s="17">
        <f>SUMIFS(Source_Evolution!$H$3:$H$731,Source_Evolution!$A$3:$A$731,$A242)</f>
        <v/>
      </c>
      <c r="I242" s="17">
        <f>SUMIFS(Source_Evolution!$I$3:$I$731,Source_Evolution!$A$3:$A$731,$A242)</f>
        <v/>
      </c>
      <c r="J242" s="17">
        <f>SUMIFS(Source_Evolution!$J$3:$J$731,Source_Evolution!$A$3:$A$731,$A242)</f>
        <v/>
      </c>
      <c r="K242" s="17">
        <f>SUMIFS(Source_Evolution!$K$3:$K$731,Source_Evolution!$A$3:$A$731,$A242)</f>
        <v/>
      </c>
      <c r="L242" s="17">
        <f>SUMIFS(Source_Evolution!$L$3:$L$731,Source_Evolution!$A$3:$A$731,$A242)</f>
        <v/>
      </c>
      <c r="M242" s="17">
        <f>SUMIFS(Source_Evolution!$M$3:$M$731,Source_Evolution!$A$3:$A$731,$A242)</f>
        <v/>
      </c>
      <c r="N242" s="17">
        <f>SUMIFS(Source_Evolution!$N$3:$N$731,Source_Evolution!$A$3:$A$731,$A242)</f>
        <v/>
      </c>
      <c r="O242" s="17">
        <f>SUMIFS(Source_Evolution!$O$3:$O$731,Source_Evolution!$A$3:$A$731,$A242)</f>
        <v/>
      </c>
      <c r="P242" s="17">
        <f>SUMIFS(Source_Evolution!$P$3:$P$731,Source_Evolution!$A$3:$A$731,$A242)</f>
        <v/>
      </c>
      <c r="Q242" s="17">
        <f>SUMIFS(Source_Evolution!$Q$3:$Q$731,Source_Evolution!$A$3:$A$731,$A242)</f>
        <v/>
      </c>
      <c r="R242" s="17">
        <f>SUM(E242:Q242)</f>
        <v/>
      </c>
      <c r="S242" s="17">
        <f>Q242</f>
        <v/>
      </c>
      <c r="T242">
        <f>IF(B242="Software",1,0)</f>
        <v/>
      </c>
      <c r="U242" s="18">
        <f>SUMPRODUCT((Source_Evolution!$A$3:$A$731=$A242)*(Source_Evolution!$E$3:$E$731&gt;0))</f>
        <v/>
      </c>
      <c r="V242" s="18">
        <f>SUMPRODUCT((Source_Evolution!$A$3:$A$731=$A242)*(Source_Evolution!$F$3:$F$731&gt;0))</f>
        <v/>
      </c>
      <c r="W242" s="18">
        <f>SUMPRODUCT((Source_Evolution!$A$3:$A$731=$A242)*(Source_Evolution!$G$3:$G$731&gt;0))</f>
        <v/>
      </c>
      <c r="X242" s="18">
        <f>SUMPRODUCT((Source_Evolution!$A$3:$A$731=$A242)*(Source_Evolution!$H$3:$H$731&gt;0))</f>
        <v/>
      </c>
      <c r="Y242" s="18">
        <f>SUMPRODUCT((Source_Evolution!$A$3:$A$731=$A242)*(Source_Evolution!$I$3:$I$731&gt;0))</f>
        <v/>
      </c>
      <c r="Z242" s="18">
        <f>SUMPRODUCT((Source_Evolution!$A$3:$A$731=$A242)*(Source_Evolution!$J$3:$J$731&gt;0))</f>
        <v/>
      </c>
      <c r="AA242" s="18">
        <f>SUMPRODUCT((Source_Evolution!$A$3:$A$731=$A242)*(Source_Evolution!$K$3:$K$731&gt;0))</f>
        <v/>
      </c>
      <c r="AB242" s="18">
        <f>SUMPRODUCT((Source_Evolution!$A$3:$A$731=$A242)*(Source_Evolution!$L$3:$L$731&gt;0))</f>
        <v/>
      </c>
      <c r="AC242" s="18">
        <f>SUMPRODUCT((Source_Evolution!$A$3:$A$731=$A242)*(Source_Evolution!$M$3:$M$731&gt;0))</f>
        <v/>
      </c>
      <c r="AD242" s="18">
        <f>SUMPRODUCT((Source_Evolution!$A$3:$A$731=$A242)*(Source_Evolution!$N$3:$N$731&gt;0))</f>
        <v/>
      </c>
      <c r="AE242" s="18">
        <f>SUMPRODUCT((Source_Evolution!$A$3:$A$731=$A242)*(Source_Evolution!$O$3:$O$731&gt;0))</f>
        <v/>
      </c>
      <c r="AF242" s="18">
        <f>SUMPRODUCT((Source_Evolution!$A$3:$A$731=$A242)*(Source_Evolution!$P$3:$P$731&gt;0))</f>
        <v/>
      </c>
      <c r="AG242" s="18">
        <f>SUMPRODUCT((Source_Evolution!$A$3:$A$731=$A242)*(Source_Evolution!$Q$3:$Q$731&gt;0))</f>
        <v/>
      </c>
    </row>
    <row r="243">
      <c r="A243" t="inlineStr">
        <is>
          <t>Company 317</t>
        </is>
      </c>
      <c r="B243" t="inlineStr">
        <is>
          <t>Software</t>
        </is>
      </c>
      <c r="C243" t="inlineStr">
        <is>
          <t>Singapore</t>
        </is>
      </c>
      <c r="D243" t="n">
        <v>2025</v>
      </c>
      <c r="E243" s="17">
        <f>SUMIFS(Source_Evolution!$E$3:$E$731,Source_Evolution!$A$3:$A$731,$A243)</f>
        <v/>
      </c>
      <c r="F243" s="17">
        <f>SUMIFS(Source_Evolution!$F$3:$F$731,Source_Evolution!$A$3:$A$731,$A243)</f>
        <v/>
      </c>
      <c r="G243" s="17">
        <f>SUMIFS(Source_Evolution!$G$3:$G$731,Source_Evolution!$A$3:$A$731,$A243)</f>
        <v/>
      </c>
      <c r="H243" s="17">
        <f>SUMIFS(Source_Evolution!$H$3:$H$731,Source_Evolution!$A$3:$A$731,$A243)</f>
        <v/>
      </c>
      <c r="I243" s="17">
        <f>SUMIFS(Source_Evolution!$I$3:$I$731,Source_Evolution!$A$3:$A$731,$A243)</f>
        <v/>
      </c>
      <c r="J243" s="17">
        <f>SUMIFS(Source_Evolution!$J$3:$J$731,Source_Evolution!$A$3:$A$731,$A243)</f>
        <v/>
      </c>
      <c r="K243" s="17">
        <f>SUMIFS(Source_Evolution!$K$3:$K$731,Source_Evolution!$A$3:$A$731,$A243)</f>
        <v/>
      </c>
      <c r="L243" s="17">
        <f>SUMIFS(Source_Evolution!$L$3:$L$731,Source_Evolution!$A$3:$A$731,$A243)</f>
        <v/>
      </c>
      <c r="M243" s="17">
        <f>SUMIFS(Source_Evolution!$M$3:$M$731,Source_Evolution!$A$3:$A$731,$A243)</f>
        <v/>
      </c>
      <c r="N243" s="17">
        <f>SUMIFS(Source_Evolution!$N$3:$N$731,Source_Evolution!$A$3:$A$731,$A243)</f>
        <v/>
      </c>
      <c r="O243" s="17">
        <f>SUMIFS(Source_Evolution!$O$3:$O$731,Source_Evolution!$A$3:$A$731,$A243)</f>
        <v/>
      </c>
      <c r="P243" s="17">
        <f>SUMIFS(Source_Evolution!$P$3:$P$731,Source_Evolution!$A$3:$A$731,$A243)</f>
        <v/>
      </c>
      <c r="Q243" s="17">
        <f>SUMIFS(Source_Evolution!$Q$3:$Q$731,Source_Evolution!$A$3:$A$731,$A243)</f>
        <v/>
      </c>
      <c r="R243" s="17">
        <f>SUM(E243:Q243)</f>
        <v/>
      </c>
      <c r="S243" s="17">
        <f>Q243</f>
        <v/>
      </c>
      <c r="T243">
        <f>IF(B243="Software",1,0)</f>
        <v/>
      </c>
      <c r="U243" s="18">
        <f>SUMPRODUCT((Source_Evolution!$A$3:$A$731=$A243)*(Source_Evolution!$E$3:$E$731&gt;0))</f>
        <v/>
      </c>
      <c r="V243" s="18">
        <f>SUMPRODUCT((Source_Evolution!$A$3:$A$731=$A243)*(Source_Evolution!$F$3:$F$731&gt;0))</f>
        <v/>
      </c>
      <c r="W243" s="18">
        <f>SUMPRODUCT((Source_Evolution!$A$3:$A$731=$A243)*(Source_Evolution!$G$3:$G$731&gt;0))</f>
        <v/>
      </c>
      <c r="X243" s="18">
        <f>SUMPRODUCT((Source_Evolution!$A$3:$A$731=$A243)*(Source_Evolution!$H$3:$H$731&gt;0))</f>
        <v/>
      </c>
      <c r="Y243" s="18">
        <f>SUMPRODUCT((Source_Evolution!$A$3:$A$731=$A243)*(Source_Evolution!$I$3:$I$731&gt;0))</f>
        <v/>
      </c>
      <c r="Z243" s="18">
        <f>SUMPRODUCT((Source_Evolution!$A$3:$A$731=$A243)*(Source_Evolution!$J$3:$J$731&gt;0))</f>
        <v/>
      </c>
      <c r="AA243" s="18">
        <f>SUMPRODUCT((Source_Evolution!$A$3:$A$731=$A243)*(Source_Evolution!$K$3:$K$731&gt;0))</f>
        <v/>
      </c>
      <c r="AB243" s="18">
        <f>SUMPRODUCT((Source_Evolution!$A$3:$A$731=$A243)*(Source_Evolution!$L$3:$L$731&gt;0))</f>
        <v/>
      </c>
      <c r="AC243" s="18">
        <f>SUMPRODUCT((Source_Evolution!$A$3:$A$731=$A243)*(Source_Evolution!$M$3:$M$731&gt;0))</f>
        <v/>
      </c>
      <c r="AD243" s="18">
        <f>SUMPRODUCT((Source_Evolution!$A$3:$A$731=$A243)*(Source_Evolution!$N$3:$N$731&gt;0))</f>
        <v/>
      </c>
      <c r="AE243" s="18">
        <f>SUMPRODUCT((Source_Evolution!$A$3:$A$731=$A243)*(Source_Evolution!$O$3:$O$731&gt;0))</f>
        <v/>
      </c>
      <c r="AF243" s="18">
        <f>SUMPRODUCT((Source_Evolution!$A$3:$A$731=$A243)*(Source_Evolution!$P$3:$P$731&gt;0))</f>
        <v/>
      </c>
      <c r="AG243" s="18">
        <f>SUMPRODUCT((Source_Evolution!$A$3:$A$731=$A243)*(Source_Evolution!$Q$3:$Q$731&gt;0))</f>
        <v/>
      </c>
    </row>
    <row r="244">
      <c r="A244" t="inlineStr">
        <is>
          <t>Company 318</t>
        </is>
      </c>
      <c r="B244" t="inlineStr">
        <is>
          <t>Software</t>
        </is>
      </c>
      <c r="C244" t="inlineStr">
        <is>
          <t>Switzerland</t>
        </is>
      </c>
      <c r="D244" t="n">
        <v>2020</v>
      </c>
      <c r="E244" s="17">
        <f>SUMIFS(Source_Evolution!$E$3:$E$731,Source_Evolution!$A$3:$A$731,$A244)</f>
        <v/>
      </c>
      <c r="F244" s="17">
        <f>SUMIFS(Source_Evolution!$F$3:$F$731,Source_Evolution!$A$3:$A$731,$A244)</f>
        <v/>
      </c>
      <c r="G244" s="17">
        <f>SUMIFS(Source_Evolution!$G$3:$G$731,Source_Evolution!$A$3:$A$731,$A244)</f>
        <v/>
      </c>
      <c r="H244" s="17">
        <f>SUMIFS(Source_Evolution!$H$3:$H$731,Source_Evolution!$A$3:$A$731,$A244)</f>
        <v/>
      </c>
      <c r="I244" s="17">
        <f>SUMIFS(Source_Evolution!$I$3:$I$731,Source_Evolution!$A$3:$A$731,$A244)</f>
        <v/>
      </c>
      <c r="J244" s="17">
        <f>SUMIFS(Source_Evolution!$J$3:$J$731,Source_Evolution!$A$3:$A$731,$A244)</f>
        <v/>
      </c>
      <c r="K244" s="17">
        <f>SUMIFS(Source_Evolution!$K$3:$K$731,Source_Evolution!$A$3:$A$731,$A244)</f>
        <v/>
      </c>
      <c r="L244" s="17">
        <f>SUMIFS(Source_Evolution!$L$3:$L$731,Source_Evolution!$A$3:$A$731,$A244)</f>
        <v/>
      </c>
      <c r="M244" s="17">
        <f>SUMIFS(Source_Evolution!$M$3:$M$731,Source_Evolution!$A$3:$A$731,$A244)</f>
        <v/>
      </c>
      <c r="N244" s="17">
        <f>SUMIFS(Source_Evolution!$N$3:$N$731,Source_Evolution!$A$3:$A$731,$A244)</f>
        <v/>
      </c>
      <c r="O244" s="17">
        <f>SUMIFS(Source_Evolution!$O$3:$O$731,Source_Evolution!$A$3:$A$731,$A244)</f>
        <v/>
      </c>
      <c r="P244" s="17">
        <f>SUMIFS(Source_Evolution!$P$3:$P$731,Source_Evolution!$A$3:$A$731,$A244)</f>
        <v/>
      </c>
      <c r="Q244" s="17">
        <f>SUMIFS(Source_Evolution!$Q$3:$Q$731,Source_Evolution!$A$3:$A$731,$A244)</f>
        <v/>
      </c>
      <c r="R244" s="17">
        <f>SUM(E244:Q244)</f>
        <v/>
      </c>
      <c r="S244" s="17">
        <f>Q244</f>
        <v/>
      </c>
      <c r="T244">
        <f>IF(B244="Software",1,0)</f>
        <v/>
      </c>
      <c r="U244" s="18">
        <f>SUMPRODUCT((Source_Evolution!$A$3:$A$731=$A244)*(Source_Evolution!$E$3:$E$731&gt;0))</f>
        <v/>
      </c>
      <c r="V244" s="18">
        <f>SUMPRODUCT((Source_Evolution!$A$3:$A$731=$A244)*(Source_Evolution!$F$3:$F$731&gt;0))</f>
        <v/>
      </c>
      <c r="W244" s="18">
        <f>SUMPRODUCT((Source_Evolution!$A$3:$A$731=$A244)*(Source_Evolution!$G$3:$G$731&gt;0))</f>
        <v/>
      </c>
      <c r="X244" s="18">
        <f>SUMPRODUCT((Source_Evolution!$A$3:$A$731=$A244)*(Source_Evolution!$H$3:$H$731&gt;0))</f>
        <v/>
      </c>
      <c r="Y244" s="18">
        <f>SUMPRODUCT((Source_Evolution!$A$3:$A$731=$A244)*(Source_Evolution!$I$3:$I$731&gt;0))</f>
        <v/>
      </c>
      <c r="Z244" s="18">
        <f>SUMPRODUCT((Source_Evolution!$A$3:$A$731=$A244)*(Source_Evolution!$J$3:$J$731&gt;0))</f>
        <v/>
      </c>
      <c r="AA244" s="18">
        <f>SUMPRODUCT((Source_Evolution!$A$3:$A$731=$A244)*(Source_Evolution!$K$3:$K$731&gt;0))</f>
        <v/>
      </c>
      <c r="AB244" s="18">
        <f>SUMPRODUCT((Source_Evolution!$A$3:$A$731=$A244)*(Source_Evolution!$L$3:$L$731&gt;0))</f>
        <v/>
      </c>
      <c r="AC244" s="18">
        <f>SUMPRODUCT((Source_Evolution!$A$3:$A$731=$A244)*(Source_Evolution!$M$3:$M$731&gt;0))</f>
        <v/>
      </c>
      <c r="AD244" s="18">
        <f>SUMPRODUCT((Source_Evolution!$A$3:$A$731=$A244)*(Source_Evolution!$N$3:$N$731&gt;0))</f>
        <v/>
      </c>
      <c r="AE244" s="18">
        <f>SUMPRODUCT((Source_Evolution!$A$3:$A$731=$A244)*(Source_Evolution!$O$3:$O$731&gt;0))</f>
        <v/>
      </c>
      <c r="AF244" s="18">
        <f>SUMPRODUCT((Source_Evolution!$A$3:$A$731=$A244)*(Source_Evolution!$P$3:$P$731&gt;0))</f>
        <v/>
      </c>
      <c r="AG244" s="18">
        <f>SUMPRODUCT((Source_Evolution!$A$3:$A$731=$A244)*(Source_Evolution!$Q$3:$Q$731&gt;0))</f>
        <v/>
      </c>
    </row>
    <row r="245">
      <c r="A245" t="inlineStr">
        <is>
          <t>Company 319</t>
        </is>
      </c>
      <c r="B245" t="inlineStr">
        <is>
          <t>Software</t>
        </is>
      </c>
      <c r="C245" t="inlineStr">
        <is>
          <t>UK</t>
        </is>
      </c>
      <c r="D245" t="n">
        <v>2015</v>
      </c>
      <c r="E245" s="17">
        <f>SUMIFS(Source_Evolution!$E$3:$E$731,Source_Evolution!$A$3:$A$731,$A245)</f>
        <v/>
      </c>
      <c r="F245" s="17">
        <f>SUMIFS(Source_Evolution!$F$3:$F$731,Source_Evolution!$A$3:$A$731,$A245)</f>
        <v/>
      </c>
      <c r="G245" s="17">
        <f>SUMIFS(Source_Evolution!$G$3:$G$731,Source_Evolution!$A$3:$A$731,$A245)</f>
        <v/>
      </c>
      <c r="H245" s="17">
        <f>SUMIFS(Source_Evolution!$H$3:$H$731,Source_Evolution!$A$3:$A$731,$A245)</f>
        <v/>
      </c>
      <c r="I245" s="17">
        <f>SUMIFS(Source_Evolution!$I$3:$I$731,Source_Evolution!$A$3:$A$731,$A245)</f>
        <v/>
      </c>
      <c r="J245" s="17">
        <f>SUMIFS(Source_Evolution!$J$3:$J$731,Source_Evolution!$A$3:$A$731,$A245)</f>
        <v/>
      </c>
      <c r="K245" s="17">
        <f>SUMIFS(Source_Evolution!$K$3:$K$731,Source_Evolution!$A$3:$A$731,$A245)</f>
        <v/>
      </c>
      <c r="L245" s="17">
        <f>SUMIFS(Source_Evolution!$L$3:$L$731,Source_Evolution!$A$3:$A$731,$A245)</f>
        <v/>
      </c>
      <c r="M245" s="17">
        <f>SUMIFS(Source_Evolution!$M$3:$M$731,Source_Evolution!$A$3:$A$731,$A245)</f>
        <v/>
      </c>
      <c r="N245" s="17">
        <f>SUMIFS(Source_Evolution!$N$3:$N$731,Source_Evolution!$A$3:$A$731,$A245)</f>
        <v/>
      </c>
      <c r="O245" s="17">
        <f>SUMIFS(Source_Evolution!$O$3:$O$731,Source_Evolution!$A$3:$A$731,$A245)</f>
        <v/>
      </c>
      <c r="P245" s="17">
        <f>SUMIFS(Source_Evolution!$P$3:$P$731,Source_Evolution!$A$3:$A$731,$A245)</f>
        <v/>
      </c>
      <c r="Q245" s="17">
        <f>SUMIFS(Source_Evolution!$Q$3:$Q$731,Source_Evolution!$A$3:$A$731,$A245)</f>
        <v/>
      </c>
      <c r="R245" s="17">
        <f>SUM(E245:Q245)</f>
        <v/>
      </c>
      <c r="S245" s="17">
        <f>Q245</f>
        <v/>
      </c>
      <c r="T245">
        <f>IF(B245="Software",1,0)</f>
        <v/>
      </c>
      <c r="U245" s="18">
        <f>SUMPRODUCT((Source_Evolution!$A$3:$A$731=$A245)*(Source_Evolution!$E$3:$E$731&gt;0))</f>
        <v/>
      </c>
      <c r="V245" s="18">
        <f>SUMPRODUCT((Source_Evolution!$A$3:$A$731=$A245)*(Source_Evolution!$F$3:$F$731&gt;0))</f>
        <v/>
      </c>
      <c r="W245" s="18">
        <f>SUMPRODUCT((Source_Evolution!$A$3:$A$731=$A245)*(Source_Evolution!$G$3:$G$731&gt;0))</f>
        <v/>
      </c>
      <c r="X245" s="18">
        <f>SUMPRODUCT((Source_Evolution!$A$3:$A$731=$A245)*(Source_Evolution!$H$3:$H$731&gt;0))</f>
        <v/>
      </c>
      <c r="Y245" s="18">
        <f>SUMPRODUCT((Source_Evolution!$A$3:$A$731=$A245)*(Source_Evolution!$I$3:$I$731&gt;0))</f>
        <v/>
      </c>
      <c r="Z245" s="18">
        <f>SUMPRODUCT((Source_Evolution!$A$3:$A$731=$A245)*(Source_Evolution!$J$3:$J$731&gt;0))</f>
        <v/>
      </c>
      <c r="AA245" s="18">
        <f>SUMPRODUCT((Source_Evolution!$A$3:$A$731=$A245)*(Source_Evolution!$K$3:$K$731&gt;0))</f>
        <v/>
      </c>
      <c r="AB245" s="18">
        <f>SUMPRODUCT((Source_Evolution!$A$3:$A$731=$A245)*(Source_Evolution!$L$3:$L$731&gt;0))</f>
        <v/>
      </c>
      <c r="AC245" s="18">
        <f>SUMPRODUCT((Source_Evolution!$A$3:$A$731=$A245)*(Source_Evolution!$M$3:$M$731&gt;0))</f>
        <v/>
      </c>
      <c r="AD245" s="18">
        <f>SUMPRODUCT((Source_Evolution!$A$3:$A$731=$A245)*(Source_Evolution!$N$3:$N$731&gt;0))</f>
        <v/>
      </c>
      <c r="AE245" s="18">
        <f>SUMPRODUCT((Source_Evolution!$A$3:$A$731=$A245)*(Source_Evolution!$O$3:$O$731&gt;0))</f>
        <v/>
      </c>
      <c r="AF245" s="18">
        <f>SUMPRODUCT((Source_Evolution!$A$3:$A$731=$A245)*(Source_Evolution!$P$3:$P$731&gt;0))</f>
        <v/>
      </c>
      <c r="AG245" s="18">
        <f>SUMPRODUCT((Source_Evolution!$A$3:$A$731=$A245)*(Source_Evolution!$Q$3:$Q$731&gt;0))</f>
        <v/>
      </c>
    </row>
    <row r="246">
      <c r="A246" t="inlineStr">
        <is>
          <t>Company 32</t>
        </is>
      </c>
      <c r="B246" t="inlineStr">
        <is>
          <t>Operations</t>
        </is>
      </c>
      <c r="C246" t="inlineStr">
        <is>
          <t>Malta</t>
        </is>
      </c>
      <c r="D246" t="n">
        <v>2014</v>
      </c>
      <c r="E246" s="17">
        <f>SUMIFS(Source_Evolution!$E$3:$E$731,Source_Evolution!$A$3:$A$731,$A246)</f>
        <v/>
      </c>
      <c r="F246" s="17">
        <f>SUMIFS(Source_Evolution!$F$3:$F$731,Source_Evolution!$A$3:$A$731,$A246)</f>
        <v/>
      </c>
      <c r="G246" s="17">
        <f>SUMIFS(Source_Evolution!$G$3:$G$731,Source_Evolution!$A$3:$A$731,$A246)</f>
        <v/>
      </c>
      <c r="H246" s="17">
        <f>SUMIFS(Source_Evolution!$H$3:$H$731,Source_Evolution!$A$3:$A$731,$A246)</f>
        <v/>
      </c>
      <c r="I246" s="17">
        <f>SUMIFS(Source_Evolution!$I$3:$I$731,Source_Evolution!$A$3:$A$731,$A246)</f>
        <v/>
      </c>
      <c r="J246" s="17">
        <f>SUMIFS(Source_Evolution!$J$3:$J$731,Source_Evolution!$A$3:$A$731,$A246)</f>
        <v/>
      </c>
      <c r="K246" s="17">
        <f>SUMIFS(Source_Evolution!$K$3:$K$731,Source_Evolution!$A$3:$A$731,$A246)</f>
        <v/>
      </c>
      <c r="L246" s="17">
        <f>SUMIFS(Source_Evolution!$L$3:$L$731,Source_Evolution!$A$3:$A$731,$A246)</f>
        <v/>
      </c>
      <c r="M246" s="17">
        <f>SUMIFS(Source_Evolution!$M$3:$M$731,Source_Evolution!$A$3:$A$731,$A246)</f>
        <v/>
      </c>
      <c r="N246" s="17">
        <f>SUMIFS(Source_Evolution!$N$3:$N$731,Source_Evolution!$A$3:$A$731,$A246)</f>
        <v/>
      </c>
      <c r="O246" s="17">
        <f>SUMIFS(Source_Evolution!$O$3:$O$731,Source_Evolution!$A$3:$A$731,$A246)</f>
        <v/>
      </c>
      <c r="P246" s="17">
        <f>SUMIFS(Source_Evolution!$P$3:$P$731,Source_Evolution!$A$3:$A$731,$A246)</f>
        <v/>
      </c>
      <c r="Q246" s="17">
        <f>SUMIFS(Source_Evolution!$Q$3:$Q$731,Source_Evolution!$A$3:$A$731,$A246)</f>
        <v/>
      </c>
      <c r="R246" s="17">
        <f>SUM(E246:Q246)</f>
        <v/>
      </c>
      <c r="S246" s="17">
        <f>Q246</f>
        <v/>
      </c>
      <c r="T246">
        <f>IF(B246="Software",1,0)</f>
        <v/>
      </c>
      <c r="U246" s="18">
        <f>SUMPRODUCT((Source_Evolution!$A$3:$A$731=$A246)*(Source_Evolution!$E$3:$E$731&gt;0))</f>
        <v/>
      </c>
      <c r="V246" s="18">
        <f>SUMPRODUCT((Source_Evolution!$A$3:$A$731=$A246)*(Source_Evolution!$F$3:$F$731&gt;0))</f>
        <v/>
      </c>
      <c r="W246" s="18">
        <f>SUMPRODUCT((Source_Evolution!$A$3:$A$731=$A246)*(Source_Evolution!$G$3:$G$731&gt;0))</f>
        <v/>
      </c>
      <c r="X246" s="18">
        <f>SUMPRODUCT((Source_Evolution!$A$3:$A$731=$A246)*(Source_Evolution!$H$3:$H$731&gt;0))</f>
        <v/>
      </c>
      <c r="Y246" s="18">
        <f>SUMPRODUCT((Source_Evolution!$A$3:$A$731=$A246)*(Source_Evolution!$I$3:$I$731&gt;0))</f>
        <v/>
      </c>
      <c r="Z246" s="18">
        <f>SUMPRODUCT((Source_Evolution!$A$3:$A$731=$A246)*(Source_Evolution!$J$3:$J$731&gt;0))</f>
        <v/>
      </c>
      <c r="AA246" s="18">
        <f>SUMPRODUCT((Source_Evolution!$A$3:$A$731=$A246)*(Source_Evolution!$K$3:$K$731&gt;0))</f>
        <v/>
      </c>
      <c r="AB246" s="18">
        <f>SUMPRODUCT((Source_Evolution!$A$3:$A$731=$A246)*(Source_Evolution!$L$3:$L$731&gt;0))</f>
        <v/>
      </c>
      <c r="AC246" s="18">
        <f>SUMPRODUCT((Source_Evolution!$A$3:$A$731=$A246)*(Source_Evolution!$M$3:$M$731&gt;0))</f>
        <v/>
      </c>
      <c r="AD246" s="18">
        <f>SUMPRODUCT((Source_Evolution!$A$3:$A$731=$A246)*(Source_Evolution!$N$3:$N$731&gt;0))</f>
        <v/>
      </c>
      <c r="AE246" s="18">
        <f>SUMPRODUCT((Source_Evolution!$A$3:$A$731=$A246)*(Source_Evolution!$O$3:$O$731&gt;0))</f>
        <v/>
      </c>
      <c r="AF246" s="18">
        <f>SUMPRODUCT((Source_Evolution!$A$3:$A$731=$A246)*(Source_Evolution!$P$3:$P$731&gt;0))</f>
        <v/>
      </c>
      <c r="AG246" s="18">
        <f>SUMPRODUCT((Source_Evolution!$A$3:$A$731=$A246)*(Source_Evolution!$Q$3:$Q$731&gt;0))</f>
        <v/>
      </c>
    </row>
    <row r="247">
      <c r="A247" t="inlineStr">
        <is>
          <t>Company 320</t>
        </is>
      </c>
      <c r="B247" t="inlineStr">
        <is>
          <t>Operations</t>
        </is>
      </c>
      <c r="C247" t="inlineStr">
        <is>
          <t>Austria</t>
        </is>
      </c>
      <c r="D247" t="n">
        <v>2014</v>
      </c>
      <c r="E247" s="17">
        <f>SUMIFS(Source_Evolution!$E$3:$E$731,Source_Evolution!$A$3:$A$731,$A247)</f>
        <v/>
      </c>
      <c r="F247" s="17">
        <f>SUMIFS(Source_Evolution!$F$3:$F$731,Source_Evolution!$A$3:$A$731,$A247)</f>
        <v/>
      </c>
      <c r="G247" s="17">
        <f>SUMIFS(Source_Evolution!$G$3:$G$731,Source_Evolution!$A$3:$A$731,$A247)</f>
        <v/>
      </c>
      <c r="H247" s="17">
        <f>SUMIFS(Source_Evolution!$H$3:$H$731,Source_Evolution!$A$3:$A$731,$A247)</f>
        <v/>
      </c>
      <c r="I247" s="17">
        <f>SUMIFS(Source_Evolution!$I$3:$I$731,Source_Evolution!$A$3:$A$731,$A247)</f>
        <v/>
      </c>
      <c r="J247" s="17">
        <f>SUMIFS(Source_Evolution!$J$3:$J$731,Source_Evolution!$A$3:$A$731,$A247)</f>
        <v/>
      </c>
      <c r="K247" s="17">
        <f>SUMIFS(Source_Evolution!$K$3:$K$731,Source_Evolution!$A$3:$A$731,$A247)</f>
        <v/>
      </c>
      <c r="L247" s="17">
        <f>SUMIFS(Source_Evolution!$L$3:$L$731,Source_Evolution!$A$3:$A$731,$A247)</f>
        <v/>
      </c>
      <c r="M247" s="17">
        <f>SUMIFS(Source_Evolution!$M$3:$M$731,Source_Evolution!$A$3:$A$731,$A247)</f>
        <v/>
      </c>
      <c r="N247" s="17">
        <f>SUMIFS(Source_Evolution!$N$3:$N$731,Source_Evolution!$A$3:$A$731,$A247)</f>
        <v/>
      </c>
      <c r="O247" s="17">
        <f>SUMIFS(Source_Evolution!$O$3:$O$731,Source_Evolution!$A$3:$A$731,$A247)</f>
        <v/>
      </c>
      <c r="P247" s="17">
        <f>SUMIFS(Source_Evolution!$P$3:$P$731,Source_Evolution!$A$3:$A$731,$A247)</f>
        <v/>
      </c>
      <c r="Q247" s="17">
        <f>SUMIFS(Source_Evolution!$Q$3:$Q$731,Source_Evolution!$A$3:$A$731,$A247)</f>
        <v/>
      </c>
      <c r="R247" s="17">
        <f>SUM(E247:Q247)</f>
        <v/>
      </c>
      <c r="S247" s="17">
        <f>Q247</f>
        <v/>
      </c>
      <c r="T247">
        <f>IF(B247="Software",1,0)</f>
        <v/>
      </c>
      <c r="U247" s="18">
        <f>SUMPRODUCT((Source_Evolution!$A$3:$A$731=$A247)*(Source_Evolution!$E$3:$E$731&gt;0))</f>
        <v/>
      </c>
      <c r="V247" s="18">
        <f>SUMPRODUCT((Source_Evolution!$A$3:$A$731=$A247)*(Source_Evolution!$F$3:$F$731&gt;0))</f>
        <v/>
      </c>
      <c r="W247" s="18">
        <f>SUMPRODUCT((Source_Evolution!$A$3:$A$731=$A247)*(Source_Evolution!$G$3:$G$731&gt;0))</f>
        <v/>
      </c>
      <c r="X247" s="18">
        <f>SUMPRODUCT((Source_Evolution!$A$3:$A$731=$A247)*(Source_Evolution!$H$3:$H$731&gt;0))</f>
        <v/>
      </c>
      <c r="Y247" s="18">
        <f>SUMPRODUCT((Source_Evolution!$A$3:$A$731=$A247)*(Source_Evolution!$I$3:$I$731&gt;0))</f>
        <v/>
      </c>
      <c r="Z247" s="18">
        <f>SUMPRODUCT((Source_Evolution!$A$3:$A$731=$A247)*(Source_Evolution!$J$3:$J$731&gt;0))</f>
        <v/>
      </c>
      <c r="AA247" s="18">
        <f>SUMPRODUCT((Source_Evolution!$A$3:$A$731=$A247)*(Source_Evolution!$K$3:$K$731&gt;0))</f>
        <v/>
      </c>
      <c r="AB247" s="18">
        <f>SUMPRODUCT((Source_Evolution!$A$3:$A$731=$A247)*(Source_Evolution!$L$3:$L$731&gt;0))</f>
        <v/>
      </c>
      <c r="AC247" s="18">
        <f>SUMPRODUCT((Source_Evolution!$A$3:$A$731=$A247)*(Source_Evolution!$M$3:$M$731&gt;0))</f>
        <v/>
      </c>
      <c r="AD247" s="18">
        <f>SUMPRODUCT((Source_Evolution!$A$3:$A$731=$A247)*(Source_Evolution!$N$3:$N$731&gt;0))</f>
        <v/>
      </c>
      <c r="AE247" s="18">
        <f>SUMPRODUCT((Source_Evolution!$A$3:$A$731=$A247)*(Source_Evolution!$O$3:$O$731&gt;0))</f>
        <v/>
      </c>
      <c r="AF247" s="18">
        <f>SUMPRODUCT((Source_Evolution!$A$3:$A$731=$A247)*(Source_Evolution!$P$3:$P$731&gt;0))</f>
        <v/>
      </c>
      <c r="AG247" s="18">
        <f>SUMPRODUCT((Source_Evolution!$A$3:$A$731=$A247)*(Source_Evolution!$Q$3:$Q$731&gt;0))</f>
        <v/>
      </c>
    </row>
    <row r="248">
      <c r="A248" t="inlineStr">
        <is>
          <t>Company 321</t>
        </is>
      </c>
      <c r="B248" t="inlineStr">
        <is>
          <t>Software</t>
        </is>
      </c>
      <c r="C248" t="inlineStr">
        <is>
          <t>Germany</t>
        </is>
      </c>
      <c r="D248" t="n">
        <v>2025</v>
      </c>
      <c r="E248" s="17">
        <f>SUMIFS(Source_Evolution!$E$3:$E$731,Source_Evolution!$A$3:$A$731,$A248)</f>
        <v/>
      </c>
      <c r="F248" s="17">
        <f>SUMIFS(Source_Evolution!$F$3:$F$731,Source_Evolution!$A$3:$A$731,$A248)</f>
        <v/>
      </c>
      <c r="G248" s="17">
        <f>SUMIFS(Source_Evolution!$G$3:$G$731,Source_Evolution!$A$3:$A$731,$A248)</f>
        <v/>
      </c>
      <c r="H248" s="17">
        <f>SUMIFS(Source_Evolution!$H$3:$H$731,Source_Evolution!$A$3:$A$731,$A248)</f>
        <v/>
      </c>
      <c r="I248" s="17">
        <f>SUMIFS(Source_Evolution!$I$3:$I$731,Source_Evolution!$A$3:$A$731,$A248)</f>
        <v/>
      </c>
      <c r="J248" s="17">
        <f>SUMIFS(Source_Evolution!$J$3:$J$731,Source_Evolution!$A$3:$A$731,$A248)</f>
        <v/>
      </c>
      <c r="K248" s="17">
        <f>SUMIFS(Source_Evolution!$K$3:$K$731,Source_Evolution!$A$3:$A$731,$A248)</f>
        <v/>
      </c>
      <c r="L248" s="17">
        <f>SUMIFS(Source_Evolution!$L$3:$L$731,Source_Evolution!$A$3:$A$731,$A248)</f>
        <v/>
      </c>
      <c r="M248" s="17">
        <f>SUMIFS(Source_Evolution!$M$3:$M$731,Source_Evolution!$A$3:$A$731,$A248)</f>
        <v/>
      </c>
      <c r="N248" s="17">
        <f>SUMIFS(Source_Evolution!$N$3:$N$731,Source_Evolution!$A$3:$A$731,$A248)</f>
        <v/>
      </c>
      <c r="O248" s="17">
        <f>SUMIFS(Source_Evolution!$O$3:$O$731,Source_Evolution!$A$3:$A$731,$A248)</f>
        <v/>
      </c>
      <c r="P248" s="17">
        <f>SUMIFS(Source_Evolution!$P$3:$P$731,Source_Evolution!$A$3:$A$731,$A248)</f>
        <v/>
      </c>
      <c r="Q248" s="17">
        <f>SUMIFS(Source_Evolution!$Q$3:$Q$731,Source_Evolution!$A$3:$A$731,$A248)</f>
        <v/>
      </c>
      <c r="R248" s="17">
        <f>SUM(E248:Q248)</f>
        <v/>
      </c>
      <c r="S248" s="17">
        <f>Q248</f>
        <v/>
      </c>
      <c r="T248">
        <f>IF(B248="Software",1,0)</f>
        <v/>
      </c>
      <c r="U248" s="18">
        <f>SUMPRODUCT((Source_Evolution!$A$3:$A$731=$A248)*(Source_Evolution!$E$3:$E$731&gt;0))</f>
        <v/>
      </c>
      <c r="V248" s="18">
        <f>SUMPRODUCT((Source_Evolution!$A$3:$A$731=$A248)*(Source_Evolution!$F$3:$F$731&gt;0))</f>
        <v/>
      </c>
      <c r="W248" s="18">
        <f>SUMPRODUCT((Source_Evolution!$A$3:$A$731=$A248)*(Source_Evolution!$G$3:$G$731&gt;0))</f>
        <v/>
      </c>
      <c r="X248" s="18">
        <f>SUMPRODUCT((Source_Evolution!$A$3:$A$731=$A248)*(Source_Evolution!$H$3:$H$731&gt;0))</f>
        <v/>
      </c>
      <c r="Y248" s="18">
        <f>SUMPRODUCT((Source_Evolution!$A$3:$A$731=$A248)*(Source_Evolution!$I$3:$I$731&gt;0))</f>
        <v/>
      </c>
      <c r="Z248" s="18">
        <f>SUMPRODUCT((Source_Evolution!$A$3:$A$731=$A248)*(Source_Evolution!$J$3:$J$731&gt;0))</f>
        <v/>
      </c>
      <c r="AA248" s="18">
        <f>SUMPRODUCT((Source_Evolution!$A$3:$A$731=$A248)*(Source_Evolution!$K$3:$K$731&gt;0))</f>
        <v/>
      </c>
      <c r="AB248" s="18">
        <f>SUMPRODUCT((Source_Evolution!$A$3:$A$731=$A248)*(Source_Evolution!$L$3:$L$731&gt;0))</f>
        <v/>
      </c>
      <c r="AC248" s="18">
        <f>SUMPRODUCT((Source_Evolution!$A$3:$A$731=$A248)*(Source_Evolution!$M$3:$M$731&gt;0))</f>
        <v/>
      </c>
      <c r="AD248" s="18">
        <f>SUMPRODUCT((Source_Evolution!$A$3:$A$731=$A248)*(Source_Evolution!$N$3:$N$731&gt;0))</f>
        <v/>
      </c>
      <c r="AE248" s="18">
        <f>SUMPRODUCT((Source_Evolution!$A$3:$A$731=$A248)*(Source_Evolution!$O$3:$O$731&gt;0))</f>
        <v/>
      </c>
      <c r="AF248" s="18">
        <f>SUMPRODUCT((Source_Evolution!$A$3:$A$731=$A248)*(Source_Evolution!$P$3:$P$731&gt;0))</f>
        <v/>
      </c>
      <c r="AG248" s="18">
        <f>SUMPRODUCT((Source_Evolution!$A$3:$A$731=$A248)*(Source_Evolution!$Q$3:$Q$731&gt;0))</f>
        <v/>
      </c>
    </row>
    <row r="249">
      <c r="A249" t="inlineStr">
        <is>
          <t>Company 322</t>
        </is>
      </c>
      <c r="B249" t="inlineStr">
        <is>
          <t>Software</t>
        </is>
      </c>
      <c r="C249" t="inlineStr">
        <is>
          <t>UK</t>
        </is>
      </c>
      <c r="D249" t="n">
        <v>2014</v>
      </c>
      <c r="E249" s="17">
        <f>SUMIFS(Source_Evolution!$E$3:$E$731,Source_Evolution!$A$3:$A$731,$A249)</f>
        <v/>
      </c>
      <c r="F249" s="17">
        <f>SUMIFS(Source_Evolution!$F$3:$F$731,Source_Evolution!$A$3:$A$731,$A249)</f>
        <v/>
      </c>
      <c r="G249" s="17">
        <f>SUMIFS(Source_Evolution!$G$3:$G$731,Source_Evolution!$A$3:$A$731,$A249)</f>
        <v/>
      </c>
      <c r="H249" s="17">
        <f>SUMIFS(Source_Evolution!$H$3:$H$731,Source_Evolution!$A$3:$A$731,$A249)</f>
        <v/>
      </c>
      <c r="I249" s="17">
        <f>SUMIFS(Source_Evolution!$I$3:$I$731,Source_Evolution!$A$3:$A$731,$A249)</f>
        <v/>
      </c>
      <c r="J249" s="17">
        <f>SUMIFS(Source_Evolution!$J$3:$J$731,Source_Evolution!$A$3:$A$731,$A249)</f>
        <v/>
      </c>
      <c r="K249" s="17">
        <f>SUMIFS(Source_Evolution!$K$3:$K$731,Source_Evolution!$A$3:$A$731,$A249)</f>
        <v/>
      </c>
      <c r="L249" s="17">
        <f>SUMIFS(Source_Evolution!$L$3:$L$731,Source_Evolution!$A$3:$A$731,$A249)</f>
        <v/>
      </c>
      <c r="M249" s="17">
        <f>SUMIFS(Source_Evolution!$M$3:$M$731,Source_Evolution!$A$3:$A$731,$A249)</f>
        <v/>
      </c>
      <c r="N249" s="17">
        <f>SUMIFS(Source_Evolution!$N$3:$N$731,Source_Evolution!$A$3:$A$731,$A249)</f>
        <v/>
      </c>
      <c r="O249" s="17">
        <f>SUMIFS(Source_Evolution!$O$3:$O$731,Source_Evolution!$A$3:$A$731,$A249)</f>
        <v/>
      </c>
      <c r="P249" s="17">
        <f>SUMIFS(Source_Evolution!$P$3:$P$731,Source_Evolution!$A$3:$A$731,$A249)</f>
        <v/>
      </c>
      <c r="Q249" s="17">
        <f>SUMIFS(Source_Evolution!$Q$3:$Q$731,Source_Evolution!$A$3:$A$731,$A249)</f>
        <v/>
      </c>
      <c r="R249" s="17">
        <f>SUM(E249:Q249)</f>
        <v/>
      </c>
      <c r="S249" s="17">
        <f>Q249</f>
        <v/>
      </c>
      <c r="T249">
        <f>IF(B249="Software",1,0)</f>
        <v/>
      </c>
      <c r="U249" s="18">
        <f>SUMPRODUCT((Source_Evolution!$A$3:$A$731=$A249)*(Source_Evolution!$E$3:$E$731&gt;0))</f>
        <v/>
      </c>
      <c r="V249" s="18">
        <f>SUMPRODUCT((Source_Evolution!$A$3:$A$731=$A249)*(Source_Evolution!$F$3:$F$731&gt;0))</f>
        <v/>
      </c>
      <c r="W249" s="18">
        <f>SUMPRODUCT((Source_Evolution!$A$3:$A$731=$A249)*(Source_Evolution!$G$3:$G$731&gt;0))</f>
        <v/>
      </c>
      <c r="X249" s="18">
        <f>SUMPRODUCT((Source_Evolution!$A$3:$A$731=$A249)*(Source_Evolution!$H$3:$H$731&gt;0))</f>
        <v/>
      </c>
      <c r="Y249" s="18">
        <f>SUMPRODUCT((Source_Evolution!$A$3:$A$731=$A249)*(Source_Evolution!$I$3:$I$731&gt;0))</f>
        <v/>
      </c>
      <c r="Z249" s="18">
        <f>SUMPRODUCT((Source_Evolution!$A$3:$A$731=$A249)*(Source_Evolution!$J$3:$J$731&gt;0))</f>
        <v/>
      </c>
      <c r="AA249" s="18">
        <f>SUMPRODUCT((Source_Evolution!$A$3:$A$731=$A249)*(Source_Evolution!$K$3:$K$731&gt;0))</f>
        <v/>
      </c>
      <c r="AB249" s="18">
        <f>SUMPRODUCT((Source_Evolution!$A$3:$A$731=$A249)*(Source_Evolution!$L$3:$L$731&gt;0))</f>
        <v/>
      </c>
      <c r="AC249" s="18">
        <f>SUMPRODUCT((Source_Evolution!$A$3:$A$731=$A249)*(Source_Evolution!$M$3:$M$731&gt;0))</f>
        <v/>
      </c>
      <c r="AD249" s="18">
        <f>SUMPRODUCT((Source_Evolution!$A$3:$A$731=$A249)*(Source_Evolution!$N$3:$N$731&gt;0))</f>
        <v/>
      </c>
      <c r="AE249" s="18">
        <f>SUMPRODUCT((Source_Evolution!$A$3:$A$731=$A249)*(Source_Evolution!$O$3:$O$731&gt;0))</f>
        <v/>
      </c>
      <c r="AF249" s="18">
        <f>SUMPRODUCT((Source_Evolution!$A$3:$A$731=$A249)*(Source_Evolution!$P$3:$P$731&gt;0))</f>
        <v/>
      </c>
      <c r="AG249" s="18">
        <f>SUMPRODUCT((Source_Evolution!$A$3:$A$731=$A249)*(Source_Evolution!$Q$3:$Q$731&gt;0))</f>
        <v/>
      </c>
    </row>
    <row r="250">
      <c r="A250" t="inlineStr">
        <is>
          <t>Company 323</t>
        </is>
      </c>
      <c r="B250" t="inlineStr">
        <is>
          <t>Software</t>
        </is>
      </c>
      <c r="C250" t="inlineStr">
        <is>
          <t>UK</t>
        </is>
      </c>
      <c r="D250" t="n">
        <v>2014</v>
      </c>
      <c r="E250" s="17">
        <f>SUMIFS(Source_Evolution!$E$3:$E$731,Source_Evolution!$A$3:$A$731,$A250)</f>
        <v/>
      </c>
      <c r="F250" s="17">
        <f>SUMIFS(Source_Evolution!$F$3:$F$731,Source_Evolution!$A$3:$A$731,$A250)</f>
        <v/>
      </c>
      <c r="G250" s="17">
        <f>SUMIFS(Source_Evolution!$G$3:$G$731,Source_Evolution!$A$3:$A$731,$A250)</f>
        <v/>
      </c>
      <c r="H250" s="17">
        <f>SUMIFS(Source_Evolution!$H$3:$H$731,Source_Evolution!$A$3:$A$731,$A250)</f>
        <v/>
      </c>
      <c r="I250" s="17">
        <f>SUMIFS(Source_Evolution!$I$3:$I$731,Source_Evolution!$A$3:$A$731,$A250)</f>
        <v/>
      </c>
      <c r="J250" s="17">
        <f>SUMIFS(Source_Evolution!$J$3:$J$731,Source_Evolution!$A$3:$A$731,$A250)</f>
        <v/>
      </c>
      <c r="K250" s="17">
        <f>SUMIFS(Source_Evolution!$K$3:$K$731,Source_Evolution!$A$3:$A$731,$A250)</f>
        <v/>
      </c>
      <c r="L250" s="17">
        <f>SUMIFS(Source_Evolution!$L$3:$L$731,Source_Evolution!$A$3:$A$731,$A250)</f>
        <v/>
      </c>
      <c r="M250" s="17">
        <f>SUMIFS(Source_Evolution!$M$3:$M$731,Source_Evolution!$A$3:$A$731,$A250)</f>
        <v/>
      </c>
      <c r="N250" s="17">
        <f>SUMIFS(Source_Evolution!$N$3:$N$731,Source_Evolution!$A$3:$A$731,$A250)</f>
        <v/>
      </c>
      <c r="O250" s="17">
        <f>SUMIFS(Source_Evolution!$O$3:$O$731,Source_Evolution!$A$3:$A$731,$A250)</f>
        <v/>
      </c>
      <c r="P250" s="17">
        <f>SUMIFS(Source_Evolution!$P$3:$P$731,Source_Evolution!$A$3:$A$731,$A250)</f>
        <v/>
      </c>
      <c r="Q250" s="17">
        <f>SUMIFS(Source_Evolution!$Q$3:$Q$731,Source_Evolution!$A$3:$A$731,$A250)</f>
        <v/>
      </c>
      <c r="R250" s="17">
        <f>SUM(E250:Q250)</f>
        <v/>
      </c>
      <c r="S250" s="17">
        <f>Q250</f>
        <v/>
      </c>
      <c r="T250">
        <f>IF(B250="Software",1,0)</f>
        <v/>
      </c>
      <c r="U250" s="18">
        <f>SUMPRODUCT((Source_Evolution!$A$3:$A$731=$A250)*(Source_Evolution!$E$3:$E$731&gt;0))</f>
        <v/>
      </c>
      <c r="V250" s="18">
        <f>SUMPRODUCT((Source_Evolution!$A$3:$A$731=$A250)*(Source_Evolution!$F$3:$F$731&gt;0))</f>
        <v/>
      </c>
      <c r="W250" s="18">
        <f>SUMPRODUCT((Source_Evolution!$A$3:$A$731=$A250)*(Source_Evolution!$G$3:$G$731&gt;0))</f>
        <v/>
      </c>
      <c r="X250" s="18">
        <f>SUMPRODUCT((Source_Evolution!$A$3:$A$731=$A250)*(Source_Evolution!$H$3:$H$731&gt;0))</f>
        <v/>
      </c>
      <c r="Y250" s="18">
        <f>SUMPRODUCT((Source_Evolution!$A$3:$A$731=$A250)*(Source_Evolution!$I$3:$I$731&gt;0))</f>
        <v/>
      </c>
      <c r="Z250" s="18">
        <f>SUMPRODUCT((Source_Evolution!$A$3:$A$731=$A250)*(Source_Evolution!$J$3:$J$731&gt;0))</f>
        <v/>
      </c>
      <c r="AA250" s="18">
        <f>SUMPRODUCT((Source_Evolution!$A$3:$A$731=$A250)*(Source_Evolution!$K$3:$K$731&gt;0))</f>
        <v/>
      </c>
      <c r="AB250" s="18">
        <f>SUMPRODUCT((Source_Evolution!$A$3:$A$731=$A250)*(Source_Evolution!$L$3:$L$731&gt;0))</f>
        <v/>
      </c>
      <c r="AC250" s="18">
        <f>SUMPRODUCT((Source_Evolution!$A$3:$A$731=$A250)*(Source_Evolution!$M$3:$M$731&gt;0))</f>
        <v/>
      </c>
      <c r="AD250" s="18">
        <f>SUMPRODUCT((Source_Evolution!$A$3:$A$731=$A250)*(Source_Evolution!$N$3:$N$731&gt;0))</f>
        <v/>
      </c>
      <c r="AE250" s="18">
        <f>SUMPRODUCT((Source_Evolution!$A$3:$A$731=$A250)*(Source_Evolution!$O$3:$O$731&gt;0))</f>
        <v/>
      </c>
      <c r="AF250" s="18">
        <f>SUMPRODUCT((Source_Evolution!$A$3:$A$731=$A250)*(Source_Evolution!$P$3:$P$731&gt;0))</f>
        <v/>
      </c>
      <c r="AG250" s="18">
        <f>SUMPRODUCT((Source_Evolution!$A$3:$A$731=$A250)*(Source_Evolution!$Q$3:$Q$731&gt;0))</f>
        <v/>
      </c>
    </row>
    <row r="251">
      <c r="A251" t="inlineStr">
        <is>
          <t>Company 324</t>
        </is>
      </c>
      <c r="B251" t="inlineStr">
        <is>
          <t>Power</t>
        </is>
      </c>
      <c r="C251" t="inlineStr">
        <is>
          <t>UK</t>
        </is>
      </c>
      <c r="D251" t="n">
        <v>2014</v>
      </c>
      <c r="E251" s="17">
        <f>SUMIFS(Source_Evolution!$E$3:$E$731,Source_Evolution!$A$3:$A$731,$A251)</f>
        <v/>
      </c>
      <c r="F251" s="17">
        <f>SUMIFS(Source_Evolution!$F$3:$F$731,Source_Evolution!$A$3:$A$731,$A251)</f>
        <v/>
      </c>
      <c r="G251" s="17">
        <f>SUMIFS(Source_Evolution!$G$3:$G$731,Source_Evolution!$A$3:$A$731,$A251)</f>
        <v/>
      </c>
      <c r="H251" s="17">
        <f>SUMIFS(Source_Evolution!$H$3:$H$731,Source_Evolution!$A$3:$A$731,$A251)</f>
        <v/>
      </c>
      <c r="I251" s="17">
        <f>SUMIFS(Source_Evolution!$I$3:$I$731,Source_Evolution!$A$3:$A$731,$A251)</f>
        <v/>
      </c>
      <c r="J251" s="17">
        <f>SUMIFS(Source_Evolution!$J$3:$J$731,Source_Evolution!$A$3:$A$731,$A251)</f>
        <v/>
      </c>
      <c r="K251" s="17">
        <f>SUMIFS(Source_Evolution!$K$3:$K$731,Source_Evolution!$A$3:$A$731,$A251)</f>
        <v/>
      </c>
      <c r="L251" s="17">
        <f>SUMIFS(Source_Evolution!$L$3:$L$731,Source_Evolution!$A$3:$A$731,$A251)</f>
        <v/>
      </c>
      <c r="M251" s="17">
        <f>SUMIFS(Source_Evolution!$M$3:$M$731,Source_Evolution!$A$3:$A$731,$A251)</f>
        <v/>
      </c>
      <c r="N251" s="17">
        <f>SUMIFS(Source_Evolution!$N$3:$N$731,Source_Evolution!$A$3:$A$731,$A251)</f>
        <v/>
      </c>
      <c r="O251" s="17">
        <f>SUMIFS(Source_Evolution!$O$3:$O$731,Source_Evolution!$A$3:$A$731,$A251)</f>
        <v/>
      </c>
      <c r="P251" s="17">
        <f>SUMIFS(Source_Evolution!$P$3:$P$731,Source_Evolution!$A$3:$A$731,$A251)</f>
        <v/>
      </c>
      <c r="Q251" s="17">
        <f>SUMIFS(Source_Evolution!$Q$3:$Q$731,Source_Evolution!$A$3:$A$731,$A251)</f>
        <v/>
      </c>
      <c r="R251" s="17">
        <f>SUM(E251:Q251)</f>
        <v/>
      </c>
      <c r="S251" s="17">
        <f>Q251</f>
        <v/>
      </c>
      <c r="T251">
        <f>IF(B251="Software",1,0)</f>
        <v/>
      </c>
      <c r="U251" s="18">
        <f>SUMPRODUCT((Source_Evolution!$A$3:$A$731=$A251)*(Source_Evolution!$E$3:$E$731&gt;0))</f>
        <v/>
      </c>
      <c r="V251" s="18">
        <f>SUMPRODUCT((Source_Evolution!$A$3:$A$731=$A251)*(Source_Evolution!$F$3:$F$731&gt;0))</f>
        <v/>
      </c>
      <c r="W251" s="18">
        <f>SUMPRODUCT((Source_Evolution!$A$3:$A$731=$A251)*(Source_Evolution!$G$3:$G$731&gt;0))</f>
        <v/>
      </c>
      <c r="X251" s="18">
        <f>SUMPRODUCT((Source_Evolution!$A$3:$A$731=$A251)*(Source_Evolution!$H$3:$H$731&gt;0))</f>
        <v/>
      </c>
      <c r="Y251" s="18">
        <f>SUMPRODUCT((Source_Evolution!$A$3:$A$731=$A251)*(Source_Evolution!$I$3:$I$731&gt;0))</f>
        <v/>
      </c>
      <c r="Z251" s="18">
        <f>SUMPRODUCT((Source_Evolution!$A$3:$A$731=$A251)*(Source_Evolution!$J$3:$J$731&gt;0))</f>
        <v/>
      </c>
      <c r="AA251" s="18">
        <f>SUMPRODUCT((Source_Evolution!$A$3:$A$731=$A251)*(Source_Evolution!$K$3:$K$731&gt;0))</f>
        <v/>
      </c>
      <c r="AB251" s="18">
        <f>SUMPRODUCT((Source_Evolution!$A$3:$A$731=$A251)*(Source_Evolution!$L$3:$L$731&gt;0))</f>
        <v/>
      </c>
      <c r="AC251" s="18">
        <f>SUMPRODUCT((Source_Evolution!$A$3:$A$731=$A251)*(Source_Evolution!$M$3:$M$731&gt;0))</f>
        <v/>
      </c>
      <c r="AD251" s="18">
        <f>SUMPRODUCT((Source_Evolution!$A$3:$A$731=$A251)*(Source_Evolution!$N$3:$N$731&gt;0))</f>
        <v/>
      </c>
      <c r="AE251" s="18">
        <f>SUMPRODUCT((Source_Evolution!$A$3:$A$731=$A251)*(Source_Evolution!$O$3:$O$731&gt;0))</f>
        <v/>
      </c>
      <c r="AF251" s="18">
        <f>SUMPRODUCT((Source_Evolution!$A$3:$A$731=$A251)*(Source_Evolution!$P$3:$P$731&gt;0))</f>
        <v/>
      </c>
      <c r="AG251" s="18">
        <f>SUMPRODUCT((Source_Evolution!$A$3:$A$731=$A251)*(Source_Evolution!$Q$3:$Q$731&gt;0))</f>
        <v/>
      </c>
    </row>
    <row r="252">
      <c r="A252" t="inlineStr">
        <is>
          <t>Company 325</t>
        </is>
      </c>
      <c r="B252" t="inlineStr">
        <is>
          <t>Software</t>
        </is>
      </c>
      <c r="C252" t="inlineStr">
        <is>
          <t>UK</t>
        </is>
      </c>
      <c r="D252" t="n">
        <v>2014</v>
      </c>
      <c r="E252" s="17">
        <f>SUMIFS(Source_Evolution!$E$3:$E$731,Source_Evolution!$A$3:$A$731,$A252)</f>
        <v/>
      </c>
      <c r="F252" s="17">
        <f>SUMIFS(Source_Evolution!$F$3:$F$731,Source_Evolution!$A$3:$A$731,$A252)</f>
        <v/>
      </c>
      <c r="G252" s="17">
        <f>SUMIFS(Source_Evolution!$G$3:$G$731,Source_Evolution!$A$3:$A$731,$A252)</f>
        <v/>
      </c>
      <c r="H252" s="17">
        <f>SUMIFS(Source_Evolution!$H$3:$H$731,Source_Evolution!$A$3:$A$731,$A252)</f>
        <v/>
      </c>
      <c r="I252" s="17">
        <f>SUMIFS(Source_Evolution!$I$3:$I$731,Source_Evolution!$A$3:$A$731,$A252)</f>
        <v/>
      </c>
      <c r="J252" s="17">
        <f>SUMIFS(Source_Evolution!$J$3:$J$731,Source_Evolution!$A$3:$A$731,$A252)</f>
        <v/>
      </c>
      <c r="K252" s="17">
        <f>SUMIFS(Source_Evolution!$K$3:$K$731,Source_Evolution!$A$3:$A$731,$A252)</f>
        <v/>
      </c>
      <c r="L252" s="17">
        <f>SUMIFS(Source_Evolution!$L$3:$L$731,Source_Evolution!$A$3:$A$731,$A252)</f>
        <v/>
      </c>
      <c r="M252" s="17">
        <f>SUMIFS(Source_Evolution!$M$3:$M$731,Source_Evolution!$A$3:$A$731,$A252)</f>
        <v/>
      </c>
      <c r="N252" s="17">
        <f>SUMIFS(Source_Evolution!$N$3:$N$731,Source_Evolution!$A$3:$A$731,$A252)</f>
        <v/>
      </c>
      <c r="O252" s="17">
        <f>SUMIFS(Source_Evolution!$O$3:$O$731,Source_Evolution!$A$3:$A$731,$A252)</f>
        <v/>
      </c>
      <c r="P252" s="17">
        <f>SUMIFS(Source_Evolution!$P$3:$P$731,Source_Evolution!$A$3:$A$731,$A252)</f>
        <v/>
      </c>
      <c r="Q252" s="17">
        <f>SUMIFS(Source_Evolution!$Q$3:$Q$731,Source_Evolution!$A$3:$A$731,$A252)</f>
        <v/>
      </c>
      <c r="R252" s="17">
        <f>SUM(E252:Q252)</f>
        <v/>
      </c>
      <c r="S252" s="17">
        <f>Q252</f>
        <v/>
      </c>
      <c r="T252">
        <f>IF(B252="Software",1,0)</f>
        <v/>
      </c>
      <c r="U252" s="18">
        <f>SUMPRODUCT((Source_Evolution!$A$3:$A$731=$A252)*(Source_Evolution!$E$3:$E$731&gt;0))</f>
        <v/>
      </c>
      <c r="V252" s="18">
        <f>SUMPRODUCT((Source_Evolution!$A$3:$A$731=$A252)*(Source_Evolution!$F$3:$F$731&gt;0))</f>
        <v/>
      </c>
      <c r="W252" s="18">
        <f>SUMPRODUCT((Source_Evolution!$A$3:$A$731=$A252)*(Source_Evolution!$G$3:$G$731&gt;0))</f>
        <v/>
      </c>
      <c r="X252" s="18">
        <f>SUMPRODUCT((Source_Evolution!$A$3:$A$731=$A252)*(Source_Evolution!$H$3:$H$731&gt;0))</f>
        <v/>
      </c>
      <c r="Y252" s="18">
        <f>SUMPRODUCT((Source_Evolution!$A$3:$A$731=$A252)*(Source_Evolution!$I$3:$I$731&gt;0))</f>
        <v/>
      </c>
      <c r="Z252" s="18">
        <f>SUMPRODUCT((Source_Evolution!$A$3:$A$731=$A252)*(Source_Evolution!$J$3:$J$731&gt;0))</f>
        <v/>
      </c>
      <c r="AA252" s="18">
        <f>SUMPRODUCT((Source_Evolution!$A$3:$A$731=$A252)*(Source_Evolution!$K$3:$K$731&gt;0))</f>
        <v/>
      </c>
      <c r="AB252" s="18">
        <f>SUMPRODUCT((Source_Evolution!$A$3:$A$731=$A252)*(Source_Evolution!$L$3:$L$731&gt;0))</f>
        <v/>
      </c>
      <c r="AC252" s="18">
        <f>SUMPRODUCT((Source_Evolution!$A$3:$A$731=$A252)*(Source_Evolution!$M$3:$M$731&gt;0))</f>
        <v/>
      </c>
      <c r="AD252" s="18">
        <f>SUMPRODUCT((Source_Evolution!$A$3:$A$731=$A252)*(Source_Evolution!$N$3:$N$731&gt;0))</f>
        <v/>
      </c>
      <c r="AE252" s="18">
        <f>SUMPRODUCT((Source_Evolution!$A$3:$A$731=$A252)*(Source_Evolution!$O$3:$O$731&gt;0))</f>
        <v/>
      </c>
      <c r="AF252" s="18">
        <f>SUMPRODUCT((Source_Evolution!$A$3:$A$731=$A252)*(Source_Evolution!$P$3:$P$731&gt;0))</f>
        <v/>
      </c>
      <c r="AG252" s="18">
        <f>SUMPRODUCT((Source_Evolution!$A$3:$A$731=$A252)*(Source_Evolution!$Q$3:$Q$731&gt;0))</f>
        <v/>
      </c>
    </row>
    <row r="253">
      <c r="A253" t="inlineStr">
        <is>
          <t>Company 326</t>
        </is>
      </c>
      <c r="B253" t="inlineStr">
        <is>
          <t>Operations</t>
        </is>
      </c>
      <c r="C253" t="inlineStr">
        <is>
          <t>UK</t>
        </is>
      </c>
      <c r="D253" t="n">
        <v>2014</v>
      </c>
      <c r="E253" s="17">
        <f>SUMIFS(Source_Evolution!$E$3:$E$731,Source_Evolution!$A$3:$A$731,$A253)</f>
        <v/>
      </c>
      <c r="F253" s="17">
        <f>SUMIFS(Source_Evolution!$F$3:$F$731,Source_Evolution!$A$3:$A$731,$A253)</f>
        <v/>
      </c>
      <c r="G253" s="17">
        <f>SUMIFS(Source_Evolution!$G$3:$G$731,Source_Evolution!$A$3:$A$731,$A253)</f>
        <v/>
      </c>
      <c r="H253" s="17">
        <f>SUMIFS(Source_Evolution!$H$3:$H$731,Source_Evolution!$A$3:$A$731,$A253)</f>
        <v/>
      </c>
      <c r="I253" s="17">
        <f>SUMIFS(Source_Evolution!$I$3:$I$731,Source_Evolution!$A$3:$A$731,$A253)</f>
        <v/>
      </c>
      <c r="J253" s="17">
        <f>SUMIFS(Source_Evolution!$J$3:$J$731,Source_Evolution!$A$3:$A$731,$A253)</f>
        <v/>
      </c>
      <c r="K253" s="17">
        <f>SUMIFS(Source_Evolution!$K$3:$K$731,Source_Evolution!$A$3:$A$731,$A253)</f>
        <v/>
      </c>
      <c r="L253" s="17">
        <f>SUMIFS(Source_Evolution!$L$3:$L$731,Source_Evolution!$A$3:$A$731,$A253)</f>
        <v/>
      </c>
      <c r="M253" s="17">
        <f>SUMIFS(Source_Evolution!$M$3:$M$731,Source_Evolution!$A$3:$A$731,$A253)</f>
        <v/>
      </c>
      <c r="N253" s="17">
        <f>SUMIFS(Source_Evolution!$N$3:$N$731,Source_Evolution!$A$3:$A$731,$A253)</f>
        <v/>
      </c>
      <c r="O253" s="17">
        <f>SUMIFS(Source_Evolution!$O$3:$O$731,Source_Evolution!$A$3:$A$731,$A253)</f>
        <v/>
      </c>
      <c r="P253" s="17">
        <f>SUMIFS(Source_Evolution!$P$3:$P$731,Source_Evolution!$A$3:$A$731,$A253)</f>
        <v/>
      </c>
      <c r="Q253" s="17">
        <f>SUMIFS(Source_Evolution!$Q$3:$Q$731,Source_Evolution!$A$3:$A$731,$A253)</f>
        <v/>
      </c>
      <c r="R253" s="17">
        <f>SUM(E253:Q253)</f>
        <v/>
      </c>
      <c r="S253" s="17">
        <f>Q253</f>
        <v/>
      </c>
      <c r="T253">
        <f>IF(B253="Software",1,0)</f>
        <v/>
      </c>
      <c r="U253" s="18">
        <f>SUMPRODUCT((Source_Evolution!$A$3:$A$731=$A253)*(Source_Evolution!$E$3:$E$731&gt;0))</f>
        <v/>
      </c>
      <c r="V253" s="18">
        <f>SUMPRODUCT((Source_Evolution!$A$3:$A$731=$A253)*(Source_Evolution!$F$3:$F$731&gt;0))</f>
        <v/>
      </c>
      <c r="W253" s="18">
        <f>SUMPRODUCT((Source_Evolution!$A$3:$A$731=$A253)*(Source_Evolution!$G$3:$G$731&gt;0))</f>
        <v/>
      </c>
      <c r="X253" s="18">
        <f>SUMPRODUCT((Source_Evolution!$A$3:$A$731=$A253)*(Source_Evolution!$H$3:$H$731&gt;0))</f>
        <v/>
      </c>
      <c r="Y253" s="18">
        <f>SUMPRODUCT((Source_Evolution!$A$3:$A$731=$A253)*(Source_Evolution!$I$3:$I$731&gt;0))</f>
        <v/>
      </c>
      <c r="Z253" s="18">
        <f>SUMPRODUCT((Source_Evolution!$A$3:$A$731=$A253)*(Source_Evolution!$J$3:$J$731&gt;0))</f>
        <v/>
      </c>
      <c r="AA253" s="18">
        <f>SUMPRODUCT((Source_Evolution!$A$3:$A$731=$A253)*(Source_Evolution!$K$3:$K$731&gt;0))</f>
        <v/>
      </c>
      <c r="AB253" s="18">
        <f>SUMPRODUCT((Source_Evolution!$A$3:$A$731=$A253)*(Source_Evolution!$L$3:$L$731&gt;0))</f>
        <v/>
      </c>
      <c r="AC253" s="18">
        <f>SUMPRODUCT((Source_Evolution!$A$3:$A$731=$A253)*(Source_Evolution!$M$3:$M$731&gt;0))</f>
        <v/>
      </c>
      <c r="AD253" s="18">
        <f>SUMPRODUCT((Source_Evolution!$A$3:$A$731=$A253)*(Source_Evolution!$N$3:$N$731&gt;0))</f>
        <v/>
      </c>
      <c r="AE253" s="18">
        <f>SUMPRODUCT((Source_Evolution!$A$3:$A$731=$A253)*(Source_Evolution!$O$3:$O$731&gt;0))</f>
        <v/>
      </c>
      <c r="AF253" s="18">
        <f>SUMPRODUCT((Source_Evolution!$A$3:$A$731=$A253)*(Source_Evolution!$P$3:$P$731&gt;0))</f>
        <v/>
      </c>
      <c r="AG253" s="18">
        <f>SUMPRODUCT((Source_Evolution!$A$3:$A$731=$A253)*(Source_Evolution!$Q$3:$Q$731&gt;0))</f>
        <v/>
      </c>
    </row>
    <row r="254">
      <c r="A254" t="inlineStr">
        <is>
          <t>Company 327</t>
        </is>
      </c>
      <c r="B254" t="inlineStr">
        <is>
          <t>Operations</t>
        </is>
      </c>
      <c r="C254" t="inlineStr">
        <is>
          <t>UK</t>
        </is>
      </c>
      <c r="D254" t="n">
        <v>2014</v>
      </c>
      <c r="E254" s="17">
        <f>SUMIFS(Source_Evolution!$E$3:$E$731,Source_Evolution!$A$3:$A$731,$A254)</f>
        <v/>
      </c>
      <c r="F254" s="17">
        <f>SUMIFS(Source_Evolution!$F$3:$F$731,Source_Evolution!$A$3:$A$731,$A254)</f>
        <v/>
      </c>
      <c r="G254" s="17">
        <f>SUMIFS(Source_Evolution!$G$3:$G$731,Source_Evolution!$A$3:$A$731,$A254)</f>
        <v/>
      </c>
      <c r="H254" s="17">
        <f>SUMIFS(Source_Evolution!$H$3:$H$731,Source_Evolution!$A$3:$A$731,$A254)</f>
        <v/>
      </c>
      <c r="I254" s="17">
        <f>SUMIFS(Source_Evolution!$I$3:$I$731,Source_Evolution!$A$3:$A$731,$A254)</f>
        <v/>
      </c>
      <c r="J254" s="17">
        <f>SUMIFS(Source_Evolution!$J$3:$J$731,Source_Evolution!$A$3:$A$731,$A254)</f>
        <v/>
      </c>
      <c r="K254" s="17">
        <f>SUMIFS(Source_Evolution!$K$3:$K$731,Source_Evolution!$A$3:$A$731,$A254)</f>
        <v/>
      </c>
      <c r="L254" s="17">
        <f>SUMIFS(Source_Evolution!$L$3:$L$731,Source_Evolution!$A$3:$A$731,$A254)</f>
        <v/>
      </c>
      <c r="M254" s="17">
        <f>SUMIFS(Source_Evolution!$M$3:$M$731,Source_Evolution!$A$3:$A$731,$A254)</f>
        <v/>
      </c>
      <c r="N254" s="17">
        <f>SUMIFS(Source_Evolution!$N$3:$N$731,Source_Evolution!$A$3:$A$731,$A254)</f>
        <v/>
      </c>
      <c r="O254" s="17">
        <f>SUMIFS(Source_Evolution!$O$3:$O$731,Source_Evolution!$A$3:$A$731,$A254)</f>
        <v/>
      </c>
      <c r="P254" s="17">
        <f>SUMIFS(Source_Evolution!$P$3:$P$731,Source_Evolution!$A$3:$A$731,$A254)</f>
        <v/>
      </c>
      <c r="Q254" s="17">
        <f>SUMIFS(Source_Evolution!$Q$3:$Q$731,Source_Evolution!$A$3:$A$731,$A254)</f>
        <v/>
      </c>
      <c r="R254" s="17">
        <f>SUM(E254:Q254)</f>
        <v/>
      </c>
      <c r="S254" s="17">
        <f>Q254</f>
        <v/>
      </c>
      <c r="T254">
        <f>IF(B254="Software",1,0)</f>
        <v/>
      </c>
      <c r="U254" s="18">
        <f>SUMPRODUCT((Source_Evolution!$A$3:$A$731=$A254)*(Source_Evolution!$E$3:$E$731&gt;0))</f>
        <v/>
      </c>
      <c r="V254" s="18">
        <f>SUMPRODUCT((Source_Evolution!$A$3:$A$731=$A254)*(Source_Evolution!$F$3:$F$731&gt;0))</f>
        <v/>
      </c>
      <c r="W254" s="18">
        <f>SUMPRODUCT((Source_Evolution!$A$3:$A$731=$A254)*(Source_Evolution!$G$3:$G$731&gt;0))</f>
        <v/>
      </c>
      <c r="X254" s="18">
        <f>SUMPRODUCT((Source_Evolution!$A$3:$A$731=$A254)*(Source_Evolution!$H$3:$H$731&gt;0))</f>
        <v/>
      </c>
      <c r="Y254" s="18">
        <f>SUMPRODUCT((Source_Evolution!$A$3:$A$731=$A254)*(Source_Evolution!$I$3:$I$731&gt;0))</f>
        <v/>
      </c>
      <c r="Z254" s="18">
        <f>SUMPRODUCT((Source_Evolution!$A$3:$A$731=$A254)*(Source_Evolution!$J$3:$J$731&gt;0))</f>
        <v/>
      </c>
      <c r="AA254" s="18">
        <f>SUMPRODUCT((Source_Evolution!$A$3:$A$731=$A254)*(Source_Evolution!$K$3:$K$731&gt;0))</f>
        <v/>
      </c>
      <c r="AB254" s="18">
        <f>SUMPRODUCT((Source_Evolution!$A$3:$A$731=$A254)*(Source_Evolution!$L$3:$L$731&gt;0))</f>
        <v/>
      </c>
      <c r="AC254" s="18">
        <f>SUMPRODUCT((Source_Evolution!$A$3:$A$731=$A254)*(Source_Evolution!$M$3:$M$731&gt;0))</f>
        <v/>
      </c>
      <c r="AD254" s="18">
        <f>SUMPRODUCT((Source_Evolution!$A$3:$A$731=$A254)*(Source_Evolution!$N$3:$N$731&gt;0))</f>
        <v/>
      </c>
      <c r="AE254" s="18">
        <f>SUMPRODUCT((Source_Evolution!$A$3:$A$731=$A254)*(Source_Evolution!$O$3:$O$731&gt;0))</f>
        <v/>
      </c>
      <c r="AF254" s="18">
        <f>SUMPRODUCT((Source_Evolution!$A$3:$A$731=$A254)*(Source_Evolution!$P$3:$P$731&gt;0))</f>
        <v/>
      </c>
      <c r="AG254" s="18">
        <f>SUMPRODUCT((Source_Evolution!$A$3:$A$731=$A254)*(Source_Evolution!$Q$3:$Q$731&gt;0))</f>
        <v/>
      </c>
    </row>
    <row r="255">
      <c r="A255" t="inlineStr">
        <is>
          <t>Company 328</t>
        </is>
      </c>
      <c r="B255" t="inlineStr">
        <is>
          <t>Software</t>
        </is>
      </c>
      <c r="C255" t="inlineStr">
        <is>
          <t>UK</t>
        </is>
      </c>
      <c r="D255" t="n">
        <v>2014</v>
      </c>
      <c r="E255" s="17">
        <f>SUMIFS(Source_Evolution!$E$3:$E$731,Source_Evolution!$A$3:$A$731,$A255)</f>
        <v/>
      </c>
      <c r="F255" s="17">
        <f>SUMIFS(Source_Evolution!$F$3:$F$731,Source_Evolution!$A$3:$A$731,$A255)</f>
        <v/>
      </c>
      <c r="G255" s="17">
        <f>SUMIFS(Source_Evolution!$G$3:$G$731,Source_Evolution!$A$3:$A$731,$A255)</f>
        <v/>
      </c>
      <c r="H255" s="17">
        <f>SUMIFS(Source_Evolution!$H$3:$H$731,Source_Evolution!$A$3:$A$731,$A255)</f>
        <v/>
      </c>
      <c r="I255" s="17">
        <f>SUMIFS(Source_Evolution!$I$3:$I$731,Source_Evolution!$A$3:$A$731,$A255)</f>
        <v/>
      </c>
      <c r="J255" s="17">
        <f>SUMIFS(Source_Evolution!$J$3:$J$731,Source_Evolution!$A$3:$A$731,$A255)</f>
        <v/>
      </c>
      <c r="K255" s="17">
        <f>SUMIFS(Source_Evolution!$K$3:$K$731,Source_Evolution!$A$3:$A$731,$A255)</f>
        <v/>
      </c>
      <c r="L255" s="17">
        <f>SUMIFS(Source_Evolution!$L$3:$L$731,Source_Evolution!$A$3:$A$731,$A255)</f>
        <v/>
      </c>
      <c r="M255" s="17">
        <f>SUMIFS(Source_Evolution!$M$3:$M$731,Source_Evolution!$A$3:$A$731,$A255)</f>
        <v/>
      </c>
      <c r="N255" s="17">
        <f>SUMIFS(Source_Evolution!$N$3:$N$731,Source_Evolution!$A$3:$A$731,$A255)</f>
        <v/>
      </c>
      <c r="O255" s="17">
        <f>SUMIFS(Source_Evolution!$O$3:$O$731,Source_Evolution!$A$3:$A$731,$A255)</f>
        <v/>
      </c>
      <c r="P255" s="17">
        <f>SUMIFS(Source_Evolution!$P$3:$P$731,Source_Evolution!$A$3:$A$731,$A255)</f>
        <v/>
      </c>
      <c r="Q255" s="17">
        <f>SUMIFS(Source_Evolution!$Q$3:$Q$731,Source_Evolution!$A$3:$A$731,$A255)</f>
        <v/>
      </c>
      <c r="R255" s="17">
        <f>SUM(E255:Q255)</f>
        <v/>
      </c>
      <c r="S255" s="17">
        <f>Q255</f>
        <v/>
      </c>
      <c r="T255">
        <f>IF(B255="Software",1,0)</f>
        <v/>
      </c>
      <c r="U255" s="18">
        <f>SUMPRODUCT((Source_Evolution!$A$3:$A$731=$A255)*(Source_Evolution!$E$3:$E$731&gt;0))</f>
        <v/>
      </c>
      <c r="V255" s="18">
        <f>SUMPRODUCT((Source_Evolution!$A$3:$A$731=$A255)*(Source_Evolution!$F$3:$F$731&gt;0))</f>
        <v/>
      </c>
      <c r="W255" s="18">
        <f>SUMPRODUCT((Source_Evolution!$A$3:$A$731=$A255)*(Source_Evolution!$G$3:$G$731&gt;0))</f>
        <v/>
      </c>
      <c r="X255" s="18">
        <f>SUMPRODUCT((Source_Evolution!$A$3:$A$731=$A255)*(Source_Evolution!$H$3:$H$731&gt;0))</f>
        <v/>
      </c>
      <c r="Y255" s="18">
        <f>SUMPRODUCT((Source_Evolution!$A$3:$A$731=$A255)*(Source_Evolution!$I$3:$I$731&gt;0))</f>
        <v/>
      </c>
      <c r="Z255" s="18">
        <f>SUMPRODUCT((Source_Evolution!$A$3:$A$731=$A255)*(Source_Evolution!$J$3:$J$731&gt;0))</f>
        <v/>
      </c>
      <c r="AA255" s="18">
        <f>SUMPRODUCT((Source_Evolution!$A$3:$A$731=$A255)*(Source_Evolution!$K$3:$K$731&gt;0))</f>
        <v/>
      </c>
      <c r="AB255" s="18">
        <f>SUMPRODUCT((Source_Evolution!$A$3:$A$731=$A255)*(Source_Evolution!$L$3:$L$731&gt;0))</f>
        <v/>
      </c>
      <c r="AC255" s="18">
        <f>SUMPRODUCT((Source_Evolution!$A$3:$A$731=$A255)*(Source_Evolution!$M$3:$M$731&gt;0))</f>
        <v/>
      </c>
      <c r="AD255" s="18">
        <f>SUMPRODUCT((Source_Evolution!$A$3:$A$731=$A255)*(Source_Evolution!$N$3:$N$731&gt;0))</f>
        <v/>
      </c>
      <c r="AE255" s="18">
        <f>SUMPRODUCT((Source_Evolution!$A$3:$A$731=$A255)*(Source_Evolution!$O$3:$O$731&gt;0))</f>
        <v/>
      </c>
      <c r="AF255" s="18">
        <f>SUMPRODUCT((Source_Evolution!$A$3:$A$731=$A255)*(Source_Evolution!$P$3:$P$731&gt;0))</f>
        <v/>
      </c>
      <c r="AG255" s="18">
        <f>SUMPRODUCT((Source_Evolution!$A$3:$A$731=$A255)*(Source_Evolution!$Q$3:$Q$731&gt;0))</f>
        <v/>
      </c>
    </row>
    <row r="256">
      <c r="A256" t="inlineStr">
        <is>
          <t>Company 329</t>
        </is>
      </c>
      <c r="B256" t="inlineStr">
        <is>
          <t>Software</t>
        </is>
      </c>
      <c r="C256" t="inlineStr">
        <is>
          <t>Netherlands</t>
        </is>
      </c>
      <c r="D256" t="n">
        <v>2014</v>
      </c>
      <c r="E256" s="17">
        <f>SUMIFS(Source_Evolution!$E$3:$E$731,Source_Evolution!$A$3:$A$731,$A256)</f>
        <v/>
      </c>
      <c r="F256" s="17">
        <f>SUMIFS(Source_Evolution!$F$3:$F$731,Source_Evolution!$A$3:$A$731,$A256)</f>
        <v/>
      </c>
      <c r="G256" s="17">
        <f>SUMIFS(Source_Evolution!$G$3:$G$731,Source_Evolution!$A$3:$A$731,$A256)</f>
        <v/>
      </c>
      <c r="H256" s="17">
        <f>SUMIFS(Source_Evolution!$H$3:$H$731,Source_Evolution!$A$3:$A$731,$A256)</f>
        <v/>
      </c>
      <c r="I256" s="17">
        <f>SUMIFS(Source_Evolution!$I$3:$I$731,Source_Evolution!$A$3:$A$731,$A256)</f>
        <v/>
      </c>
      <c r="J256" s="17">
        <f>SUMIFS(Source_Evolution!$J$3:$J$731,Source_Evolution!$A$3:$A$731,$A256)</f>
        <v/>
      </c>
      <c r="K256" s="17">
        <f>SUMIFS(Source_Evolution!$K$3:$K$731,Source_Evolution!$A$3:$A$731,$A256)</f>
        <v/>
      </c>
      <c r="L256" s="17">
        <f>SUMIFS(Source_Evolution!$L$3:$L$731,Source_Evolution!$A$3:$A$731,$A256)</f>
        <v/>
      </c>
      <c r="M256" s="17">
        <f>SUMIFS(Source_Evolution!$M$3:$M$731,Source_Evolution!$A$3:$A$731,$A256)</f>
        <v/>
      </c>
      <c r="N256" s="17">
        <f>SUMIFS(Source_Evolution!$N$3:$N$731,Source_Evolution!$A$3:$A$731,$A256)</f>
        <v/>
      </c>
      <c r="O256" s="17">
        <f>SUMIFS(Source_Evolution!$O$3:$O$731,Source_Evolution!$A$3:$A$731,$A256)</f>
        <v/>
      </c>
      <c r="P256" s="17">
        <f>SUMIFS(Source_Evolution!$P$3:$P$731,Source_Evolution!$A$3:$A$731,$A256)</f>
        <v/>
      </c>
      <c r="Q256" s="17">
        <f>SUMIFS(Source_Evolution!$Q$3:$Q$731,Source_Evolution!$A$3:$A$731,$A256)</f>
        <v/>
      </c>
      <c r="R256" s="17">
        <f>SUM(E256:Q256)</f>
        <v/>
      </c>
      <c r="S256" s="17">
        <f>Q256</f>
        <v/>
      </c>
      <c r="T256">
        <f>IF(B256="Software",1,0)</f>
        <v/>
      </c>
      <c r="U256" s="18">
        <f>SUMPRODUCT((Source_Evolution!$A$3:$A$731=$A256)*(Source_Evolution!$E$3:$E$731&gt;0))</f>
        <v/>
      </c>
      <c r="V256" s="18">
        <f>SUMPRODUCT((Source_Evolution!$A$3:$A$731=$A256)*(Source_Evolution!$F$3:$F$731&gt;0))</f>
        <v/>
      </c>
      <c r="W256" s="18">
        <f>SUMPRODUCT((Source_Evolution!$A$3:$A$731=$A256)*(Source_Evolution!$G$3:$G$731&gt;0))</f>
        <v/>
      </c>
      <c r="X256" s="18">
        <f>SUMPRODUCT((Source_Evolution!$A$3:$A$731=$A256)*(Source_Evolution!$H$3:$H$731&gt;0))</f>
        <v/>
      </c>
      <c r="Y256" s="18">
        <f>SUMPRODUCT((Source_Evolution!$A$3:$A$731=$A256)*(Source_Evolution!$I$3:$I$731&gt;0))</f>
        <v/>
      </c>
      <c r="Z256" s="18">
        <f>SUMPRODUCT((Source_Evolution!$A$3:$A$731=$A256)*(Source_Evolution!$J$3:$J$731&gt;0))</f>
        <v/>
      </c>
      <c r="AA256" s="18">
        <f>SUMPRODUCT((Source_Evolution!$A$3:$A$731=$A256)*(Source_Evolution!$K$3:$K$731&gt;0))</f>
        <v/>
      </c>
      <c r="AB256" s="18">
        <f>SUMPRODUCT((Source_Evolution!$A$3:$A$731=$A256)*(Source_Evolution!$L$3:$L$731&gt;0))</f>
        <v/>
      </c>
      <c r="AC256" s="18">
        <f>SUMPRODUCT((Source_Evolution!$A$3:$A$731=$A256)*(Source_Evolution!$M$3:$M$731&gt;0))</f>
        <v/>
      </c>
      <c r="AD256" s="18">
        <f>SUMPRODUCT((Source_Evolution!$A$3:$A$731=$A256)*(Source_Evolution!$N$3:$N$731&gt;0))</f>
        <v/>
      </c>
      <c r="AE256" s="18">
        <f>SUMPRODUCT((Source_Evolution!$A$3:$A$731=$A256)*(Source_Evolution!$O$3:$O$731&gt;0))</f>
        <v/>
      </c>
      <c r="AF256" s="18">
        <f>SUMPRODUCT((Source_Evolution!$A$3:$A$731=$A256)*(Source_Evolution!$P$3:$P$731&gt;0))</f>
        <v/>
      </c>
      <c r="AG256" s="18">
        <f>SUMPRODUCT((Source_Evolution!$A$3:$A$731=$A256)*(Source_Evolution!$Q$3:$Q$731&gt;0))</f>
        <v/>
      </c>
    </row>
    <row r="257">
      <c r="A257" t="inlineStr">
        <is>
          <t>Company 33</t>
        </is>
      </c>
      <c r="B257" t="inlineStr">
        <is>
          <t>Software</t>
        </is>
      </c>
      <c r="C257" t="inlineStr">
        <is>
          <t>Portugal</t>
        </is>
      </c>
      <c r="D257" t="n">
        <v>2014</v>
      </c>
      <c r="E257" s="17">
        <f>SUMIFS(Source_Evolution!$E$3:$E$731,Source_Evolution!$A$3:$A$731,$A257)</f>
        <v/>
      </c>
      <c r="F257" s="17">
        <f>SUMIFS(Source_Evolution!$F$3:$F$731,Source_Evolution!$A$3:$A$731,$A257)</f>
        <v/>
      </c>
      <c r="G257" s="17">
        <f>SUMIFS(Source_Evolution!$G$3:$G$731,Source_Evolution!$A$3:$A$731,$A257)</f>
        <v/>
      </c>
      <c r="H257" s="17">
        <f>SUMIFS(Source_Evolution!$H$3:$H$731,Source_Evolution!$A$3:$A$731,$A257)</f>
        <v/>
      </c>
      <c r="I257" s="17">
        <f>SUMIFS(Source_Evolution!$I$3:$I$731,Source_Evolution!$A$3:$A$731,$A257)</f>
        <v/>
      </c>
      <c r="J257" s="17">
        <f>SUMIFS(Source_Evolution!$J$3:$J$731,Source_Evolution!$A$3:$A$731,$A257)</f>
        <v/>
      </c>
      <c r="K257" s="17">
        <f>SUMIFS(Source_Evolution!$K$3:$K$731,Source_Evolution!$A$3:$A$731,$A257)</f>
        <v/>
      </c>
      <c r="L257" s="17">
        <f>SUMIFS(Source_Evolution!$L$3:$L$731,Source_Evolution!$A$3:$A$731,$A257)</f>
        <v/>
      </c>
      <c r="M257" s="17">
        <f>SUMIFS(Source_Evolution!$M$3:$M$731,Source_Evolution!$A$3:$A$731,$A257)</f>
        <v/>
      </c>
      <c r="N257" s="17">
        <f>SUMIFS(Source_Evolution!$N$3:$N$731,Source_Evolution!$A$3:$A$731,$A257)</f>
        <v/>
      </c>
      <c r="O257" s="17">
        <f>SUMIFS(Source_Evolution!$O$3:$O$731,Source_Evolution!$A$3:$A$731,$A257)</f>
        <v/>
      </c>
      <c r="P257" s="17">
        <f>SUMIFS(Source_Evolution!$P$3:$P$731,Source_Evolution!$A$3:$A$731,$A257)</f>
        <v/>
      </c>
      <c r="Q257" s="17">
        <f>SUMIFS(Source_Evolution!$Q$3:$Q$731,Source_Evolution!$A$3:$A$731,$A257)</f>
        <v/>
      </c>
      <c r="R257" s="17">
        <f>SUM(E257:Q257)</f>
        <v/>
      </c>
      <c r="S257" s="17">
        <f>Q257</f>
        <v/>
      </c>
      <c r="T257">
        <f>IF(B257="Software",1,0)</f>
        <v/>
      </c>
      <c r="U257" s="18">
        <f>SUMPRODUCT((Source_Evolution!$A$3:$A$731=$A257)*(Source_Evolution!$E$3:$E$731&gt;0))</f>
        <v/>
      </c>
      <c r="V257" s="18">
        <f>SUMPRODUCT((Source_Evolution!$A$3:$A$731=$A257)*(Source_Evolution!$F$3:$F$731&gt;0))</f>
        <v/>
      </c>
      <c r="W257" s="18">
        <f>SUMPRODUCT((Source_Evolution!$A$3:$A$731=$A257)*(Source_Evolution!$G$3:$G$731&gt;0))</f>
        <v/>
      </c>
      <c r="X257" s="18">
        <f>SUMPRODUCT((Source_Evolution!$A$3:$A$731=$A257)*(Source_Evolution!$H$3:$H$731&gt;0))</f>
        <v/>
      </c>
      <c r="Y257" s="18">
        <f>SUMPRODUCT((Source_Evolution!$A$3:$A$731=$A257)*(Source_Evolution!$I$3:$I$731&gt;0))</f>
        <v/>
      </c>
      <c r="Z257" s="18">
        <f>SUMPRODUCT((Source_Evolution!$A$3:$A$731=$A257)*(Source_Evolution!$J$3:$J$731&gt;0))</f>
        <v/>
      </c>
      <c r="AA257" s="18">
        <f>SUMPRODUCT((Source_Evolution!$A$3:$A$731=$A257)*(Source_Evolution!$K$3:$K$731&gt;0))</f>
        <v/>
      </c>
      <c r="AB257" s="18">
        <f>SUMPRODUCT((Source_Evolution!$A$3:$A$731=$A257)*(Source_Evolution!$L$3:$L$731&gt;0))</f>
        <v/>
      </c>
      <c r="AC257" s="18">
        <f>SUMPRODUCT((Source_Evolution!$A$3:$A$731=$A257)*(Source_Evolution!$M$3:$M$731&gt;0))</f>
        <v/>
      </c>
      <c r="AD257" s="18">
        <f>SUMPRODUCT((Source_Evolution!$A$3:$A$731=$A257)*(Source_Evolution!$N$3:$N$731&gt;0))</f>
        <v/>
      </c>
      <c r="AE257" s="18">
        <f>SUMPRODUCT((Source_Evolution!$A$3:$A$731=$A257)*(Source_Evolution!$O$3:$O$731&gt;0))</f>
        <v/>
      </c>
      <c r="AF257" s="18">
        <f>SUMPRODUCT((Source_Evolution!$A$3:$A$731=$A257)*(Source_Evolution!$P$3:$P$731&gt;0))</f>
        <v/>
      </c>
      <c r="AG257" s="18">
        <f>SUMPRODUCT((Source_Evolution!$A$3:$A$731=$A257)*(Source_Evolution!$Q$3:$Q$731&gt;0))</f>
        <v/>
      </c>
    </row>
    <row r="258">
      <c r="A258" t="inlineStr">
        <is>
          <t>Company 330</t>
        </is>
      </c>
      <c r="B258" t="inlineStr">
        <is>
          <t>Operations</t>
        </is>
      </c>
      <c r="C258" t="inlineStr">
        <is>
          <t>Qatar</t>
        </is>
      </c>
      <c r="D258" t="n">
        <v>2022</v>
      </c>
      <c r="E258" s="17">
        <f>SUMIFS(Source_Evolution!$E$3:$E$731,Source_Evolution!$A$3:$A$731,$A258)</f>
        <v/>
      </c>
      <c r="F258" s="17">
        <f>SUMIFS(Source_Evolution!$F$3:$F$731,Source_Evolution!$A$3:$A$731,$A258)</f>
        <v/>
      </c>
      <c r="G258" s="17">
        <f>SUMIFS(Source_Evolution!$G$3:$G$731,Source_Evolution!$A$3:$A$731,$A258)</f>
        <v/>
      </c>
      <c r="H258" s="17">
        <f>SUMIFS(Source_Evolution!$H$3:$H$731,Source_Evolution!$A$3:$A$731,$A258)</f>
        <v/>
      </c>
      <c r="I258" s="17">
        <f>SUMIFS(Source_Evolution!$I$3:$I$731,Source_Evolution!$A$3:$A$731,$A258)</f>
        <v/>
      </c>
      <c r="J258" s="17">
        <f>SUMIFS(Source_Evolution!$J$3:$J$731,Source_Evolution!$A$3:$A$731,$A258)</f>
        <v/>
      </c>
      <c r="K258" s="17">
        <f>SUMIFS(Source_Evolution!$K$3:$K$731,Source_Evolution!$A$3:$A$731,$A258)</f>
        <v/>
      </c>
      <c r="L258" s="17">
        <f>SUMIFS(Source_Evolution!$L$3:$L$731,Source_Evolution!$A$3:$A$731,$A258)</f>
        <v/>
      </c>
      <c r="M258" s="17">
        <f>SUMIFS(Source_Evolution!$M$3:$M$731,Source_Evolution!$A$3:$A$731,$A258)</f>
        <v/>
      </c>
      <c r="N258" s="17">
        <f>SUMIFS(Source_Evolution!$N$3:$N$731,Source_Evolution!$A$3:$A$731,$A258)</f>
        <v/>
      </c>
      <c r="O258" s="17">
        <f>SUMIFS(Source_Evolution!$O$3:$O$731,Source_Evolution!$A$3:$A$731,$A258)</f>
        <v/>
      </c>
      <c r="P258" s="17">
        <f>SUMIFS(Source_Evolution!$P$3:$P$731,Source_Evolution!$A$3:$A$731,$A258)</f>
        <v/>
      </c>
      <c r="Q258" s="17">
        <f>SUMIFS(Source_Evolution!$Q$3:$Q$731,Source_Evolution!$A$3:$A$731,$A258)</f>
        <v/>
      </c>
      <c r="R258" s="17">
        <f>SUM(E258:Q258)</f>
        <v/>
      </c>
      <c r="S258" s="17">
        <f>Q258</f>
        <v/>
      </c>
      <c r="T258">
        <f>IF(B258="Software",1,0)</f>
        <v/>
      </c>
      <c r="U258" s="18">
        <f>SUMPRODUCT((Source_Evolution!$A$3:$A$731=$A258)*(Source_Evolution!$E$3:$E$731&gt;0))</f>
        <v/>
      </c>
      <c r="V258" s="18">
        <f>SUMPRODUCT((Source_Evolution!$A$3:$A$731=$A258)*(Source_Evolution!$F$3:$F$731&gt;0))</f>
        <v/>
      </c>
      <c r="W258" s="18">
        <f>SUMPRODUCT((Source_Evolution!$A$3:$A$731=$A258)*(Source_Evolution!$G$3:$G$731&gt;0))</f>
        <v/>
      </c>
      <c r="X258" s="18">
        <f>SUMPRODUCT((Source_Evolution!$A$3:$A$731=$A258)*(Source_Evolution!$H$3:$H$731&gt;0))</f>
        <v/>
      </c>
      <c r="Y258" s="18">
        <f>SUMPRODUCT((Source_Evolution!$A$3:$A$731=$A258)*(Source_Evolution!$I$3:$I$731&gt;0))</f>
        <v/>
      </c>
      <c r="Z258" s="18">
        <f>SUMPRODUCT((Source_Evolution!$A$3:$A$731=$A258)*(Source_Evolution!$J$3:$J$731&gt;0))</f>
        <v/>
      </c>
      <c r="AA258" s="18">
        <f>SUMPRODUCT((Source_Evolution!$A$3:$A$731=$A258)*(Source_Evolution!$K$3:$K$731&gt;0))</f>
        <v/>
      </c>
      <c r="AB258" s="18">
        <f>SUMPRODUCT((Source_Evolution!$A$3:$A$731=$A258)*(Source_Evolution!$L$3:$L$731&gt;0))</f>
        <v/>
      </c>
      <c r="AC258" s="18">
        <f>SUMPRODUCT((Source_Evolution!$A$3:$A$731=$A258)*(Source_Evolution!$M$3:$M$731&gt;0))</f>
        <v/>
      </c>
      <c r="AD258" s="18">
        <f>SUMPRODUCT((Source_Evolution!$A$3:$A$731=$A258)*(Source_Evolution!$N$3:$N$731&gt;0))</f>
        <v/>
      </c>
      <c r="AE258" s="18">
        <f>SUMPRODUCT((Source_Evolution!$A$3:$A$731=$A258)*(Source_Evolution!$O$3:$O$731&gt;0))</f>
        <v/>
      </c>
      <c r="AF258" s="18">
        <f>SUMPRODUCT((Source_Evolution!$A$3:$A$731=$A258)*(Source_Evolution!$P$3:$P$731&gt;0))</f>
        <v/>
      </c>
      <c r="AG258" s="18">
        <f>SUMPRODUCT((Source_Evolution!$A$3:$A$731=$A258)*(Source_Evolution!$Q$3:$Q$731&gt;0))</f>
        <v/>
      </c>
    </row>
    <row r="259">
      <c r="A259" t="inlineStr">
        <is>
          <t>Company 331</t>
        </is>
      </c>
      <c r="B259" t="inlineStr">
        <is>
          <t>Software</t>
        </is>
      </c>
      <c r="C259" t="inlineStr">
        <is>
          <t>Switzerland</t>
        </is>
      </c>
      <c r="D259" t="n">
        <v>2014</v>
      </c>
      <c r="E259" s="17">
        <f>SUMIFS(Source_Evolution!$E$3:$E$731,Source_Evolution!$A$3:$A$731,$A259)</f>
        <v/>
      </c>
      <c r="F259" s="17">
        <f>SUMIFS(Source_Evolution!$F$3:$F$731,Source_Evolution!$A$3:$A$731,$A259)</f>
        <v/>
      </c>
      <c r="G259" s="17">
        <f>SUMIFS(Source_Evolution!$G$3:$G$731,Source_Evolution!$A$3:$A$731,$A259)</f>
        <v/>
      </c>
      <c r="H259" s="17">
        <f>SUMIFS(Source_Evolution!$H$3:$H$731,Source_Evolution!$A$3:$A$731,$A259)</f>
        <v/>
      </c>
      <c r="I259" s="17">
        <f>SUMIFS(Source_Evolution!$I$3:$I$731,Source_Evolution!$A$3:$A$731,$A259)</f>
        <v/>
      </c>
      <c r="J259" s="17">
        <f>SUMIFS(Source_Evolution!$J$3:$J$731,Source_Evolution!$A$3:$A$731,$A259)</f>
        <v/>
      </c>
      <c r="K259" s="17">
        <f>SUMIFS(Source_Evolution!$K$3:$K$731,Source_Evolution!$A$3:$A$731,$A259)</f>
        <v/>
      </c>
      <c r="L259" s="17">
        <f>SUMIFS(Source_Evolution!$L$3:$L$731,Source_Evolution!$A$3:$A$731,$A259)</f>
        <v/>
      </c>
      <c r="M259" s="17">
        <f>SUMIFS(Source_Evolution!$M$3:$M$731,Source_Evolution!$A$3:$A$731,$A259)</f>
        <v/>
      </c>
      <c r="N259" s="17">
        <f>SUMIFS(Source_Evolution!$N$3:$N$731,Source_Evolution!$A$3:$A$731,$A259)</f>
        <v/>
      </c>
      <c r="O259" s="17">
        <f>SUMIFS(Source_Evolution!$O$3:$O$731,Source_Evolution!$A$3:$A$731,$A259)</f>
        <v/>
      </c>
      <c r="P259" s="17">
        <f>SUMIFS(Source_Evolution!$P$3:$P$731,Source_Evolution!$A$3:$A$731,$A259)</f>
        <v/>
      </c>
      <c r="Q259" s="17">
        <f>SUMIFS(Source_Evolution!$Q$3:$Q$731,Source_Evolution!$A$3:$A$731,$A259)</f>
        <v/>
      </c>
      <c r="R259" s="17">
        <f>SUM(E259:Q259)</f>
        <v/>
      </c>
      <c r="S259" s="17">
        <f>Q259</f>
        <v/>
      </c>
      <c r="T259">
        <f>IF(B259="Software",1,0)</f>
        <v/>
      </c>
      <c r="U259" s="18">
        <f>SUMPRODUCT((Source_Evolution!$A$3:$A$731=$A259)*(Source_Evolution!$E$3:$E$731&gt;0))</f>
        <v/>
      </c>
      <c r="V259" s="18">
        <f>SUMPRODUCT((Source_Evolution!$A$3:$A$731=$A259)*(Source_Evolution!$F$3:$F$731&gt;0))</f>
        <v/>
      </c>
      <c r="W259" s="18">
        <f>SUMPRODUCT((Source_Evolution!$A$3:$A$731=$A259)*(Source_Evolution!$G$3:$G$731&gt;0))</f>
        <v/>
      </c>
      <c r="X259" s="18">
        <f>SUMPRODUCT((Source_Evolution!$A$3:$A$731=$A259)*(Source_Evolution!$H$3:$H$731&gt;0))</f>
        <v/>
      </c>
      <c r="Y259" s="18">
        <f>SUMPRODUCT((Source_Evolution!$A$3:$A$731=$A259)*(Source_Evolution!$I$3:$I$731&gt;0))</f>
        <v/>
      </c>
      <c r="Z259" s="18">
        <f>SUMPRODUCT((Source_Evolution!$A$3:$A$731=$A259)*(Source_Evolution!$J$3:$J$731&gt;0))</f>
        <v/>
      </c>
      <c r="AA259" s="18">
        <f>SUMPRODUCT((Source_Evolution!$A$3:$A$731=$A259)*(Source_Evolution!$K$3:$K$731&gt;0))</f>
        <v/>
      </c>
      <c r="AB259" s="18">
        <f>SUMPRODUCT((Source_Evolution!$A$3:$A$731=$A259)*(Source_Evolution!$L$3:$L$731&gt;0))</f>
        <v/>
      </c>
      <c r="AC259" s="18">
        <f>SUMPRODUCT((Source_Evolution!$A$3:$A$731=$A259)*(Source_Evolution!$M$3:$M$731&gt;0))</f>
        <v/>
      </c>
      <c r="AD259" s="18">
        <f>SUMPRODUCT((Source_Evolution!$A$3:$A$731=$A259)*(Source_Evolution!$N$3:$N$731&gt;0))</f>
        <v/>
      </c>
      <c r="AE259" s="18">
        <f>SUMPRODUCT((Source_Evolution!$A$3:$A$731=$A259)*(Source_Evolution!$O$3:$O$731&gt;0))</f>
        <v/>
      </c>
      <c r="AF259" s="18">
        <f>SUMPRODUCT((Source_Evolution!$A$3:$A$731=$A259)*(Source_Evolution!$P$3:$P$731&gt;0))</f>
        <v/>
      </c>
      <c r="AG259" s="18">
        <f>SUMPRODUCT((Source_Evolution!$A$3:$A$731=$A259)*(Source_Evolution!$Q$3:$Q$731&gt;0))</f>
        <v/>
      </c>
    </row>
    <row r="260">
      <c r="A260" t="inlineStr">
        <is>
          <t>Company 332</t>
        </is>
      </c>
      <c r="B260" t="inlineStr">
        <is>
          <t>Software</t>
        </is>
      </c>
      <c r="C260" t="inlineStr">
        <is>
          <t>UK</t>
        </is>
      </c>
      <c r="D260" t="n">
        <v>2014</v>
      </c>
      <c r="E260" s="17">
        <f>SUMIFS(Source_Evolution!$E$3:$E$731,Source_Evolution!$A$3:$A$731,$A260)</f>
        <v/>
      </c>
      <c r="F260" s="17">
        <f>SUMIFS(Source_Evolution!$F$3:$F$731,Source_Evolution!$A$3:$A$731,$A260)</f>
        <v/>
      </c>
      <c r="G260" s="17">
        <f>SUMIFS(Source_Evolution!$G$3:$G$731,Source_Evolution!$A$3:$A$731,$A260)</f>
        <v/>
      </c>
      <c r="H260" s="17">
        <f>SUMIFS(Source_Evolution!$H$3:$H$731,Source_Evolution!$A$3:$A$731,$A260)</f>
        <v/>
      </c>
      <c r="I260" s="17">
        <f>SUMIFS(Source_Evolution!$I$3:$I$731,Source_Evolution!$A$3:$A$731,$A260)</f>
        <v/>
      </c>
      <c r="J260" s="17">
        <f>SUMIFS(Source_Evolution!$J$3:$J$731,Source_Evolution!$A$3:$A$731,$A260)</f>
        <v/>
      </c>
      <c r="K260" s="17">
        <f>SUMIFS(Source_Evolution!$K$3:$K$731,Source_Evolution!$A$3:$A$731,$A260)</f>
        <v/>
      </c>
      <c r="L260" s="17">
        <f>SUMIFS(Source_Evolution!$L$3:$L$731,Source_Evolution!$A$3:$A$731,$A260)</f>
        <v/>
      </c>
      <c r="M260" s="17">
        <f>SUMIFS(Source_Evolution!$M$3:$M$731,Source_Evolution!$A$3:$A$731,$A260)</f>
        <v/>
      </c>
      <c r="N260" s="17">
        <f>SUMIFS(Source_Evolution!$N$3:$N$731,Source_Evolution!$A$3:$A$731,$A260)</f>
        <v/>
      </c>
      <c r="O260" s="17">
        <f>SUMIFS(Source_Evolution!$O$3:$O$731,Source_Evolution!$A$3:$A$731,$A260)</f>
        <v/>
      </c>
      <c r="P260" s="17">
        <f>SUMIFS(Source_Evolution!$P$3:$P$731,Source_Evolution!$A$3:$A$731,$A260)</f>
        <v/>
      </c>
      <c r="Q260" s="17">
        <f>SUMIFS(Source_Evolution!$Q$3:$Q$731,Source_Evolution!$A$3:$A$731,$A260)</f>
        <v/>
      </c>
      <c r="R260" s="17">
        <f>SUM(E260:Q260)</f>
        <v/>
      </c>
      <c r="S260" s="17">
        <f>Q260</f>
        <v/>
      </c>
      <c r="T260">
        <f>IF(B260="Software",1,0)</f>
        <v/>
      </c>
      <c r="U260" s="18">
        <f>SUMPRODUCT((Source_Evolution!$A$3:$A$731=$A260)*(Source_Evolution!$E$3:$E$731&gt;0))</f>
        <v/>
      </c>
      <c r="V260" s="18">
        <f>SUMPRODUCT((Source_Evolution!$A$3:$A$731=$A260)*(Source_Evolution!$F$3:$F$731&gt;0))</f>
        <v/>
      </c>
      <c r="W260" s="18">
        <f>SUMPRODUCT((Source_Evolution!$A$3:$A$731=$A260)*(Source_Evolution!$G$3:$G$731&gt;0))</f>
        <v/>
      </c>
      <c r="X260" s="18">
        <f>SUMPRODUCT((Source_Evolution!$A$3:$A$731=$A260)*(Source_Evolution!$H$3:$H$731&gt;0))</f>
        <v/>
      </c>
      <c r="Y260" s="18">
        <f>SUMPRODUCT((Source_Evolution!$A$3:$A$731=$A260)*(Source_Evolution!$I$3:$I$731&gt;0))</f>
        <v/>
      </c>
      <c r="Z260" s="18">
        <f>SUMPRODUCT((Source_Evolution!$A$3:$A$731=$A260)*(Source_Evolution!$J$3:$J$731&gt;0))</f>
        <v/>
      </c>
      <c r="AA260" s="18">
        <f>SUMPRODUCT((Source_Evolution!$A$3:$A$731=$A260)*(Source_Evolution!$K$3:$K$731&gt;0))</f>
        <v/>
      </c>
      <c r="AB260" s="18">
        <f>SUMPRODUCT((Source_Evolution!$A$3:$A$731=$A260)*(Source_Evolution!$L$3:$L$731&gt;0))</f>
        <v/>
      </c>
      <c r="AC260" s="18">
        <f>SUMPRODUCT((Source_Evolution!$A$3:$A$731=$A260)*(Source_Evolution!$M$3:$M$731&gt;0))</f>
        <v/>
      </c>
      <c r="AD260" s="18">
        <f>SUMPRODUCT((Source_Evolution!$A$3:$A$731=$A260)*(Source_Evolution!$N$3:$N$731&gt;0))</f>
        <v/>
      </c>
      <c r="AE260" s="18">
        <f>SUMPRODUCT((Source_Evolution!$A$3:$A$731=$A260)*(Source_Evolution!$O$3:$O$731&gt;0))</f>
        <v/>
      </c>
      <c r="AF260" s="18">
        <f>SUMPRODUCT((Source_Evolution!$A$3:$A$731=$A260)*(Source_Evolution!$P$3:$P$731&gt;0))</f>
        <v/>
      </c>
      <c r="AG260" s="18">
        <f>SUMPRODUCT((Source_Evolution!$A$3:$A$731=$A260)*(Source_Evolution!$Q$3:$Q$731&gt;0))</f>
        <v/>
      </c>
    </row>
    <row r="261">
      <c r="A261" t="inlineStr">
        <is>
          <t>Company 333</t>
        </is>
      </c>
      <c r="B261" t="inlineStr">
        <is>
          <t>Software</t>
        </is>
      </c>
      <c r="C261" t="inlineStr">
        <is>
          <t>UK</t>
        </is>
      </c>
      <c r="D261" t="n">
        <v>2014</v>
      </c>
      <c r="E261" s="17">
        <f>SUMIFS(Source_Evolution!$E$3:$E$731,Source_Evolution!$A$3:$A$731,$A261)</f>
        <v/>
      </c>
      <c r="F261" s="17">
        <f>SUMIFS(Source_Evolution!$F$3:$F$731,Source_Evolution!$A$3:$A$731,$A261)</f>
        <v/>
      </c>
      <c r="G261" s="17">
        <f>SUMIFS(Source_Evolution!$G$3:$G$731,Source_Evolution!$A$3:$A$731,$A261)</f>
        <v/>
      </c>
      <c r="H261" s="17">
        <f>SUMIFS(Source_Evolution!$H$3:$H$731,Source_Evolution!$A$3:$A$731,$A261)</f>
        <v/>
      </c>
      <c r="I261" s="17">
        <f>SUMIFS(Source_Evolution!$I$3:$I$731,Source_Evolution!$A$3:$A$731,$A261)</f>
        <v/>
      </c>
      <c r="J261" s="17">
        <f>SUMIFS(Source_Evolution!$J$3:$J$731,Source_Evolution!$A$3:$A$731,$A261)</f>
        <v/>
      </c>
      <c r="K261" s="17">
        <f>SUMIFS(Source_Evolution!$K$3:$K$731,Source_Evolution!$A$3:$A$731,$A261)</f>
        <v/>
      </c>
      <c r="L261" s="17">
        <f>SUMIFS(Source_Evolution!$L$3:$L$731,Source_Evolution!$A$3:$A$731,$A261)</f>
        <v/>
      </c>
      <c r="M261" s="17">
        <f>SUMIFS(Source_Evolution!$M$3:$M$731,Source_Evolution!$A$3:$A$731,$A261)</f>
        <v/>
      </c>
      <c r="N261" s="17">
        <f>SUMIFS(Source_Evolution!$N$3:$N$731,Source_Evolution!$A$3:$A$731,$A261)</f>
        <v/>
      </c>
      <c r="O261" s="17">
        <f>SUMIFS(Source_Evolution!$O$3:$O$731,Source_Evolution!$A$3:$A$731,$A261)</f>
        <v/>
      </c>
      <c r="P261" s="17">
        <f>SUMIFS(Source_Evolution!$P$3:$P$731,Source_Evolution!$A$3:$A$731,$A261)</f>
        <v/>
      </c>
      <c r="Q261" s="17">
        <f>SUMIFS(Source_Evolution!$Q$3:$Q$731,Source_Evolution!$A$3:$A$731,$A261)</f>
        <v/>
      </c>
      <c r="R261" s="17">
        <f>SUM(E261:Q261)</f>
        <v/>
      </c>
      <c r="S261" s="17">
        <f>Q261</f>
        <v/>
      </c>
      <c r="T261">
        <f>IF(B261="Software",1,0)</f>
        <v/>
      </c>
      <c r="U261" s="18">
        <f>SUMPRODUCT((Source_Evolution!$A$3:$A$731=$A261)*(Source_Evolution!$E$3:$E$731&gt;0))</f>
        <v/>
      </c>
      <c r="V261" s="18">
        <f>SUMPRODUCT((Source_Evolution!$A$3:$A$731=$A261)*(Source_Evolution!$F$3:$F$731&gt;0))</f>
        <v/>
      </c>
      <c r="W261" s="18">
        <f>SUMPRODUCT((Source_Evolution!$A$3:$A$731=$A261)*(Source_Evolution!$G$3:$G$731&gt;0))</f>
        <v/>
      </c>
      <c r="X261" s="18">
        <f>SUMPRODUCT((Source_Evolution!$A$3:$A$731=$A261)*(Source_Evolution!$H$3:$H$731&gt;0))</f>
        <v/>
      </c>
      <c r="Y261" s="18">
        <f>SUMPRODUCT((Source_Evolution!$A$3:$A$731=$A261)*(Source_Evolution!$I$3:$I$731&gt;0))</f>
        <v/>
      </c>
      <c r="Z261" s="18">
        <f>SUMPRODUCT((Source_Evolution!$A$3:$A$731=$A261)*(Source_Evolution!$J$3:$J$731&gt;0))</f>
        <v/>
      </c>
      <c r="AA261" s="18">
        <f>SUMPRODUCT((Source_Evolution!$A$3:$A$731=$A261)*(Source_Evolution!$K$3:$K$731&gt;0))</f>
        <v/>
      </c>
      <c r="AB261" s="18">
        <f>SUMPRODUCT((Source_Evolution!$A$3:$A$731=$A261)*(Source_Evolution!$L$3:$L$731&gt;0))</f>
        <v/>
      </c>
      <c r="AC261" s="18">
        <f>SUMPRODUCT((Source_Evolution!$A$3:$A$731=$A261)*(Source_Evolution!$M$3:$M$731&gt;0))</f>
        <v/>
      </c>
      <c r="AD261" s="18">
        <f>SUMPRODUCT((Source_Evolution!$A$3:$A$731=$A261)*(Source_Evolution!$N$3:$N$731&gt;0))</f>
        <v/>
      </c>
      <c r="AE261" s="18">
        <f>SUMPRODUCT((Source_Evolution!$A$3:$A$731=$A261)*(Source_Evolution!$O$3:$O$731&gt;0))</f>
        <v/>
      </c>
      <c r="AF261" s="18">
        <f>SUMPRODUCT((Source_Evolution!$A$3:$A$731=$A261)*(Source_Evolution!$P$3:$P$731&gt;0))</f>
        <v/>
      </c>
      <c r="AG261" s="18">
        <f>SUMPRODUCT((Source_Evolution!$A$3:$A$731=$A261)*(Source_Evolution!$Q$3:$Q$731&gt;0))</f>
        <v/>
      </c>
    </row>
    <row r="262">
      <c r="A262" t="inlineStr">
        <is>
          <t>Company 334</t>
        </is>
      </c>
      <c r="B262" t="inlineStr">
        <is>
          <t>Software</t>
        </is>
      </c>
      <c r="C262" t="inlineStr">
        <is>
          <t>UK</t>
        </is>
      </c>
      <c r="D262" t="n">
        <v>2014</v>
      </c>
      <c r="E262" s="17">
        <f>SUMIFS(Source_Evolution!$E$3:$E$731,Source_Evolution!$A$3:$A$731,$A262)</f>
        <v/>
      </c>
      <c r="F262" s="17">
        <f>SUMIFS(Source_Evolution!$F$3:$F$731,Source_Evolution!$A$3:$A$731,$A262)</f>
        <v/>
      </c>
      <c r="G262" s="17">
        <f>SUMIFS(Source_Evolution!$G$3:$G$731,Source_Evolution!$A$3:$A$731,$A262)</f>
        <v/>
      </c>
      <c r="H262" s="17">
        <f>SUMIFS(Source_Evolution!$H$3:$H$731,Source_Evolution!$A$3:$A$731,$A262)</f>
        <v/>
      </c>
      <c r="I262" s="17">
        <f>SUMIFS(Source_Evolution!$I$3:$I$731,Source_Evolution!$A$3:$A$731,$A262)</f>
        <v/>
      </c>
      <c r="J262" s="17">
        <f>SUMIFS(Source_Evolution!$J$3:$J$731,Source_Evolution!$A$3:$A$731,$A262)</f>
        <v/>
      </c>
      <c r="K262" s="17">
        <f>SUMIFS(Source_Evolution!$K$3:$K$731,Source_Evolution!$A$3:$A$731,$A262)</f>
        <v/>
      </c>
      <c r="L262" s="17">
        <f>SUMIFS(Source_Evolution!$L$3:$L$731,Source_Evolution!$A$3:$A$731,$A262)</f>
        <v/>
      </c>
      <c r="M262" s="17">
        <f>SUMIFS(Source_Evolution!$M$3:$M$731,Source_Evolution!$A$3:$A$731,$A262)</f>
        <v/>
      </c>
      <c r="N262" s="17">
        <f>SUMIFS(Source_Evolution!$N$3:$N$731,Source_Evolution!$A$3:$A$731,$A262)</f>
        <v/>
      </c>
      <c r="O262" s="17">
        <f>SUMIFS(Source_Evolution!$O$3:$O$731,Source_Evolution!$A$3:$A$731,$A262)</f>
        <v/>
      </c>
      <c r="P262" s="17">
        <f>SUMIFS(Source_Evolution!$P$3:$P$731,Source_Evolution!$A$3:$A$731,$A262)</f>
        <v/>
      </c>
      <c r="Q262" s="17">
        <f>SUMIFS(Source_Evolution!$Q$3:$Q$731,Source_Evolution!$A$3:$A$731,$A262)</f>
        <v/>
      </c>
      <c r="R262" s="17">
        <f>SUM(E262:Q262)</f>
        <v/>
      </c>
      <c r="S262" s="17">
        <f>Q262</f>
        <v/>
      </c>
      <c r="T262">
        <f>IF(B262="Software",1,0)</f>
        <v/>
      </c>
      <c r="U262" s="18">
        <f>SUMPRODUCT((Source_Evolution!$A$3:$A$731=$A262)*(Source_Evolution!$E$3:$E$731&gt;0))</f>
        <v/>
      </c>
      <c r="V262" s="18">
        <f>SUMPRODUCT((Source_Evolution!$A$3:$A$731=$A262)*(Source_Evolution!$F$3:$F$731&gt;0))</f>
        <v/>
      </c>
      <c r="W262" s="18">
        <f>SUMPRODUCT((Source_Evolution!$A$3:$A$731=$A262)*(Source_Evolution!$G$3:$G$731&gt;0))</f>
        <v/>
      </c>
      <c r="X262" s="18">
        <f>SUMPRODUCT((Source_Evolution!$A$3:$A$731=$A262)*(Source_Evolution!$H$3:$H$731&gt;0))</f>
        <v/>
      </c>
      <c r="Y262" s="18">
        <f>SUMPRODUCT((Source_Evolution!$A$3:$A$731=$A262)*(Source_Evolution!$I$3:$I$731&gt;0))</f>
        <v/>
      </c>
      <c r="Z262" s="18">
        <f>SUMPRODUCT((Source_Evolution!$A$3:$A$731=$A262)*(Source_Evolution!$J$3:$J$731&gt;0))</f>
        <v/>
      </c>
      <c r="AA262" s="18">
        <f>SUMPRODUCT((Source_Evolution!$A$3:$A$731=$A262)*(Source_Evolution!$K$3:$K$731&gt;0))</f>
        <v/>
      </c>
      <c r="AB262" s="18">
        <f>SUMPRODUCT((Source_Evolution!$A$3:$A$731=$A262)*(Source_Evolution!$L$3:$L$731&gt;0))</f>
        <v/>
      </c>
      <c r="AC262" s="18">
        <f>SUMPRODUCT((Source_Evolution!$A$3:$A$731=$A262)*(Source_Evolution!$M$3:$M$731&gt;0))</f>
        <v/>
      </c>
      <c r="AD262" s="18">
        <f>SUMPRODUCT((Source_Evolution!$A$3:$A$731=$A262)*(Source_Evolution!$N$3:$N$731&gt;0))</f>
        <v/>
      </c>
      <c r="AE262" s="18">
        <f>SUMPRODUCT((Source_Evolution!$A$3:$A$731=$A262)*(Source_Evolution!$O$3:$O$731&gt;0))</f>
        <v/>
      </c>
      <c r="AF262" s="18">
        <f>SUMPRODUCT((Source_Evolution!$A$3:$A$731=$A262)*(Source_Evolution!$P$3:$P$731&gt;0))</f>
        <v/>
      </c>
      <c r="AG262" s="18">
        <f>SUMPRODUCT((Source_Evolution!$A$3:$A$731=$A262)*(Source_Evolution!$Q$3:$Q$731&gt;0))</f>
        <v/>
      </c>
    </row>
    <row r="263">
      <c r="A263" t="inlineStr">
        <is>
          <t>Company 336</t>
        </is>
      </c>
      <c r="B263" t="inlineStr">
        <is>
          <t>Software</t>
        </is>
      </c>
      <c r="C263" t="inlineStr">
        <is>
          <t>UK</t>
        </is>
      </c>
      <c r="D263" t="n">
        <v>2014</v>
      </c>
      <c r="E263" s="17">
        <f>SUMIFS(Source_Evolution!$E$3:$E$731,Source_Evolution!$A$3:$A$731,$A263)</f>
        <v/>
      </c>
      <c r="F263" s="17">
        <f>SUMIFS(Source_Evolution!$F$3:$F$731,Source_Evolution!$A$3:$A$731,$A263)</f>
        <v/>
      </c>
      <c r="G263" s="17">
        <f>SUMIFS(Source_Evolution!$G$3:$G$731,Source_Evolution!$A$3:$A$731,$A263)</f>
        <v/>
      </c>
      <c r="H263" s="17">
        <f>SUMIFS(Source_Evolution!$H$3:$H$731,Source_Evolution!$A$3:$A$731,$A263)</f>
        <v/>
      </c>
      <c r="I263" s="17">
        <f>SUMIFS(Source_Evolution!$I$3:$I$731,Source_Evolution!$A$3:$A$731,$A263)</f>
        <v/>
      </c>
      <c r="J263" s="17">
        <f>SUMIFS(Source_Evolution!$J$3:$J$731,Source_Evolution!$A$3:$A$731,$A263)</f>
        <v/>
      </c>
      <c r="K263" s="17">
        <f>SUMIFS(Source_Evolution!$K$3:$K$731,Source_Evolution!$A$3:$A$731,$A263)</f>
        <v/>
      </c>
      <c r="L263" s="17">
        <f>SUMIFS(Source_Evolution!$L$3:$L$731,Source_Evolution!$A$3:$A$731,$A263)</f>
        <v/>
      </c>
      <c r="M263" s="17">
        <f>SUMIFS(Source_Evolution!$M$3:$M$731,Source_Evolution!$A$3:$A$731,$A263)</f>
        <v/>
      </c>
      <c r="N263" s="17">
        <f>SUMIFS(Source_Evolution!$N$3:$N$731,Source_Evolution!$A$3:$A$731,$A263)</f>
        <v/>
      </c>
      <c r="O263" s="17">
        <f>SUMIFS(Source_Evolution!$O$3:$O$731,Source_Evolution!$A$3:$A$731,$A263)</f>
        <v/>
      </c>
      <c r="P263" s="17">
        <f>SUMIFS(Source_Evolution!$P$3:$P$731,Source_Evolution!$A$3:$A$731,$A263)</f>
        <v/>
      </c>
      <c r="Q263" s="17">
        <f>SUMIFS(Source_Evolution!$Q$3:$Q$731,Source_Evolution!$A$3:$A$731,$A263)</f>
        <v/>
      </c>
      <c r="R263" s="17">
        <f>SUM(E263:Q263)</f>
        <v/>
      </c>
      <c r="S263" s="17">
        <f>Q263</f>
        <v/>
      </c>
      <c r="T263">
        <f>IF(B263="Software",1,0)</f>
        <v/>
      </c>
      <c r="U263" s="18">
        <f>SUMPRODUCT((Source_Evolution!$A$3:$A$731=$A263)*(Source_Evolution!$E$3:$E$731&gt;0))</f>
        <v/>
      </c>
      <c r="V263" s="18">
        <f>SUMPRODUCT((Source_Evolution!$A$3:$A$731=$A263)*(Source_Evolution!$F$3:$F$731&gt;0))</f>
        <v/>
      </c>
      <c r="W263" s="18">
        <f>SUMPRODUCT((Source_Evolution!$A$3:$A$731=$A263)*(Source_Evolution!$G$3:$G$731&gt;0))</f>
        <v/>
      </c>
      <c r="X263" s="18">
        <f>SUMPRODUCT((Source_Evolution!$A$3:$A$731=$A263)*(Source_Evolution!$H$3:$H$731&gt;0))</f>
        <v/>
      </c>
      <c r="Y263" s="18">
        <f>SUMPRODUCT((Source_Evolution!$A$3:$A$731=$A263)*(Source_Evolution!$I$3:$I$731&gt;0))</f>
        <v/>
      </c>
      <c r="Z263" s="18">
        <f>SUMPRODUCT((Source_Evolution!$A$3:$A$731=$A263)*(Source_Evolution!$J$3:$J$731&gt;0))</f>
        <v/>
      </c>
      <c r="AA263" s="18">
        <f>SUMPRODUCT((Source_Evolution!$A$3:$A$731=$A263)*(Source_Evolution!$K$3:$K$731&gt;0))</f>
        <v/>
      </c>
      <c r="AB263" s="18">
        <f>SUMPRODUCT((Source_Evolution!$A$3:$A$731=$A263)*(Source_Evolution!$L$3:$L$731&gt;0))</f>
        <v/>
      </c>
      <c r="AC263" s="18">
        <f>SUMPRODUCT((Source_Evolution!$A$3:$A$731=$A263)*(Source_Evolution!$M$3:$M$731&gt;0))</f>
        <v/>
      </c>
      <c r="AD263" s="18">
        <f>SUMPRODUCT((Source_Evolution!$A$3:$A$731=$A263)*(Source_Evolution!$N$3:$N$731&gt;0))</f>
        <v/>
      </c>
      <c r="AE263" s="18">
        <f>SUMPRODUCT((Source_Evolution!$A$3:$A$731=$A263)*(Source_Evolution!$O$3:$O$731&gt;0))</f>
        <v/>
      </c>
      <c r="AF263" s="18">
        <f>SUMPRODUCT((Source_Evolution!$A$3:$A$731=$A263)*(Source_Evolution!$P$3:$P$731&gt;0))</f>
        <v/>
      </c>
      <c r="AG263" s="18">
        <f>SUMPRODUCT((Source_Evolution!$A$3:$A$731=$A263)*(Source_Evolution!$Q$3:$Q$731&gt;0))</f>
        <v/>
      </c>
    </row>
    <row r="264">
      <c r="A264" t="inlineStr">
        <is>
          <t>Company 337</t>
        </is>
      </c>
      <c r="B264" t="inlineStr">
        <is>
          <t>Operations</t>
        </is>
      </c>
      <c r="C264" t="inlineStr">
        <is>
          <t>UK</t>
        </is>
      </c>
      <c r="D264" t="n">
        <v>2022</v>
      </c>
      <c r="E264" s="17">
        <f>SUMIFS(Source_Evolution!$E$3:$E$731,Source_Evolution!$A$3:$A$731,$A264)</f>
        <v/>
      </c>
      <c r="F264" s="17">
        <f>SUMIFS(Source_Evolution!$F$3:$F$731,Source_Evolution!$A$3:$A$731,$A264)</f>
        <v/>
      </c>
      <c r="G264" s="17">
        <f>SUMIFS(Source_Evolution!$G$3:$G$731,Source_Evolution!$A$3:$A$731,$A264)</f>
        <v/>
      </c>
      <c r="H264" s="17">
        <f>SUMIFS(Source_Evolution!$H$3:$H$731,Source_Evolution!$A$3:$A$731,$A264)</f>
        <v/>
      </c>
      <c r="I264" s="17">
        <f>SUMIFS(Source_Evolution!$I$3:$I$731,Source_Evolution!$A$3:$A$731,$A264)</f>
        <v/>
      </c>
      <c r="J264" s="17">
        <f>SUMIFS(Source_Evolution!$J$3:$J$731,Source_Evolution!$A$3:$A$731,$A264)</f>
        <v/>
      </c>
      <c r="K264" s="17">
        <f>SUMIFS(Source_Evolution!$K$3:$K$731,Source_Evolution!$A$3:$A$731,$A264)</f>
        <v/>
      </c>
      <c r="L264" s="17">
        <f>SUMIFS(Source_Evolution!$L$3:$L$731,Source_Evolution!$A$3:$A$731,$A264)</f>
        <v/>
      </c>
      <c r="M264" s="17">
        <f>SUMIFS(Source_Evolution!$M$3:$M$731,Source_Evolution!$A$3:$A$731,$A264)</f>
        <v/>
      </c>
      <c r="N264" s="17">
        <f>SUMIFS(Source_Evolution!$N$3:$N$731,Source_Evolution!$A$3:$A$731,$A264)</f>
        <v/>
      </c>
      <c r="O264" s="17">
        <f>SUMIFS(Source_Evolution!$O$3:$O$731,Source_Evolution!$A$3:$A$731,$A264)</f>
        <v/>
      </c>
      <c r="P264" s="17">
        <f>SUMIFS(Source_Evolution!$P$3:$P$731,Source_Evolution!$A$3:$A$731,$A264)</f>
        <v/>
      </c>
      <c r="Q264" s="17">
        <f>SUMIFS(Source_Evolution!$Q$3:$Q$731,Source_Evolution!$A$3:$A$731,$A264)</f>
        <v/>
      </c>
      <c r="R264" s="17">
        <f>SUM(E264:Q264)</f>
        <v/>
      </c>
      <c r="S264" s="17">
        <f>Q264</f>
        <v/>
      </c>
      <c r="T264">
        <f>IF(B264="Software",1,0)</f>
        <v/>
      </c>
      <c r="U264" s="18">
        <f>SUMPRODUCT((Source_Evolution!$A$3:$A$731=$A264)*(Source_Evolution!$E$3:$E$731&gt;0))</f>
        <v/>
      </c>
      <c r="V264" s="18">
        <f>SUMPRODUCT((Source_Evolution!$A$3:$A$731=$A264)*(Source_Evolution!$F$3:$F$731&gt;0))</f>
        <v/>
      </c>
      <c r="W264" s="18">
        <f>SUMPRODUCT((Source_Evolution!$A$3:$A$731=$A264)*(Source_Evolution!$G$3:$G$731&gt;0))</f>
        <v/>
      </c>
      <c r="X264" s="18">
        <f>SUMPRODUCT((Source_Evolution!$A$3:$A$731=$A264)*(Source_Evolution!$H$3:$H$731&gt;0))</f>
        <v/>
      </c>
      <c r="Y264" s="18">
        <f>SUMPRODUCT((Source_Evolution!$A$3:$A$731=$A264)*(Source_Evolution!$I$3:$I$731&gt;0))</f>
        <v/>
      </c>
      <c r="Z264" s="18">
        <f>SUMPRODUCT((Source_Evolution!$A$3:$A$731=$A264)*(Source_Evolution!$J$3:$J$731&gt;0))</f>
        <v/>
      </c>
      <c r="AA264" s="18">
        <f>SUMPRODUCT((Source_Evolution!$A$3:$A$731=$A264)*(Source_Evolution!$K$3:$K$731&gt;0))</f>
        <v/>
      </c>
      <c r="AB264" s="18">
        <f>SUMPRODUCT((Source_Evolution!$A$3:$A$731=$A264)*(Source_Evolution!$L$3:$L$731&gt;0))</f>
        <v/>
      </c>
      <c r="AC264" s="18">
        <f>SUMPRODUCT((Source_Evolution!$A$3:$A$731=$A264)*(Source_Evolution!$M$3:$M$731&gt;0))</f>
        <v/>
      </c>
      <c r="AD264" s="18">
        <f>SUMPRODUCT((Source_Evolution!$A$3:$A$731=$A264)*(Source_Evolution!$N$3:$N$731&gt;0))</f>
        <v/>
      </c>
      <c r="AE264" s="18">
        <f>SUMPRODUCT((Source_Evolution!$A$3:$A$731=$A264)*(Source_Evolution!$O$3:$O$731&gt;0))</f>
        <v/>
      </c>
      <c r="AF264" s="18">
        <f>SUMPRODUCT((Source_Evolution!$A$3:$A$731=$A264)*(Source_Evolution!$P$3:$P$731&gt;0))</f>
        <v/>
      </c>
      <c r="AG264" s="18">
        <f>SUMPRODUCT((Source_Evolution!$A$3:$A$731=$A264)*(Source_Evolution!$Q$3:$Q$731&gt;0))</f>
        <v/>
      </c>
    </row>
    <row r="265">
      <c r="A265" t="inlineStr">
        <is>
          <t>Company 338</t>
        </is>
      </c>
      <c r="B265" t="inlineStr">
        <is>
          <t>Software</t>
        </is>
      </c>
      <c r="C265" t="inlineStr">
        <is>
          <t>UK</t>
        </is>
      </c>
      <c r="D265" t="n">
        <v>2024</v>
      </c>
      <c r="E265" s="17">
        <f>SUMIFS(Source_Evolution!$E$3:$E$731,Source_Evolution!$A$3:$A$731,$A265)</f>
        <v/>
      </c>
      <c r="F265" s="17">
        <f>SUMIFS(Source_Evolution!$F$3:$F$731,Source_Evolution!$A$3:$A$731,$A265)</f>
        <v/>
      </c>
      <c r="G265" s="17">
        <f>SUMIFS(Source_Evolution!$G$3:$G$731,Source_Evolution!$A$3:$A$731,$A265)</f>
        <v/>
      </c>
      <c r="H265" s="17">
        <f>SUMIFS(Source_Evolution!$H$3:$H$731,Source_Evolution!$A$3:$A$731,$A265)</f>
        <v/>
      </c>
      <c r="I265" s="17">
        <f>SUMIFS(Source_Evolution!$I$3:$I$731,Source_Evolution!$A$3:$A$731,$A265)</f>
        <v/>
      </c>
      <c r="J265" s="17">
        <f>SUMIFS(Source_Evolution!$J$3:$J$731,Source_Evolution!$A$3:$A$731,$A265)</f>
        <v/>
      </c>
      <c r="K265" s="17">
        <f>SUMIFS(Source_Evolution!$K$3:$K$731,Source_Evolution!$A$3:$A$731,$A265)</f>
        <v/>
      </c>
      <c r="L265" s="17">
        <f>SUMIFS(Source_Evolution!$L$3:$L$731,Source_Evolution!$A$3:$A$731,$A265)</f>
        <v/>
      </c>
      <c r="M265" s="17">
        <f>SUMIFS(Source_Evolution!$M$3:$M$731,Source_Evolution!$A$3:$A$731,$A265)</f>
        <v/>
      </c>
      <c r="N265" s="17">
        <f>SUMIFS(Source_Evolution!$N$3:$N$731,Source_Evolution!$A$3:$A$731,$A265)</f>
        <v/>
      </c>
      <c r="O265" s="17">
        <f>SUMIFS(Source_Evolution!$O$3:$O$731,Source_Evolution!$A$3:$A$731,$A265)</f>
        <v/>
      </c>
      <c r="P265" s="17">
        <f>SUMIFS(Source_Evolution!$P$3:$P$731,Source_Evolution!$A$3:$A$731,$A265)</f>
        <v/>
      </c>
      <c r="Q265" s="17">
        <f>SUMIFS(Source_Evolution!$Q$3:$Q$731,Source_Evolution!$A$3:$A$731,$A265)</f>
        <v/>
      </c>
      <c r="R265" s="17">
        <f>SUM(E265:Q265)</f>
        <v/>
      </c>
      <c r="S265" s="17">
        <f>Q265</f>
        <v/>
      </c>
      <c r="T265">
        <f>IF(B265="Software",1,0)</f>
        <v/>
      </c>
      <c r="U265" s="18">
        <f>SUMPRODUCT((Source_Evolution!$A$3:$A$731=$A265)*(Source_Evolution!$E$3:$E$731&gt;0))</f>
        <v/>
      </c>
      <c r="V265" s="18">
        <f>SUMPRODUCT((Source_Evolution!$A$3:$A$731=$A265)*(Source_Evolution!$F$3:$F$731&gt;0))</f>
        <v/>
      </c>
      <c r="W265" s="18">
        <f>SUMPRODUCT((Source_Evolution!$A$3:$A$731=$A265)*(Source_Evolution!$G$3:$G$731&gt;0))</f>
        <v/>
      </c>
      <c r="X265" s="18">
        <f>SUMPRODUCT((Source_Evolution!$A$3:$A$731=$A265)*(Source_Evolution!$H$3:$H$731&gt;0))</f>
        <v/>
      </c>
      <c r="Y265" s="18">
        <f>SUMPRODUCT((Source_Evolution!$A$3:$A$731=$A265)*(Source_Evolution!$I$3:$I$731&gt;0))</f>
        <v/>
      </c>
      <c r="Z265" s="18">
        <f>SUMPRODUCT((Source_Evolution!$A$3:$A$731=$A265)*(Source_Evolution!$J$3:$J$731&gt;0))</f>
        <v/>
      </c>
      <c r="AA265" s="18">
        <f>SUMPRODUCT((Source_Evolution!$A$3:$A$731=$A265)*(Source_Evolution!$K$3:$K$731&gt;0))</f>
        <v/>
      </c>
      <c r="AB265" s="18">
        <f>SUMPRODUCT((Source_Evolution!$A$3:$A$731=$A265)*(Source_Evolution!$L$3:$L$731&gt;0))</f>
        <v/>
      </c>
      <c r="AC265" s="18">
        <f>SUMPRODUCT((Source_Evolution!$A$3:$A$731=$A265)*(Source_Evolution!$M$3:$M$731&gt;0))</f>
        <v/>
      </c>
      <c r="AD265" s="18">
        <f>SUMPRODUCT((Source_Evolution!$A$3:$A$731=$A265)*(Source_Evolution!$N$3:$N$731&gt;0))</f>
        <v/>
      </c>
      <c r="AE265" s="18">
        <f>SUMPRODUCT((Source_Evolution!$A$3:$A$731=$A265)*(Source_Evolution!$O$3:$O$731&gt;0))</f>
        <v/>
      </c>
      <c r="AF265" s="18">
        <f>SUMPRODUCT((Source_Evolution!$A$3:$A$731=$A265)*(Source_Evolution!$P$3:$P$731&gt;0))</f>
        <v/>
      </c>
      <c r="AG265" s="18">
        <f>SUMPRODUCT((Source_Evolution!$A$3:$A$731=$A265)*(Source_Evolution!$Q$3:$Q$731&gt;0))</f>
        <v/>
      </c>
    </row>
    <row r="266">
      <c r="A266" t="inlineStr">
        <is>
          <t>Company 339</t>
        </is>
      </c>
      <c r="B266" t="inlineStr">
        <is>
          <t>Software</t>
        </is>
      </c>
      <c r="C266" t="inlineStr">
        <is>
          <t>UK</t>
        </is>
      </c>
      <c r="D266" t="n">
        <v>2014</v>
      </c>
      <c r="E266" s="17">
        <f>SUMIFS(Source_Evolution!$E$3:$E$731,Source_Evolution!$A$3:$A$731,$A266)</f>
        <v/>
      </c>
      <c r="F266" s="17">
        <f>SUMIFS(Source_Evolution!$F$3:$F$731,Source_Evolution!$A$3:$A$731,$A266)</f>
        <v/>
      </c>
      <c r="G266" s="17">
        <f>SUMIFS(Source_Evolution!$G$3:$G$731,Source_Evolution!$A$3:$A$731,$A266)</f>
        <v/>
      </c>
      <c r="H266" s="17">
        <f>SUMIFS(Source_Evolution!$H$3:$H$731,Source_Evolution!$A$3:$A$731,$A266)</f>
        <v/>
      </c>
      <c r="I266" s="17">
        <f>SUMIFS(Source_Evolution!$I$3:$I$731,Source_Evolution!$A$3:$A$731,$A266)</f>
        <v/>
      </c>
      <c r="J266" s="17">
        <f>SUMIFS(Source_Evolution!$J$3:$J$731,Source_Evolution!$A$3:$A$731,$A266)</f>
        <v/>
      </c>
      <c r="K266" s="17">
        <f>SUMIFS(Source_Evolution!$K$3:$K$731,Source_Evolution!$A$3:$A$731,$A266)</f>
        <v/>
      </c>
      <c r="L266" s="17">
        <f>SUMIFS(Source_Evolution!$L$3:$L$731,Source_Evolution!$A$3:$A$731,$A266)</f>
        <v/>
      </c>
      <c r="M266" s="17">
        <f>SUMIFS(Source_Evolution!$M$3:$M$731,Source_Evolution!$A$3:$A$731,$A266)</f>
        <v/>
      </c>
      <c r="N266" s="17">
        <f>SUMIFS(Source_Evolution!$N$3:$N$731,Source_Evolution!$A$3:$A$731,$A266)</f>
        <v/>
      </c>
      <c r="O266" s="17">
        <f>SUMIFS(Source_Evolution!$O$3:$O$731,Source_Evolution!$A$3:$A$731,$A266)</f>
        <v/>
      </c>
      <c r="P266" s="17">
        <f>SUMIFS(Source_Evolution!$P$3:$P$731,Source_Evolution!$A$3:$A$731,$A266)</f>
        <v/>
      </c>
      <c r="Q266" s="17">
        <f>SUMIFS(Source_Evolution!$Q$3:$Q$731,Source_Evolution!$A$3:$A$731,$A266)</f>
        <v/>
      </c>
      <c r="R266" s="17">
        <f>SUM(E266:Q266)</f>
        <v/>
      </c>
      <c r="S266" s="17">
        <f>Q266</f>
        <v/>
      </c>
      <c r="T266">
        <f>IF(B266="Software",1,0)</f>
        <v/>
      </c>
      <c r="U266" s="18">
        <f>SUMPRODUCT((Source_Evolution!$A$3:$A$731=$A266)*(Source_Evolution!$E$3:$E$731&gt;0))</f>
        <v/>
      </c>
      <c r="V266" s="18">
        <f>SUMPRODUCT((Source_Evolution!$A$3:$A$731=$A266)*(Source_Evolution!$F$3:$F$731&gt;0))</f>
        <v/>
      </c>
      <c r="W266" s="18">
        <f>SUMPRODUCT((Source_Evolution!$A$3:$A$731=$A266)*(Source_Evolution!$G$3:$G$731&gt;0))</f>
        <v/>
      </c>
      <c r="X266" s="18">
        <f>SUMPRODUCT((Source_Evolution!$A$3:$A$731=$A266)*(Source_Evolution!$H$3:$H$731&gt;0))</f>
        <v/>
      </c>
      <c r="Y266" s="18">
        <f>SUMPRODUCT((Source_Evolution!$A$3:$A$731=$A266)*(Source_Evolution!$I$3:$I$731&gt;0))</f>
        <v/>
      </c>
      <c r="Z266" s="18">
        <f>SUMPRODUCT((Source_Evolution!$A$3:$A$731=$A266)*(Source_Evolution!$J$3:$J$731&gt;0))</f>
        <v/>
      </c>
      <c r="AA266" s="18">
        <f>SUMPRODUCT((Source_Evolution!$A$3:$A$731=$A266)*(Source_Evolution!$K$3:$K$731&gt;0))</f>
        <v/>
      </c>
      <c r="AB266" s="18">
        <f>SUMPRODUCT((Source_Evolution!$A$3:$A$731=$A266)*(Source_Evolution!$L$3:$L$731&gt;0))</f>
        <v/>
      </c>
      <c r="AC266" s="18">
        <f>SUMPRODUCT((Source_Evolution!$A$3:$A$731=$A266)*(Source_Evolution!$M$3:$M$731&gt;0))</f>
        <v/>
      </c>
      <c r="AD266" s="18">
        <f>SUMPRODUCT((Source_Evolution!$A$3:$A$731=$A266)*(Source_Evolution!$N$3:$N$731&gt;0))</f>
        <v/>
      </c>
      <c r="AE266" s="18">
        <f>SUMPRODUCT((Source_Evolution!$A$3:$A$731=$A266)*(Source_Evolution!$O$3:$O$731&gt;0))</f>
        <v/>
      </c>
      <c r="AF266" s="18">
        <f>SUMPRODUCT((Source_Evolution!$A$3:$A$731=$A266)*(Source_Evolution!$P$3:$P$731&gt;0))</f>
        <v/>
      </c>
      <c r="AG266" s="18">
        <f>SUMPRODUCT((Source_Evolution!$A$3:$A$731=$A266)*(Source_Evolution!$Q$3:$Q$731&gt;0))</f>
        <v/>
      </c>
    </row>
    <row r="267">
      <c r="A267" t="inlineStr">
        <is>
          <t>Company 34</t>
        </is>
      </c>
      <c r="B267" t="inlineStr">
        <is>
          <t>Operations</t>
        </is>
      </c>
      <c r="C267" t="inlineStr">
        <is>
          <t>Ireland</t>
        </is>
      </c>
      <c r="D267" t="n">
        <v>2015</v>
      </c>
      <c r="E267" s="17">
        <f>SUMIFS(Source_Evolution!$E$3:$E$731,Source_Evolution!$A$3:$A$731,$A267)</f>
        <v/>
      </c>
      <c r="F267" s="17">
        <f>SUMIFS(Source_Evolution!$F$3:$F$731,Source_Evolution!$A$3:$A$731,$A267)</f>
        <v/>
      </c>
      <c r="G267" s="17">
        <f>SUMIFS(Source_Evolution!$G$3:$G$731,Source_Evolution!$A$3:$A$731,$A267)</f>
        <v/>
      </c>
      <c r="H267" s="17">
        <f>SUMIFS(Source_Evolution!$H$3:$H$731,Source_Evolution!$A$3:$A$731,$A267)</f>
        <v/>
      </c>
      <c r="I267" s="17">
        <f>SUMIFS(Source_Evolution!$I$3:$I$731,Source_Evolution!$A$3:$A$731,$A267)</f>
        <v/>
      </c>
      <c r="J267" s="17">
        <f>SUMIFS(Source_Evolution!$J$3:$J$731,Source_Evolution!$A$3:$A$731,$A267)</f>
        <v/>
      </c>
      <c r="K267" s="17">
        <f>SUMIFS(Source_Evolution!$K$3:$K$731,Source_Evolution!$A$3:$A$731,$A267)</f>
        <v/>
      </c>
      <c r="L267" s="17">
        <f>SUMIFS(Source_Evolution!$L$3:$L$731,Source_Evolution!$A$3:$A$731,$A267)</f>
        <v/>
      </c>
      <c r="M267" s="17">
        <f>SUMIFS(Source_Evolution!$M$3:$M$731,Source_Evolution!$A$3:$A$731,$A267)</f>
        <v/>
      </c>
      <c r="N267" s="17">
        <f>SUMIFS(Source_Evolution!$N$3:$N$731,Source_Evolution!$A$3:$A$731,$A267)</f>
        <v/>
      </c>
      <c r="O267" s="17">
        <f>SUMIFS(Source_Evolution!$O$3:$O$731,Source_Evolution!$A$3:$A$731,$A267)</f>
        <v/>
      </c>
      <c r="P267" s="17">
        <f>SUMIFS(Source_Evolution!$P$3:$P$731,Source_Evolution!$A$3:$A$731,$A267)</f>
        <v/>
      </c>
      <c r="Q267" s="17">
        <f>SUMIFS(Source_Evolution!$Q$3:$Q$731,Source_Evolution!$A$3:$A$731,$A267)</f>
        <v/>
      </c>
      <c r="R267" s="17">
        <f>SUM(E267:Q267)</f>
        <v/>
      </c>
      <c r="S267" s="17">
        <f>Q267</f>
        <v/>
      </c>
      <c r="T267">
        <f>IF(B267="Software",1,0)</f>
        <v/>
      </c>
      <c r="U267" s="18">
        <f>SUMPRODUCT((Source_Evolution!$A$3:$A$731=$A267)*(Source_Evolution!$E$3:$E$731&gt;0))</f>
        <v/>
      </c>
      <c r="V267" s="18">
        <f>SUMPRODUCT((Source_Evolution!$A$3:$A$731=$A267)*(Source_Evolution!$F$3:$F$731&gt;0))</f>
        <v/>
      </c>
      <c r="W267" s="18">
        <f>SUMPRODUCT((Source_Evolution!$A$3:$A$731=$A267)*(Source_Evolution!$G$3:$G$731&gt;0))</f>
        <v/>
      </c>
      <c r="X267" s="18">
        <f>SUMPRODUCT((Source_Evolution!$A$3:$A$731=$A267)*(Source_Evolution!$H$3:$H$731&gt;0))</f>
        <v/>
      </c>
      <c r="Y267" s="18">
        <f>SUMPRODUCT((Source_Evolution!$A$3:$A$731=$A267)*(Source_Evolution!$I$3:$I$731&gt;0))</f>
        <v/>
      </c>
      <c r="Z267" s="18">
        <f>SUMPRODUCT((Source_Evolution!$A$3:$A$731=$A267)*(Source_Evolution!$J$3:$J$731&gt;0))</f>
        <v/>
      </c>
      <c r="AA267" s="18">
        <f>SUMPRODUCT((Source_Evolution!$A$3:$A$731=$A267)*(Source_Evolution!$K$3:$K$731&gt;0))</f>
        <v/>
      </c>
      <c r="AB267" s="18">
        <f>SUMPRODUCT((Source_Evolution!$A$3:$A$731=$A267)*(Source_Evolution!$L$3:$L$731&gt;0))</f>
        <v/>
      </c>
      <c r="AC267" s="18">
        <f>SUMPRODUCT((Source_Evolution!$A$3:$A$731=$A267)*(Source_Evolution!$M$3:$M$731&gt;0))</f>
        <v/>
      </c>
      <c r="AD267" s="18">
        <f>SUMPRODUCT((Source_Evolution!$A$3:$A$731=$A267)*(Source_Evolution!$N$3:$N$731&gt;0))</f>
        <v/>
      </c>
      <c r="AE267" s="18">
        <f>SUMPRODUCT((Source_Evolution!$A$3:$A$731=$A267)*(Source_Evolution!$O$3:$O$731&gt;0))</f>
        <v/>
      </c>
      <c r="AF267" s="18">
        <f>SUMPRODUCT((Source_Evolution!$A$3:$A$731=$A267)*(Source_Evolution!$P$3:$P$731&gt;0))</f>
        <v/>
      </c>
      <c r="AG267" s="18">
        <f>SUMPRODUCT((Source_Evolution!$A$3:$A$731=$A267)*(Source_Evolution!$Q$3:$Q$731&gt;0))</f>
        <v/>
      </c>
    </row>
    <row r="268">
      <c r="A268" t="inlineStr">
        <is>
          <t>Company 340</t>
        </is>
      </c>
      <c r="B268" t="inlineStr">
        <is>
          <t>Software</t>
        </is>
      </c>
      <c r="C268" t="inlineStr">
        <is>
          <t>UK</t>
        </is>
      </c>
      <c r="D268" t="n">
        <v>2019</v>
      </c>
      <c r="E268" s="17">
        <f>SUMIFS(Source_Evolution!$E$3:$E$731,Source_Evolution!$A$3:$A$731,$A268)</f>
        <v/>
      </c>
      <c r="F268" s="17">
        <f>SUMIFS(Source_Evolution!$F$3:$F$731,Source_Evolution!$A$3:$A$731,$A268)</f>
        <v/>
      </c>
      <c r="G268" s="17">
        <f>SUMIFS(Source_Evolution!$G$3:$G$731,Source_Evolution!$A$3:$A$731,$A268)</f>
        <v/>
      </c>
      <c r="H268" s="17">
        <f>SUMIFS(Source_Evolution!$H$3:$H$731,Source_Evolution!$A$3:$A$731,$A268)</f>
        <v/>
      </c>
      <c r="I268" s="17">
        <f>SUMIFS(Source_Evolution!$I$3:$I$731,Source_Evolution!$A$3:$A$731,$A268)</f>
        <v/>
      </c>
      <c r="J268" s="17">
        <f>SUMIFS(Source_Evolution!$J$3:$J$731,Source_Evolution!$A$3:$A$731,$A268)</f>
        <v/>
      </c>
      <c r="K268" s="17">
        <f>SUMIFS(Source_Evolution!$K$3:$K$731,Source_Evolution!$A$3:$A$731,$A268)</f>
        <v/>
      </c>
      <c r="L268" s="17">
        <f>SUMIFS(Source_Evolution!$L$3:$L$731,Source_Evolution!$A$3:$A$731,$A268)</f>
        <v/>
      </c>
      <c r="M268" s="17">
        <f>SUMIFS(Source_Evolution!$M$3:$M$731,Source_Evolution!$A$3:$A$731,$A268)</f>
        <v/>
      </c>
      <c r="N268" s="17">
        <f>SUMIFS(Source_Evolution!$N$3:$N$731,Source_Evolution!$A$3:$A$731,$A268)</f>
        <v/>
      </c>
      <c r="O268" s="17">
        <f>SUMIFS(Source_Evolution!$O$3:$O$731,Source_Evolution!$A$3:$A$731,$A268)</f>
        <v/>
      </c>
      <c r="P268" s="17">
        <f>SUMIFS(Source_Evolution!$P$3:$P$731,Source_Evolution!$A$3:$A$731,$A268)</f>
        <v/>
      </c>
      <c r="Q268" s="17">
        <f>SUMIFS(Source_Evolution!$Q$3:$Q$731,Source_Evolution!$A$3:$A$731,$A268)</f>
        <v/>
      </c>
      <c r="R268" s="17">
        <f>SUM(E268:Q268)</f>
        <v/>
      </c>
      <c r="S268" s="17">
        <f>Q268</f>
        <v/>
      </c>
      <c r="T268">
        <f>IF(B268="Software",1,0)</f>
        <v/>
      </c>
      <c r="U268" s="18">
        <f>SUMPRODUCT((Source_Evolution!$A$3:$A$731=$A268)*(Source_Evolution!$E$3:$E$731&gt;0))</f>
        <v/>
      </c>
      <c r="V268" s="18">
        <f>SUMPRODUCT((Source_Evolution!$A$3:$A$731=$A268)*(Source_Evolution!$F$3:$F$731&gt;0))</f>
        <v/>
      </c>
      <c r="W268" s="18">
        <f>SUMPRODUCT((Source_Evolution!$A$3:$A$731=$A268)*(Source_Evolution!$G$3:$G$731&gt;0))</f>
        <v/>
      </c>
      <c r="X268" s="18">
        <f>SUMPRODUCT((Source_Evolution!$A$3:$A$731=$A268)*(Source_Evolution!$H$3:$H$731&gt;0))</f>
        <v/>
      </c>
      <c r="Y268" s="18">
        <f>SUMPRODUCT((Source_Evolution!$A$3:$A$731=$A268)*(Source_Evolution!$I$3:$I$731&gt;0))</f>
        <v/>
      </c>
      <c r="Z268" s="18">
        <f>SUMPRODUCT((Source_Evolution!$A$3:$A$731=$A268)*(Source_Evolution!$J$3:$J$731&gt;0))</f>
        <v/>
      </c>
      <c r="AA268" s="18">
        <f>SUMPRODUCT((Source_Evolution!$A$3:$A$731=$A268)*(Source_Evolution!$K$3:$K$731&gt;0))</f>
        <v/>
      </c>
      <c r="AB268" s="18">
        <f>SUMPRODUCT((Source_Evolution!$A$3:$A$731=$A268)*(Source_Evolution!$L$3:$L$731&gt;0))</f>
        <v/>
      </c>
      <c r="AC268" s="18">
        <f>SUMPRODUCT((Source_Evolution!$A$3:$A$731=$A268)*(Source_Evolution!$M$3:$M$731&gt;0))</f>
        <v/>
      </c>
      <c r="AD268" s="18">
        <f>SUMPRODUCT((Source_Evolution!$A$3:$A$731=$A268)*(Source_Evolution!$N$3:$N$731&gt;0))</f>
        <v/>
      </c>
      <c r="AE268" s="18">
        <f>SUMPRODUCT((Source_Evolution!$A$3:$A$731=$A268)*(Source_Evolution!$O$3:$O$731&gt;0))</f>
        <v/>
      </c>
      <c r="AF268" s="18">
        <f>SUMPRODUCT((Source_Evolution!$A$3:$A$731=$A268)*(Source_Evolution!$P$3:$P$731&gt;0))</f>
        <v/>
      </c>
      <c r="AG268" s="18">
        <f>SUMPRODUCT((Source_Evolution!$A$3:$A$731=$A268)*(Source_Evolution!$Q$3:$Q$731&gt;0))</f>
        <v/>
      </c>
    </row>
    <row r="269">
      <c r="A269" t="inlineStr">
        <is>
          <t>Company 341</t>
        </is>
      </c>
      <c r="B269" t="inlineStr">
        <is>
          <t>Operations</t>
        </is>
      </c>
      <c r="C269" t="inlineStr">
        <is>
          <t>France</t>
        </is>
      </c>
      <c r="D269" t="n">
        <v>2014</v>
      </c>
      <c r="E269" s="17">
        <f>SUMIFS(Source_Evolution!$E$3:$E$731,Source_Evolution!$A$3:$A$731,$A269)</f>
        <v/>
      </c>
      <c r="F269" s="17">
        <f>SUMIFS(Source_Evolution!$F$3:$F$731,Source_Evolution!$A$3:$A$731,$A269)</f>
        <v/>
      </c>
      <c r="G269" s="17">
        <f>SUMIFS(Source_Evolution!$G$3:$G$731,Source_Evolution!$A$3:$A$731,$A269)</f>
        <v/>
      </c>
      <c r="H269" s="17">
        <f>SUMIFS(Source_Evolution!$H$3:$H$731,Source_Evolution!$A$3:$A$731,$A269)</f>
        <v/>
      </c>
      <c r="I269" s="17">
        <f>SUMIFS(Source_Evolution!$I$3:$I$731,Source_Evolution!$A$3:$A$731,$A269)</f>
        <v/>
      </c>
      <c r="J269" s="17">
        <f>SUMIFS(Source_Evolution!$J$3:$J$731,Source_Evolution!$A$3:$A$731,$A269)</f>
        <v/>
      </c>
      <c r="K269" s="17">
        <f>SUMIFS(Source_Evolution!$K$3:$K$731,Source_Evolution!$A$3:$A$731,$A269)</f>
        <v/>
      </c>
      <c r="L269" s="17">
        <f>SUMIFS(Source_Evolution!$L$3:$L$731,Source_Evolution!$A$3:$A$731,$A269)</f>
        <v/>
      </c>
      <c r="M269" s="17">
        <f>SUMIFS(Source_Evolution!$M$3:$M$731,Source_Evolution!$A$3:$A$731,$A269)</f>
        <v/>
      </c>
      <c r="N269" s="17">
        <f>SUMIFS(Source_Evolution!$N$3:$N$731,Source_Evolution!$A$3:$A$731,$A269)</f>
        <v/>
      </c>
      <c r="O269" s="17">
        <f>SUMIFS(Source_Evolution!$O$3:$O$731,Source_Evolution!$A$3:$A$731,$A269)</f>
        <v/>
      </c>
      <c r="P269" s="17">
        <f>SUMIFS(Source_Evolution!$P$3:$P$731,Source_Evolution!$A$3:$A$731,$A269)</f>
        <v/>
      </c>
      <c r="Q269" s="17">
        <f>SUMIFS(Source_Evolution!$Q$3:$Q$731,Source_Evolution!$A$3:$A$731,$A269)</f>
        <v/>
      </c>
      <c r="R269" s="17">
        <f>SUM(E269:Q269)</f>
        <v/>
      </c>
      <c r="S269" s="17">
        <f>Q269</f>
        <v/>
      </c>
      <c r="T269">
        <f>IF(B269="Software",1,0)</f>
        <v/>
      </c>
      <c r="U269" s="18">
        <f>SUMPRODUCT((Source_Evolution!$A$3:$A$731=$A269)*(Source_Evolution!$E$3:$E$731&gt;0))</f>
        <v/>
      </c>
      <c r="V269" s="18">
        <f>SUMPRODUCT((Source_Evolution!$A$3:$A$731=$A269)*(Source_Evolution!$F$3:$F$731&gt;0))</f>
        <v/>
      </c>
      <c r="W269" s="18">
        <f>SUMPRODUCT((Source_Evolution!$A$3:$A$731=$A269)*(Source_Evolution!$G$3:$G$731&gt;0))</f>
        <v/>
      </c>
      <c r="X269" s="18">
        <f>SUMPRODUCT((Source_Evolution!$A$3:$A$731=$A269)*(Source_Evolution!$H$3:$H$731&gt;0))</f>
        <v/>
      </c>
      <c r="Y269" s="18">
        <f>SUMPRODUCT((Source_Evolution!$A$3:$A$731=$A269)*(Source_Evolution!$I$3:$I$731&gt;0))</f>
        <v/>
      </c>
      <c r="Z269" s="18">
        <f>SUMPRODUCT((Source_Evolution!$A$3:$A$731=$A269)*(Source_Evolution!$J$3:$J$731&gt;0))</f>
        <v/>
      </c>
      <c r="AA269" s="18">
        <f>SUMPRODUCT((Source_Evolution!$A$3:$A$731=$A269)*(Source_Evolution!$K$3:$K$731&gt;0))</f>
        <v/>
      </c>
      <c r="AB269" s="18">
        <f>SUMPRODUCT((Source_Evolution!$A$3:$A$731=$A269)*(Source_Evolution!$L$3:$L$731&gt;0))</f>
        <v/>
      </c>
      <c r="AC269" s="18">
        <f>SUMPRODUCT((Source_Evolution!$A$3:$A$731=$A269)*(Source_Evolution!$M$3:$M$731&gt;0))</f>
        <v/>
      </c>
      <c r="AD269" s="18">
        <f>SUMPRODUCT((Source_Evolution!$A$3:$A$731=$A269)*(Source_Evolution!$N$3:$N$731&gt;0))</f>
        <v/>
      </c>
      <c r="AE269" s="18">
        <f>SUMPRODUCT((Source_Evolution!$A$3:$A$731=$A269)*(Source_Evolution!$O$3:$O$731&gt;0))</f>
        <v/>
      </c>
      <c r="AF269" s="18">
        <f>SUMPRODUCT((Source_Evolution!$A$3:$A$731=$A269)*(Source_Evolution!$P$3:$P$731&gt;0))</f>
        <v/>
      </c>
      <c r="AG269" s="18">
        <f>SUMPRODUCT((Source_Evolution!$A$3:$A$731=$A269)*(Source_Evolution!$Q$3:$Q$731&gt;0))</f>
        <v/>
      </c>
    </row>
    <row r="270">
      <c r="A270" t="inlineStr">
        <is>
          <t>Company 342</t>
        </is>
      </c>
      <c r="B270" t="inlineStr">
        <is>
          <t>Software</t>
        </is>
      </c>
      <c r="C270" t="inlineStr">
        <is>
          <t>France</t>
        </is>
      </c>
      <c r="D270" t="n">
        <v>2016</v>
      </c>
      <c r="E270" s="17">
        <f>SUMIFS(Source_Evolution!$E$3:$E$731,Source_Evolution!$A$3:$A$731,$A270)</f>
        <v/>
      </c>
      <c r="F270" s="17">
        <f>SUMIFS(Source_Evolution!$F$3:$F$731,Source_Evolution!$A$3:$A$731,$A270)</f>
        <v/>
      </c>
      <c r="G270" s="17">
        <f>SUMIFS(Source_Evolution!$G$3:$G$731,Source_Evolution!$A$3:$A$731,$A270)</f>
        <v/>
      </c>
      <c r="H270" s="17">
        <f>SUMIFS(Source_Evolution!$H$3:$H$731,Source_Evolution!$A$3:$A$731,$A270)</f>
        <v/>
      </c>
      <c r="I270" s="17">
        <f>SUMIFS(Source_Evolution!$I$3:$I$731,Source_Evolution!$A$3:$A$731,$A270)</f>
        <v/>
      </c>
      <c r="J270" s="17">
        <f>SUMIFS(Source_Evolution!$J$3:$J$731,Source_Evolution!$A$3:$A$731,$A270)</f>
        <v/>
      </c>
      <c r="K270" s="17">
        <f>SUMIFS(Source_Evolution!$K$3:$K$731,Source_Evolution!$A$3:$A$731,$A270)</f>
        <v/>
      </c>
      <c r="L270" s="17">
        <f>SUMIFS(Source_Evolution!$L$3:$L$731,Source_Evolution!$A$3:$A$731,$A270)</f>
        <v/>
      </c>
      <c r="M270" s="17">
        <f>SUMIFS(Source_Evolution!$M$3:$M$731,Source_Evolution!$A$3:$A$731,$A270)</f>
        <v/>
      </c>
      <c r="N270" s="17">
        <f>SUMIFS(Source_Evolution!$N$3:$N$731,Source_Evolution!$A$3:$A$731,$A270)</f>
        <v/>
      </c>
      <c r="O270" s="17">
        <f>SUMIFS(Source_Evolution!$O$3:$O$731,Source_Evolution!$A$3:$A$731,$A270)</f>
        <v/>
      </c>
      <c r="P270" s="17">
        <f>SUMIFS(Source_Evolution!$P$3:$P$731,Source_Evolution!$A$3:$A$731,$A270)</f>
        <v/>
      </c>
      <c r="Q270" s="17">
        <f>SUMIFS(Source_Evolution!$Q$3:$Q$731,Source_Evolution!$A$3:$A$731,$A270)</f>
        <v/>
      </c>
      <c r="R270" s="17">
        <f>SUM(E270:Q270)</f>
        <v/>
      </c>
      <c r="S270" s="17">
        <f>Q270</f>
        <v/>
      </c>
      <c r="T270">
        <f>IF(B270="Software",1,0)</f>
        <v/>
      </c>
      <c r="U270" s="18">
        <f>SUMPRODUCT((Source_Evolution!$A$3:$A$731=$A270)*(Source_Evolution!$E$3:$E$731&gt;0))</f>
        <v/>
      </c>
      <c r="V270" s="18">
        <f>SUMPRODUCT((Source_Evolution!$A$3:$A$731=$A270)*(Source_Evolution!$F$3:$F$731&gt;0))</f>
        <v/>
      </c>
      <c r="W270" s="18">
        <f>SUMPRODUCT((Source_Evolution!$A$3:$A$731=$A270)*(Source_Evolution!$G$3:$G$731&gt;0))</f>
        <v/>
      </c>
      <c r="X270" s="18">
        <f>SUMPRODUCT((Source_Evolution!$A$3:$A$731=$A270)*(Source_Evolution!$H$3:$H$731&gt;0))</f>
        <v/>
      </c>
      <c r="Y270" s="18">
        <f>SUMPRODUCT((Source_Evolution!$A$3:$A$731=$A270)*(Source_Evolution!$I$3:$I$731&gt;0))</f>
        <v/>
      </c>
      <c r="Z270" s="18">
        <f>SUMPRODUCT((Source_Evolution!$A$3:$A$731=$A270)*(Source_Evolution!$J$3:$J$731&gt;0))</f>
        <v/>
      </c>
      <c r="AA270" s="18">
        <f>SUMPRODUCT((Source_Evolution!$A$3:$A$731=$A270)*(Source_Evolution!$K$3:$K$731&gt;0))</f>
        <v/>
      </c>
      <c r="AB270" s="18">
        <f>SUMPRODUCT((Source_Evolution!$A$3:$A$731=$A270)*(Source_Evolution!$L$3:$L$731&gt;0))</f>
        <v/>
      </c>
      <c r="AC270" s="18">
        <f>SUMPRODUCT((Source_Evolution!$A$3:$A$731=$A270)*(Source_Evolution!$M$3:$M$731&gt;0))</f>
        <v/>
      </c>
      <c r="AD270" s="18">
        <f>SUMPRODUCT((Source_Evolution!$A$3:$A$731=$A270)*(Source_Evolution!$N$3:$N$731&gt;0))</f>
        <v/>
      </c>
      <c r="AE270" s="18">
        <f>SUMPRODUCT((Source_Evolution!$A$3:$A$731=$A270)*(Source_Evolution!$O$3:$O$731&gt;0))</f>
        <v/>
      </c>
      <c r="AF270" s="18">
        <f>SUMPRODUCT((Source_Evolution!$A$3:$A$731=$A270)*(Source_Evolution!$P$3:$P$731&gt;0))</f>
        <v/>
      </c>
      <c r="AG270" s="18">
        <f>SUMPRODUCT((Source_Evolution!$A$3:$A$731=$A270)*(Source_Evolution!$Q$3:$Q$731&gt;0))</f>
        <v/>
      </c>
    </row>
    <row r="271">
      <c r="A271" t="inlineStr">
        <is>
          <t>Company 343</t>
        </is>
      </c>
      <c r="B271" t="inlineStr">
        <is>
          <t>Operations</t>
        </is>
      </c>
      <c r="C271" t="inlineStr">
        <is>
          <t>UK</t>
        </is>
      </c>
      <c r="D271" t="n">
        <v>2014</v>
      </c>
      <c r="E271" s="17">
        <f>SUMIFS(Source_Evolution!$E$3:$E$731,Source_Evolution!$A$3:$A$731,$A271)</f>
        <v/>
      </c>
      <c r="F271" s="17">
        <f>SUMIFS(Source_Evolution!$F$3:$F$731,Source_Evolution!$A$3:$A$731,$A271)</f>
        <v/>
      </c>
      <c r="G271" s="17">
        <f>SUMIFS(Source_Evolution!$G$3:$G$731,Source_Evolution!$A$3:$A$731,$A271)</f>
        <v/>
      </c>
      <c r="H271" s="17">
        <f>SUMIFS(Source_Evolution!$H$3:$H$731,Source_Evolution!$A$3:$A$731,$A271)</f>
        <v/>
      </c>
      <c r="I271" s="17">
        <f>SUMIFS(Source_Evolution!$I$3:$I$731,Source_Evolution!$A$3:$A$731,$A271)</f>
        <v/>
      </c>
      <c r="J271" s="17">
        <f>SUMIFS(Source_Evolution!$J$3:$J$731,Source_Evolution!$A$3:$A$731,$A271)</f>
        <v/>
      </c>
      <c r="K271" s="17">
        <f>SUMIFS(Source_Evolution!$K$3:$K$731,Source_Evolution!$A$3:$A$731,$A271)</f>
        <v/>
      </c>
      <c r="L271" s="17">
        <f>SUMIFS(Source_Evolution!$L$3:$L$731,Source_Evolution!$A$3:$A$731,$A271)</f>
        <v/>
      </c>
      <c r="M271" s="17">
        <f>SUMIFS(Source_Evolution!$M$3:$M$731,Source_Evolution!$A$3:$A$731,$A271)</f>
        <v/>
      </c>
      <c r="N271" s="17">
        <f>SUMIFS(Source_Evolution!$N$3:$N$731,Source_Evolution!$A$3:$A$731,$A271)</f>
        <v/>
      </c>
      <c r="O271" s="17">
        <f>SUMIFS(Source_Evolution!$O$3:$O$731,Source_Evolution!$A$3:$A$731,$A271)</f>
        <v/>
      </c>
      <c r="P271" s="17">
        <f>SUMIFS(Source_Evolution!$P$3:$P$731,Source_Evolution!$A$3:$A$731,$A271)</f>
        <v/>
      </c>
      <c r="Q271" s="17">
        <f>SUMIFS(Source_Evolution!$Q$3:$Q$731,Source_Evolution!$A$3:$A$731,$A271)</f>
        <v/>
      </c>
      <c r="R271" s="17">
        <f>SUM(E271:Q271)</f>
        <v/>
      </c>
      <c r="S271" s="17">
        <f>Q271</f>
        <v/>
      </c>
      <c r="T271">
        <f>IF(B271="Software",1,0)</f>
        <v/>
      </c>
      <c r="U271" s="18">
        <f>SUMPRODUCT((Source_Evolution!$A$3:$A$731=$A271)*(Source_Evolution!$E$3:$E$731&gt;0))</f>
        <v/>
      </c>
      <c r="V271" s="18">
        <f>SUMPRODUCT((Source_Evolution!$A$3:$A$731=$A271)*(Source_Evolution!$F$3:$F$731&gt;0))</f>
        <v/>
      </c>
      <c r="W271" s="18">
        <f>SUMPRODUCT((Source_Evolution!$A$3:$A$731=$A271)*(Source_Evolution!$G$3:$G$731&gt;0))</f>
        <v/>
      </c>
      <c r="X271" s="18">
        <f>SUMPRODUCT((Source_Evolution!$A$3:$A$731=$A271)*(Source_Evolution!$H$3:$H$731&gt;0))</f>
        <v/>
      </c>
      <c r="Y271" s="18">
        <f>SUMPRODUCT((Source_Evolution!$A$3:$A$731=$A271)*(Source_Evolution!$I$3:$I$731&gt;0))</f>
        <v/>
      </c>
      <c r="Z271" s="18">
        <f>SUMPRODUCT((Source_Evolution!$A$3:$A$731=$A271)*(Source_Evolution!$J$3:$J$731&gt;0))</f>
        <v/>
      </c>
      <c r="AA271" s="18">
        <f>SUMPRODUCT((Source_Evolution!$A$3:$A$731=$A271)*(Source_Evolution!$K$3:$K$731&gt;0))</f>
        <v/>
      </c>
      <c r="AB271" s="18">
        <f>SUMPRODUCT((Source_Evolution!$A$3:$A$731=$A271)*(Source_Evolution!$L$3:$L$731&gt;0))</f>
        <v/>
      </c>
      <c r="AC271" s="18">
        <f>SUMPRODUCT((Source_Evolution!$A$3:$A$731=$A271)*(Source_Evolution!$M$3:$M$731&gt;0))</f>
        <v/>
      </c>
      <c r="AD271" s="18">
        <f>SUMPRODUCT((Source_Evolution!$A$3:$A$731=$A271)*(Source_Evolution!$N$3:$N$731&gt;0))</f>
        <v/>
      </c>
      <c r="AE271" s="18">
        <f>SUMPRODUCT((Source_Evolution!$A$3:$A$731=$A271)*(Source_Evolution!$O$3:$O$731&gt;0))</f>
        <v/>
      </c>
      <c r="AF271" s="18">
        <f>SUMPRODUCT((Source_Evolution!$A$3:$A$731=$A271)*(Source_Evolution!$P$3:$P$731&gt;0))</f>
        <v/>
      </c>
      <c r="AG271" s="18">
        <f>SUMPRODUCT((Source_Evolution!$A$3:$A$731=$A271)*(Source_Evolution!$Q$3:$Q$731&gt;0))</f>
        <v/>
      </c>
    </row>
    <row r="272">
      <c r="A272" t="inlineStr">
        <is>
          <t>Company 344</t>
        </is>
      </c>
      <c r="B272" t="inlineStr">
        <is>
          <t>Software</t>
        </is>
      </c>
      <c r="C272" t="inlineStr">
        <is>
          <t>Ireland</t>
        </is>
      </c>
      <c r="D272" t="n">
        <v>2018</v>
      </c>
      <c r="E272" s="17">
        <f>SUMIFS(Source_Evolution!$E$3:$E$731,Source_Evolution!$A$3:$A$731,$A272)</f>
        <v/>
      </c>
      <c r="F272" s="17">
        <f>SUMIFS(Source_Evolution!$F$3:$F$731,Source_Evolution!$A$3:$A$731,$A272)</f>
        <v/>
      </c>
      <c r="G272" s="17">
        <f>SUMIFS(Source_Evolution!$G$3:$G$731,Source_Evolution!$A$3:$A$731,$A272)</f>
        <v/>
      </c>
      <c r="H272" s="17">
        <f>SUMIFS(Source_Evolution!$H$3:$H$731,Source_Evolution!$A$3:$A$731,$A272)</f>
        <v/>
      </c>
      <c r="I272" s="17">
        <f>SUMIFS(Source_Evolution!$I$3:$I$731,Source_Evolution!$A$3:$A$731,$A272)</f>
        <v/>
      </c>
      <c r="J272" s="17">
        <f>SUMIFS(Source_Evolution!$J$3:$J$731,Source_Evolution!$A$3:$A$731,$A272)</f>
        <v/>
      </c>
      <c r="K272" s="17">
        <f>SUMIFS(Source_Evolution!$K$3:$K$731,Source_Evolution!$A$3:$A$731,$A272)</f>
        <v/>
      </c>
      <c r="L272" s="17">
        <f>SUMIFS(Source_Evolution!$L$3:$L$731,Source_Evolution!$A$3:$A$731,$A272)</f>
        <v/>
      </c>
      <c r="M272" s="17">
        <f>SUMIFS(Source_Evolution!$M$3:$M$731,Source_Evolution!$A$3:$A$731,$A272)</f>
        <v/>
      </c>
      <c r="N272" s="17">
        <f>SUMIFS(Source_Evolution!$N$3:$N$731,Source_Evolution!$A$3:$A$731,$A272)</f>
        <v/>
      </c>
      <c r="O272" s="17">
        <f>SUMIFS(Source_Evolution!$O$3:$O$731,Source_Evolution!$A$3:$A$731,$A272)</f>
        <v/>
      </c>
      <c r="P272" s="17">
        <f>SUMIFS(Source_Evolution!$P$3:$P$731,Source_Evolution!$A$3:$A$731,$A272)</f>
        <v/>
      </c>
      <c r="Q272" s="17">
        <f>SUMIFS(Source_Evolution!$Q$3:$Q$731,Source_Evolution!$A$3:$A$731,$A272)</f>
        <v/>
      </c>
      <c r="R272" s="17">
        <f>SUM(E272:Q272)</f>
        <v/>
      </c>
      <c r="S272" s="17">
        <f>Q272</f>
        <v/>
      </c>
      <c r="T272">
        <f>IF(B272="Software",1,0)</f>
        <v/>
      </c>
      <c r="U272" s="18">
        <f>SUMPRODUCT((Source_Evolution!$A$3:$A$731=$A272)*(Source_Evolution!$E$3:$E$731&gt;0))</f>
        <v/>
      </c>
      <c r="V272" s="18">
        <f>SUMPRODUCT((Source_Evolution!$A$3:$A$731=$A272)*(Source_Evolution!$F$3:$F$731&gt;0))</f>
        <v/>
      </c>
      <c r="W272" s="18">
        <f>SUMPRODUCT((Source_Evolution!$A$3:$A$731=$A272)*(Source_Evolution!$G$3:$G$731&gt;0))</f>
        <v/>
      </c>
      <c r="X272" s="18">
        <f>SUMPRODUCT((Source_Evolution!$A$3:$A$731=$A272)*(Source_Evolution!$H$3:$H$731&gt;0))</f>
        <v/>
      </c>
      <c r="Y272" s="18">
        <f>SUMPRODUCT((Source_Evolution!$A$3:$A$731=$A272)*(Source_Evolution!$I$3:$I$731&gt;0))</f>
        <v/>
      </c>
      <c r="Z272" s="18">
        <f>SUMPRODUCT((Source_Evolution!$A$3:$A$731=$A272)*(Source_Evolution!$J$3:$J$731&gt;0))</f>
        <v/>
      </c>
      <c r="AA272" s="18">
        <f>SUMPRODUCT((Source_Evolution!$A$3:$A$731=$A272)*(Source_Evolution!$K$3:$K$731&gt;0))</f>
        <v/>
      </c>
      <c r="AB272" s="18">
        <f>SUMPRODUCT((Source_Evolution!$A$3:$A$731=$A272)*(Source_Evolution!$L$3:$L$731&gt;0))</f>
        <v/>
      </c>
      <c r="AC272" s="18">
        <f>SUMPRODUCT((Source_Evolution!$A$3:$A$731=$A272)*(Source_Evolution!$M$3:$M$731&gt;0))</f>
        <v/>
      </c>
      <c r="AD272" s="18">
        <f>SUMPRODUCT((Source_Evolution!$A$3:$A$731=$A272)*(Source_Evolution!$N$3:$N$731&gt;0))</f>
        <v/>
      </c>
      <c r="AE272" s="18">
        <f>SUMPRODUCT((Source_Evolution!$A$3:$A$731=$A272)*(Source_Evolution!$O$3:$O$731&gt;0))</f>
        <v/>
      </c>
      <c r="AF272" s="18">
        <f>SUMPRODUCT((Source_Evolution!$A$3:$A$731=$A272)*(Source_Evolution!$P$3:$P$731&gt;0))</f>
        <v/>
      </c>
      <c r="AG272" s="18">
        <f>SUMPRODUCT((Source_Evolution!$A$3:$A$731=$A272)*(Source_Evolution!$Q$3:$Q$731&gt;0))</f>
        <v/>
      </c>
    </row>
    <row r="273">
      <c r="A273" t="inlineStr">
        <is>
          <t>Company 345</t>
        </is>
      </c>
      <c r="B273" t="inlineStr">
        <is>
          <t>Operations</t>
        </is>
      </c>
      <c r="C273" t="inlineStr">
        <is>
          <t>Italy</t>
        </is>
      </c>
      <c r="D273" t="n">
        <v>2014</v>
      </c>
      <c r="E273" s="17">
        <f>SUMIFS(Source_Evolution!$E$3:$E$731,Source_Evolution!$A$3:$A$731,$A273)</f>
        <v/>
      </c>
      <c r="F273" s="17">
        <f>SUMIFS(Source_Evolution!$F$3:$F$731,Source_Evolution!$A$3:$A$731,$A273)</f>
        <v/>
      </c>
      <c r="G273" s="17">
        <f>SUMIFS(Source_Evolution!$G$3:$G$731,Source_Evolution!$A$3:$A$731,$A273)</f>
        <v/>
      </c>
      <c r="H273" s="17">
        <f>SUMIFS(Source_Evolution!$H$3:$H$731,Source_Evolution!$A$3:$A$731,$A273)</f>
        <v/>
      </c>
      <c r="I273" s="17">
        <f>SUMIFS(Source_Evolution!$I$3:$I$731,Source_Evolution!$A$3:$A$731,$A273)</f>
        <v/>
      </c>
      <c r="J273" s="17">
        <f>SUMIFS(Source_Evolution!$J$3:$J$731,Source_Evolution!$A$3:$A$731,$A273)</f>
        <v/>
      </c>
      <c r="K273" s="17">
        <f>SUMIFS(Source_Evolution!$K$3:$K$731,Source_Evolution!$A$3:$A$731,$A273)</f>
        <v/>
      </c>
      <c r="L273" s="17">
        <f>SUMIFS(Source_Evolution!$L$3:$L$731,Source_Evolution!$A$3:$A$731,$A273)</f>
        <v/>
      </c>
      <c r="M273" s="17">
        <f>SUMIFS(Source_Evolution!$M$3:$M$731,Source_Evolution!$A$3:$A$731,$A273)</f>
        <v/>
      </c>
      <c r="N273" s="17">
        <f>SUMIFS(Source_Evolution!$N$3:$N$731,Source_Evolution!$A$3:$A$731,$A273)</f>
        <v/>
      </c>
      <c r="O273" s="17">
        <f>SUMIFS(Source_Evolution!$O$3:$O$731,Source_Evolution!$A$3:$A$731,$A273)</f>
        <v/>
      </c>
      <c r="P273" s="17">
        <f>SUMIFS(Source_Evolution!$P$3:$P$731,Source_Evolution!$A$3:$A$731,$A273)</f>
        <v/>
      </c>
      <c r="Q273" s="17">
        <f>SUMIFS(Source_Evolution!$Q$3:$Q$731,Source_Evolution!$A$3:$A$731,$A273)</f>
        <v/>
      </c>
      <c r="R273" s="17">
        <f>SUM(E273:Q273)</f>
        <v/>
      </c>
      <c r="S273" s="17">
        <f>Q273</f>
        <v/>
      </c>
      <c r="T273">
        <f>IF(B273="Software",1,0)</f>
        <v/>
      </c>
      <c r="U273" s="18">
        <f>SUMPRODUCT((Source_Evolution!$A$3:$A$731=$A273)*(Source_Evolution!$E$3:$E$731&gt;0))</f>
        <v/>
      </c>
      <c r="V273" s="18">
        <f>SUMPRODUCT((Source_Evolution!$A$3:$A$731=$A273)*(Source_Evolution!$F$3:$F$731&gt;0))</f>
        <v/>
      </c>
      <c r="W273" s="18">
        <f>SUMPRODUCT((Source_Evolution!$A$3:$A$731=$A273)*(Source_Evolution!$G$3:$G$731&gt;0))</f>
        <v/>
      </c>
      <c r="X273" s="18">
        <f>SUMPRODUCT((Source_Evolution!$A$3:$A$731=$A273)*(Source_Evolution!$H$3:$H$731&gt;0))</f>
        <v/>
      </c>
      <c r="Y273" s="18">
        <f>SUMPRODUCT((Source_Evolution!$A$3:$A$731=$A273)*(Source_Evolution!$I$3:$I$731&gt;0))</f>
        <v/>
      </c>
      <c r="Z273" s="18">
        <f>SUMPRODUCT((Source_Evolution!$A$3:$A$731=$A273)*(Source_Evolution!$J$3:$J$731&gt;0))</f>
        <v/>
      </c>
      <c r="AA273" s="18">
        <f>SUMPRODUCT((Source_Evolution!$A$3:$A$731=$A273)*(Source_Evolution!$K$3:$K$731&gt;0))</f>
        <v/>
      </c>
      <c r="AB273" s="18">
        <f>SUMPRODUCT((Source_Evolution!$A$3:$A$731=$A273)*(Source_Evolution!$L$3:$L$731&gt;0))</f>
        <v/>
      </c>
      <c r="AC273" s="18">
        <f>SUMPRODUCT((Source_Evolution!$A$3:$A$731=$A273)*(Source_Evolution!$M$3:$M$731&gt;0))</f>
        <v/>
      </c>
      <c r="AD273" s="18">
        <f>SUMPRODUCT((Source_Evolution!$A$3:$A$731=$A273)*(Source_Evolution!$N$3:$N$731&gt;0))</f>
        <v/>
      </c>
      <c r="AE273" s="18">
        <f>SUMPRODUCT((Source_Evolution!$A$3:$A$731=$A273)*(Source_Evolution!$O$3:$O$731&gt;0))</f>
        <v/>
      </c>
      <c r="AF273" s="18">
        <f>SUMPRODUCT((Source_Evolution!$A$3:$A$731=$A273)*(Source_Evolution!$P$3:$P$731&gt;0))</f>
        <v/>
      </c>
      <c r="AG273" s="18">
        <f>SUMPRODUCT((Source_Evolution!$A$3:$A$731=$A273)*(Source_Evolution!$Q$3:$Q$731&gt;0))</f>
        <v/>
      </c>
    </row>
    <row r="274">
      <c r="A274" t="inlineStr">
        <is>
          <t>Company 346</t>
        </is>
      </c>
      <c r="B274" t="inlineStr">
        <is>
          <t>Software</t>
        </is>
      </c>
      <c r="C274" t="inlineStr">
        <is>
          <t>Norway</t>
        </is>
      </c>
      <c r="D274" t="n">
        <v>2019</v>
      </c>
      <c r="E274" s="17">
        <f>SUMIFS(Source_Evolution!$E$3:$E$731,Source_Evolution!$A$3:$A$731,$A274)</f>
        <v/>
      </c>
      <c r="F274" s="17">
        <f>SUMIFS(Source_Evolution!$F$3:$F$731,Source_Evolution!$A$3:$A$731,$A274)</f>
        <v/>
      </c>
      <c r="G274" s="17">
        <f>SUMIFS(Source_Evolution!$G$3:$G$731,Source_Evolution!$A$3:$A$731,$A274)</f>
        <v/>
      </c>
      <c r="H274" s="17">
        <f>SUMIFS(Source_Evolution!$H$3:$H$731,Source_Evolution!$A$3:$A$731,$A274)</f>
        <v/>
      </c>
      <c r="I274" s="17">
        <f>SUMIFS(Source_Evolution!$I$3:$I$731,Source_Evolution!$A$3:$A$731,$A274)</f>
        <v/>
      </c>
      <c r="J274" s="17">
        <f>SUMIFS(Source_Evolution!$J$3:$J$731,Source_Evolution!$A$3:$A$731,$A274)</f>
        <v/>
      </c>
      <c r="K274" s="17">
        <f>SUMIFS(Source_Evolution!$K$3:$K$731,Source_Evolution!$A$3:$A$731,$A274)</f>
        <v/>
      </c>
      <c r="L274" s="17">
        <f>SUMIFS(Source_Evolution!$L$3:$L$731,Source_Evolution!$A$3:$A$731,$A274)</f>
        <v/>
      </c>
      <c r="M274" s="17">
        <f>SUMIFS(Source_Evolution!$M$3:$M$731,Source_Evolution!$A$3:$A$731,$A274)</f>
        <v/>
      </c>
      <c r="N274" s="17">
        <f>SUMIFS(Source_Evolution!$N$3:$N$731,Source_Evolution!$A$3:$A$731,$A274)</f>
        <v/>
      </c>
      <c r="O274" s="17">
        <f>SUMIFS(Source_Evolution!$O$3:$O$731,Source_Evolution!$A$3:$A$731,$A274)</f>
        <v/>
      </c>
      <c r="P274" s="17">
        <f>SUMIFS(Source_Evolution!$P$3:$P$731,Source_Evolution!$A$3:$A$731,$A274)</f>
        <v/>
      </c>
      <c r="Q274" s="17">
        <f>SUMIFS(Source_Evolution!$Q$3:$Q$731,Source_Evolution!$A$3:$A$731,$A274)</f>
        <v/>
      </c>
      <c r="R274" s="17">
        <f>SUM(E274:Q274)</f>
        <v/>
      </c>
      <c r="S274" s="17">
        <f>Q274</f>
        <v/>
      </c>
      <c r="T274">
        <f>IF(B274="Software",1,0)</f>
        <v/>
      </c>
      <c r="U274" s="18">
        <f>SUMPRODUCT((Source_Evolution!$A$3:$A$731=$A274)*(Source_Evolution!$E$3:$E$731&gt;0))</f>
        <v/>
      </c>
      <c r="V274" s="18">
        <f>SUMPRODUCT((Source_Evolution!$A$3:$A$731=$A274)*(Source_Evolution!$F$3:$F$731&gt;0))</f>
        <v/>
      </c>
      <c r="W274" s="18">
        <f>SUMPRODUCT((Source_Evolution!$A$3:$A$731=$A274)*(Source_Evolution!$G$3:$G$731&gt;0))</f>
        <v/>
      </c>
      <c r="X274" s="18">
        <f>SUMPRODUCT((Source_Evolution!$A$3:$A$731=$A274)*(Source_Evolution!$H$3:$H$731&gt;0))</f>
        <v/>
      </c>
      <c r="Y274" s="18">
        <f>SUMPRODUCT((Source_Evolution!$A$3:$A$731=$A274)*(Source_Evolution!$I$3:$I$731&gt;0))</f>
        <v/>
      </c>
      <c r="Z274" s="18">
        <f>SUMPRODUCT((Source_Evolution!$A$3:$A$731=$A274)*(Source_Evolution!$J$3:$J$731&gt;0))</f>
        <v/>
      </c>
      <c r="AA274" s="18">
        <f>SUMPRODUCT((Source_Evolution!$A$3:$A$731=$A274)*(Source_Evolution!$K$3:$K$731&gt;0))</f>
        <v/>
      </c>
      <c r="AB274" s="18">
        <f>SUMPRODUCT((Source_Evolution!$A$3:$A$731=$A274)*(Source_Evolution!$L$3:$L$731&gt;0))</f>
        <v/>
      </c>
      <c r="AC274" s="18">
        <f>SUMPRODUCT((Source_Evolution!$A$3:$A$731=$A274)*(Source_Evolution!$M$3:$M$731&gt;0))</f>
        <v/>
      </c>
      <c r="AD274" s="18">
        <f>SUMPRODUCT((Source_Evolution!$A$3:$A$731=$A274)*(Source_Evolution!$N$3:$N$731&gt;0))</f>
        <v/>
      </c>
      <c r="AE274" s="18">
        <f>SUMPRODUCT((Source_Evolution!$A$3:$A$731=$A274)*(Source_Evolution!$O$3:$O$731&gt;0))</f>
        <v/>
      </c>
      <c r="AF274" s="18">
        <f>SUMPRODUCT((Source_Evolution!$A$3:$A$731=$A274)*(Source_Evolution!$P$3:$P$731&gt;0))</f>
        <v/>
      </c>
      <c r="AG274" s="18">
        <f>SUMPRODUCT((Source_Evolution!$A$3:$A$731=$A274)*(Source_Evolution!$Q$3:$Q$731&gt;0))</f>
        <v/>
      </c>
    </row>
    <row r="275">
      <c r="A275" t="inlineStr">
        <is>
          <t>Company 347</t>
        </is>
      </c>
      <c r="B275" t="inlineStr">
        <is>
          <t>Software</t>
        </is>
      </c>
      <c r="C275" t="inlineStr">
        <is>
          <t>UK</t>
        </is>
      </c>
      <c r="D275" t="n">
        <v>2014</v>
      </c>
      <c r="E275" s="17">
        <f>SUMIFS(Source_Evolution!$E$3:$E$731,Source_Evolution!$A$3:$A$731,$A275)</f>
        <v/>
      </c>
      <c r="F275" s="17">
        <f>SUMIFS(Source_Evolution!$F$3:$F$731,Source_Evolution!$A$3:$A$731,$A275)</f>
        <v/>
      </c>
      <c r="G275" s="17">
        <f>SUMIFS(Source_Evolution!$G$3:$G$731,Source_Evolution!$A$3:$A$731,$A275)</f>
        <v/>
      </c>
      <c r="H275" s="17">
        <f>SUMIFS(Source_Evolution!$H$3:$H$731,Source_Evolution!$A$3:$A$731,$A275)</f>
        <v/>
      </c>
      <c r="I275" s="17">
        <f>SUMIFS(Source_Evolution!$I$3:$I$731,Source_Evolution!$A$3:$A$731,$A275)</f>
        <v/>
      </c>
      <c r="J275" s="17">
        <f>SUMIFS(Source_Evolution!$J$3:$J$731,Source_Evolution!$A$3:$A$731,$A275)</f>
        <v/>
      </c>
      <c r="K275" s="17">
        <f>SUMIFS(Source_Evolution!$K$3:$K$731,Source_Evolution!$A$3:$A$731,$A275)</f>
        <v/>
      </c>
      <c r="L275" s="17">
        <f>SUMIFS(Source_Evolution!$L$3:$L$731,Source_Evolution!$A$3:$A$731,$A275)</f>
        <v/>
      </c>
      <c r="M275" s="17">
        <f>SUMIFS(Source_Evolution!$M$3:$M$731,Source_Evolution!$A$3:$A$731,$A275)</f>
        <v/>
      </c>
      <c r="N275" s="17">
        <f>SUMIFS(Source_Evolution!$N$3:$N$731,Source_Evolution!$A$3:$A$731,$A275)</f>
        <v/>
      </c>
      <c r="O275" s="17">
        <f>SUMIFS(Source_Evolution!$O$3:$O$731,Source_Evolution!$A$3:$A$731,$A275)</f>
        <v/>
      </c>
      <c r="P275" s="17">
        <f>SUMIFS(Source_Evolution!$P$3:$P$731,Source_Evolution!$A$3:$A$731,$A275)</f>
        <v/>
      </c>
      <c r="Q275" s="17">
        <f>SUMIFS(Source_Evolution!$Q$3:$Q$731,Source_Evolution!$A$3:$A$731,$A275)</f>
        <v/>
      </c>
      <c r="R275" s="17">
        <f>SUM(E275:Q275)</f>
        <v/>
      </c>
      <c r="S275" s="17">
        <f>Q275</f>
        <v/>
      </c>
      <c r="T275">
        <f>IF(B275="Software",1,0)</f>
        <v/>
      </c>
      <c r="U275" s="18">
        <f>SUMPRODUCT((Source_Evolution!$A$3:$A$731=$A275)*(Source_Evolution!$E$3:$E$731&gt;0))</f>
        <v/>
      </c>
      <c r="V275" s="18">
        <f>SUMPRODUCT((Source_Evolution!$A$3:$A$731=$A275)*(Source_Evolution!$F$3:$F$731&gt;0))</f>
        <v/>
      </c>
      <c r="W275" s="18">
        <f>SUMPRODUCT((Source_Evolution!$A$3:$A$731=$A275)*(Source_Evolution!$G$3:$G$731&gt;0))</f>
        <v/>
      </c>
      <c r="X275" s="18">
        <f>SUMPRODUCT((Source_Evolution!$A$3:$A$731=$A275)*(Source_Evolution!$H$3:$H$731&gt;0))</f>
        <v/>
      </c>
      <c r="Y275" s="18">
        <f>SUMPRODUCT((Source_Evolution!$A$3:$A$731=$A275)*(Source_Evolution!$I$3:$I$731&gt;0))</f>
        <v/>
      </c>
      <c r="Z275" s="18">
        <f>SUMPRODUCT((Source_Evolution!$A$3:$A$731=$A275)*(Source_Evolution!$J$3:$J$731&gt;0))</f>
        <v/>
      </c>
      <c r="AA275" s="18">
        <f>SUMPRODUCT((Source_Evolution!$A$3:$A$731=$A275)*(Source_Evolution!$K$3:$K$731&gt;0))</f>
        <v/>
      </c>
      <c r="AB275" s="18">
        <f>SUMPRODUCT((Source_Evolution!$A$3:$A$731=$A275)*(Source_Evolution!$L$3:$L$731&gt;0))</f>
        <v/>
      </c>
      <c r="AC275" s="18">
        <f>SUMPRODUCT((Source_Evolution!$A$3:$A$731=$A275)*(Source_Evolution!$M$3:$M$731&gt;0))</f>
        <v/>
      </c>
      <c r="AD275" s="18">
        <f>SUMPRODUCT((Source_Evolution!$A$3:$A$731=$A275)*(Source_Evolution!$N$3:$N$731&gt;0))</f>
        <v/>
      </c>
      <c r="AE275" s="18">
        <f>SUMPRODUCT((Source_Evolution!$A$3:$A$731=$A275)*(Source_Evolution!$O$3:$O$731&gt;0))</f>
        <v/>
      </c>
      <c r="AF275" s="18">
        <f>SUMPRODUCT((Source_Evolution!$A$3:$A$731=$A275)*(Source_Evolution!$P$3:$P$731&gt;0))</f>
        <v/>
      </c>
      <c r="AG275" s="18">
        <f>SUMPRODUCT((Source_Evolution!$A$3:$A$731=$A275)*(Source_Evolution!$Q$3:$Q$731&gt;0))</f>
        <v/>
      </c>
    </row>
    <row r="276">
      <c r="A276" t="inlineStr">
        <is>
          <t>Company 349</t>
        </is>
      </c>
      <c r="B276" t="inlineStr">
        <is>
          <t>Operations</t>
        </is>
      </c>
      <c r="C276" t="inlineStr">
        <is>
          <t>UK</t>
        </is>
      </c>
      <c r="D276" t="n">
        <v>2014</v>
      </c>
      <c r="E276" s="17">
        <f>SUMIFS(Source_Evolution!$E$3:$E$731,Source_Evolution!$A$3:$A$731,$A276)</f>
        <v/>
      </c>
      <c r="F276" s="17">
        <f>SUMIFS(Source_Evolution!$F$3:$F$731,Source_Evolution!$A$3:$A$731,$A276)</f>
        <v/>
      </c>
      <c r="G276" s="17">
        <f>SUMIFS(Source_Evolution!$G$3:$G$731,Source_Evolution!$A$3:$A$731,$A276)</f>
        <v/>
      </c>
      <c r="H276" s="17">
        <f>SUMIFS(Source_Evolution!$H$3:$H$731,Source_Evolution!$A$3:$A$731,$A276)</f>
        <v/>
      </c>
      <c r="I276" s="17">
        <f>SUMIFS(Source_Evolution!$I$3:$I$731,Source_Evolution!$A$3:$A$731,$A276)</f>
        <v/>
      </c>
      <c r="J276" s="17">
        <f>SUMIFS(Source_Evolution!$J$3:$J$731,Source_Evolution!$A$3:$A$731,$A276)</f>
        <v/>
      </c>
      <c r="K276" s="17">
        <f>SUMIFS(Source_Evolution!$K$3:$K$731,Source_Evolution!$A$3:$A$731,$A276)</f>
        <v/>
      </c>
      <c r="L276" s="17">
        <f>SUMIFS(Source_Evolution!$L$3:$L$731,Source_Evolution!$A$3:$A$731,$A276)</f>
        <v/>
      </c>
      <c r="M276" s="17">
        <f>SUMIFS(Source_Evolution!$M$3:$M$731,Source_Evolution!$A$3:$A$731,$A276)</f>
        <v/>
      </c>
      <c r="N276" s="17">
        <f>SUMIFS(Source_Evolution!$N$3:$N$731,Source_Evolution!$A$3:$A$731,$A276)</f>
        <v/>
      </c>
      <c r="O276" s="17">
        <f>SUMIFS(Source_Evolution!$O$3:$O$731,Source_Evolution!$A$3:$A$731,$A276)</f>
        <v/>
      </c>
      <c r="P276" s="17">
        <f>SUMIFS(Source_Evolution!$P$3:$P$731,Source_Evolution!$A$3:$A$731,$A276)</f>
        <v/>
      </c>
      <c r="Q276" s="17">
        <f>SUMIFS(Source_Evolution!$Q$3:$Q$731,Source_Evolution!$A$3:$A$731,$A276)</f>
        <v/>
      </c>
      <c r="R276" s="17">
        <f>SUM(E276:Q276)</f>
        <v/>
      </c>
      <c r="S276" s="17">
        <f>Q276</f>
        <v/>
      </c>
      <c r="T276">
        <f>IF(B276="Software",1,0)</f>
        <v/>
      </c>
      <c r="U276" s="18">
        <f>SUMPRODUCT((Source_Evolution!$A$3:$A$731=$A276)*(Source_Evolution!$E$3:$E$731&gt;0))</f>
        <v/>
      </c>
      <c r="V276" s="18">
        <f>SUMPRODUCT((Source_Evolution!$A$3:$A$731=$A276)*(Source_Evolution!$F$3:$F$731&gt;0))</f>
        <v/>
      </c>
      <c r="W276" s="18">
        <f>SUMPRODUCT((Source_Evolution!$A$3:$A$731=$A276)*(Source_Evolution!$G$3:$G$731&gt;0))</f>
        <v/>
      </c>
      <c r="X276" s="18">
        <f>SUMPRODUCT((Source_Evolution!$A$3:$A$731=$A276)*(Source_Evolution!$H$3:$H$731&gt;0))</f>
        <v/>
      </c>
      <c r="Y276" s="18">
        <f>SUMPRODUCT((Source_Evolution!$A$3:$A$731=$A276)*(Source_Evolution!$I$3:$I$731&gt;0))</f>
        <v/>
      </c>
      <c r="Z276" s="18">
        <f>SUMPRODUCT((Source_Evolution!$A$3:$A$731=$A276)*(Source_Evolution!$J$3:$J$731&gt;0))</f>
        <v/>
      </c>
      <c r="AA276" s="18">
        <f>SUMPRODUCT((Source_Evolution!$A$3:$A$731=$A276)*(Source_Evolution!$K$3:$K$731&gt;0))</f>
        <v/>
      </c>
      <c r="AB276" s="18">
        <f>SUMPRODUCT((Source_Evolution!$A$3:$A$731=$A276)*(Source_Evolution!$L$3:$L$731&gt;0))</f>
        <v/>
      </c>
      <c r="AC276" s="18">
        <f>SUMPRODUCT((Source_Evolution!$A$3:$A$731=$A276)*(Source_Evolution!$M$3:$M$731&gt;0))</f>
        <v/>
      </c>
      <c r="AD276" s="18">
        <f>SUMPRODUCT((Source_Evolution!$A$3:$A$731=$A276)*(Source_Evolution!$N$3:$N$731&gt;0))</f>
        <v/>
      </c>
      <c r="AE276" s="18">
        <f>SUMPRODUCT((Source_Evolution!$A$3:$A$731=$A276)*(Source_Evolution!$O$3:$O$731&gt;0))</f>
        <v/>
      </c>
      <c r="AF276" s="18">
        <f>SUMPRODUCT((Source_Evolution!$A$3:$A$731=$A276)*(Source_Evolution!$P$3:$P$731&gt;0))</f>
        <v/>
      </c>
      <c r="AG276" s="18">
        <f>SUMPRODUCT((Source_Evolution!$A$3:$A$731=$A276)*(Source_Evolution!$Q$3:$Q$731&gt;0))</f>
        <v/>
      </c>
    </row>
    <row r="277">
      <c r="A277" t="inlineStr">
        <is>
          <t>Company 35</t>
        </is>
      </c>
      <c r="B277" t="inlineStr">
        <is>
          <t>Operations</t>
        </is>
      </c>
      <c r="C277" t="inlineStr">
        <is>
          <t>UK</t>
        </is>
      </c>
      <c r="D277" t="n">
        <v>2015</v>
      </c>
      <c r="E277" s="17">
        <f>SUMIFS(Source_Evolution!$E$3:$E$731,Source_Evolution!$A$3:$A$731,$A277)</f>
        <v/>
      </c>
      <c r="F277" s="17">
        <f>SUMIFS(Source_Evolution!$F$3:$F$731,Source_Evolution!$A$3:$A$731,$A277)</f>
        <v/>
      </c>
      <c r="G277" s="17">
        <f>SUMIFS(Source_Evolution!$G$3:$G$731,Source_Evolution!$A$3:$A$731,$A277)</f>
        <v/>
      </c>
      <c r="H277" s="17">
        <f>SUMIFS(Source_Evolution!$H$3:$H$731,Source_Evolution!$A$3:$A$731,$A277)</f>
        <v/>
      </c>
      <c r="I277" s="17">
        <f>SUMIFS(Source_Evolution!$I$3:$I$731,Source_Evolution!$A$3:$A$731,$A277)</f>
        <v/>
      </c>
      <c r="J277" s="17">
        <f>SUMIFS(Source_Evolution!$J$3:$J$731,Source_Evolution!$A$3:$A$731,$A277)</f>
        <v/>
      </c>
      <c r="K277" s="17">
        <f>SUMIFS(Source_Evolution!$K$3:$K$731,Source_Evolution!$A$3:$A$731,$A277)</f>
        <v/>
      </c>
      <c r="L277" s="17">
        <f>SUMIFS(Source_Evolution!$L$3:$L$731,Source_Evolution!$A$3:$A$731,$A277)</f>
        <v/>
      </c>
      <c r="M277" s="17">
        <f>SUMIFS(Source_Evolution!$M$3:$M$731,Source_Evolution!$A$3:$A$731,$A277)</f>
        <v/>
      </c>
      <c r="N277" s="17">
        <f>SUMIFS(Source_Evolution!$N$3:$N$731,Source_Evolution!$A$3:$A$731,$A277)</f>
        <v/>
      </c>
      <c r="O277" s="17">
        <f>SUMIFS(Source_Evolution!$O$3:$O$731,Source_Evolution!$A$3:$A$731,$A277)</f>
        <v/>
      </c>
      <c r="P277" s="17">
        <f>SUMIFS(Source_Evolution!$P$3:$P$731,Source_Evolution!$A$3:$A$731,$A277)</f>
        <v/>
      </c>
      <c r="Q277" s="17">
        <f>SUMIFS(Source_Evolution!$Q$3:$Q$731,Source_Evolution!$A$3:$A$731,$A277)</f>
        <v/>
      </c>
      <c r="R277" s="17">
        <f>SUM(E277:Q277)</f>
        <v/>
      </c>
      <c r="S277" s="17">
        <f>Q277</f>
        <v/>
      </c>
      <c r="T277">
        <f>IF(B277="Software",1,0)</f>
        <v/>
      </c>
      <c r="U277" s="18">
        <f>SUMPRODUCT((Source_Evolution!$A$3:$A$731=$A277)*(Source_Evolution!$E$3:$E$731&gt;0))</f>
        <v/>
      </c>
      <c r="V277" s="18">
        <f>SUMPRODUCT((Source_Evolution!$A$3:$A$731=$A277)*(Source_Evolution!$F$3:$F$731&gt;0))</f>
        <v/>
      </c>
      <c r="W277" s="18">
        <f>SUMPRODUCT((Source_Evolution!$A$3:$A$731=$A277)*(Source_Evolution!$G$3:$G$731&gt;0))</f>
        <v/>
      </c>
      <c r="X277" s="18">
        <f>SUMPRODUCT((Source_Evolution!$A$3:$A$731=$A277)*(Source_Evolution!$H$3:$H$731&gt;0))</f>
        <v/>
      </c>
      <c r="Y277" s="18">
        <f>SUMPRODUCT((Source_Evolution!$A$3:$A$731=$A277)*(Source_Evolution!$I$3:$I$731&gt;0))</f>
        <v/>
      </c>
      <c r="Z277" s="18">
        <f>SUMPRODUCT((Source_Evolution!$A$3:$A$731=$A277)*(Source_Evolution!$J$3:$J$731&gt;0))</f>
        <v/>
      </c>
      <c r="AA277" s="18">
        <f>SUMPRODUCT((Source_Evolution!$A$3:$A$731=$A277)*(Source_Evolution!$K$3:$K$731&gt;0))</f>
        <v/>
      </c>
      <c r="AB277" s="18">
        <f>SUMPRODUCT((Source_Evolution!$A$3:$A$731=$A277)*(Source_Evolution!$L$3:$L$731&gt;0))</f>
        <v/>
      </c>
      <c r="AC277" s="18">
        <f>SUMPRODUCT((Source_Evolution!$A$3:$A$731=$A277)*(Source_Evolution!$M$3:$M$731&gt;0))</f>
        <v/>
      </c>
      <c r="AD277" s="18">
        <f>SUMPRODUCT((Source_Evolution!$A$3:$A$731=$A277)*(Source_Evolution!$N$3:$N$731&gt;0))</f>
        <v/>
      </c>
      <c r="AE277" s="18">
        <f>SUMPRODUCT((Source_Evolution!$A$3:$A$731=$A277)*(Source_Evolution!$O$3:$O$731&gt;0))</f>
        <v/>
      </c>
      <c r="AF277" s="18">
        <f>SUMPRODUCT((Source_Evolution!$A$3:$A$731=$A277)*(Source_Evolution!$P$3:$P$731&gt;0))</f>
        <v/>
      </c>
      <c r="AG277" s="18">
        <f>SUMPRODUCT((Source_Evolution!$A$3:$A$731=$A277)*(Source_Evolution!$Q$3:$Q$731&gt;0))</f>
        <v/>
      </c>
    </row>
    <row r="278">
      <c r="A278" t="inlineStr">
        <is>
          <t>Company 350</t>
        </is>
      </c>
      <c r="B278" t="inlineStr">
        <is>
          <t>Operations</t>
        </is>
      </c>
      <c r="C278" t="inlineStr">
        <is>
          <t>UK</t>
        </is>
      </c>
      <c r="D278" t="n">
        <v>2014</v>
      </c>
      <c r="E278" s="17">
        <f>SUMIFS(Source_Evolution!$E$3:$E$731,Source_Evolution!$A$3:$A$731,$A278)</f>
        <v/>
      </c>
      <c r="F278" s="17">
        <f>SUMIFS(Source_Evolution!$F$3:$F$731,Source_Evolution!$A$3:$A$731,$A278)</f>
        <v/>
      </c>
      <c r="G278" s="17">
        <f>SUMIFS(Source_Evolution!$G$3:$G$731,Source_Evolution!$A$3:$A$731,$A278)</f>
        <v/>
      </c>
      <c r="H278" s="17">
        <f>SUMIFS(Source_Evolution!$H$3:$H$731,Source_Evolution!$A$3:$A$731,$A278)</f>
        <v/>
      </c>
      <c r="I278" s="17">
        <f>SUMIFS(Source_Evolution!$I$3:$I$731,Source_Evolution!$A$3:$A$731,$A278)</f>
        <v/>
      </c>
      <c r="J278" s="17">
        <f>SUMIFS(Source_Evolution!$J$3:$J$731,Source_Evolution!$A$3:$A$731,$A278)</f>
        <v/>
      </c>
      <c r="K278" s="17">
        <f>SUMIFS(Source_Evolution!$K$3:$K$731,Source_Evolution!$A$3:$A$731,$A278)</f>
        <v/>
      </c>
      <c r="L278" s="17">
        <f>SUMIFS(Source_Evolution!$L$3:$L$731,Source_Evolution!$A$3:$A$731,$A278)</f>
        <v/>
      </c>
      <c r="M278" s="17">
        <f>SUMIFS(Source_Evolution!$M$3:$M$731,Source_Evolution!$A$3:$A$731,$A278)</f>
        <v/>
      </c>
      <c r="N278" s="17">
        <f>SUMIFS(Source_Evolution!$N$3:$N$731,Source_Evolution!$A$3:$A$731,$A278)</f>
        <v/>
      </c>
      <c r="O278" s="17">
        <f>SUMIFS(Source_Evolution!$O$3:$O$731,Source_Evolution!$A$3:$A$731,$A278)</f>
        <v/>
      </c>
      <c r="P278" s="17">
        <f>SUMIFS(Source_Evolution!$P$3:$P$731,Source_Evolution!$A$3:$A$731,$A278)</f>
        <v/>
      </c>
      <c r="Q278" s="17">
        <f>SUMIFS(Source_Evolution!$Q$3:$Q$731,Source_Evolution!$A$3:$A$731,$A278)</f>
        <v/>
      </c>
      <c r="R278" s="17">
        <f>SUM(E278:Q278)</f>
        <v/>
      </c>
      <c r="S278" s="17">
        <f>Q278</f>
        <v/>
      </c>
      <c r="T278">
        <f>IF(B278="Software",1,0)</f>
        <v/>
      </c>
      <c r="U278" s="18">
        <f>SUMPRODUCT((Source_Evolution!$A$3:$A$731=$A278)*(Source_Evolution!$E$3:$E$731&gt;0))</f>
        <v/>
      </c>
      <c r="V278" s="18">
        <f>SUMPRODUCT((Source_Evolution!$A$3:$A$731=$A278)*(Source_Evolution!$F$3:$F$731&gt;0))</f>
        <v/>
      </c>
      <c r="W278" s="18">
        <f>SUMPRODUCT((Source_Evolution!$A$3:$A$731=$A278)*(Source_Evolution!$G$3:$G$731&gt;0))</f>
        <v/>
      </c>
      <c r="X278" s="18">
        <f>SUMPRODUCT((Source_Evolution!$A$3:$A$731=$A278)*(Source_Evolution!$H$3:$H$731&gt;0))</f>
        <v/>
      </c>
      <c r="Y278" s="18">
        <f>SUMPRODUCT((Source_Evolution!$A$3:$A$731=$A278)*(Source_Evolution!$I$3:$I$731&gt;0))</f>
        <v/>
      </c>
      <c r="Z278" s="18">
        <f>SUMPRODUCT((Source_Evolution!$A$3:$A$731=$A278)*(Source_Evolution!$J$3:$J$731&gt;0))</f>
        <v/>
      </c>
      <c r="AA278" s="18">
        <f>SUMPRODUCT((Source_Evolution!$A$3:$A$731=$A278)*(Source_Evolution!$K$3:$K$731&gt;0))</f>
        <v/>
      </c>
      <c r="AB278" s="18">
        <f>SUMPRODUCT((Source_Evolution!$A$3:$A$731=$A278)*(Source_Evolution!$L$3:$L$731&gt;0))</f>
        <v/>
      </c>
      <c r="AC278" s="18">
        <f>SUMPRODUCT((Source_Evolution!$A$3:$A$731=$A278)*(Source_Evolution!$M$3:$M$731&gt;0))</f>
        <v/>
      </c>
      <c r="AD278" s="18">
        <f>SUMPRODUCT((Source_Evolution!$A$3:$A$731=$A278)*(Source_Evolution!$N$3:$N$731&gt;0))</f>
        <v/>
      </c>
      <c r="AE278" s="18">
        <f>SUMPRODUCT((Source_Evolution!$A$3:$A$731=$A278)*(Source_Evolution!$O$3:$O$731&gt;0))</f>
        <v/>
      </c>
      <c r="AF278" s="18">
        <f>SUMPRODUCT((Source_Evolution!$A$3:$A$731=$A278)*(Source_Evolution!$P$3:$P$731&gt;0))</f>
        <v/>
      </c>
      <c r="AG278" s="18">
        <f>SUMPRODUCT((Source_Evolution!$A$3:$A$731=$A278)*(Source_Evolution!$Q$3:$Q$731&gt;0))</f>
        <v/>
      </c>
    </row>
    <row r="279">
      <c r="A279" t="inlineStr">
        <is>
          <t>Company 351</t>
        </is>
      </c>
      <c r="B279" t="inlineStr">
        <is>
          <t>Software</t>
        </is>
      </c>
      <c r="C279" t="inlineStr">
        <is>
          <t>Netherlands</t>
        </is>
      </c>
      <c r="D279" t="n">
        <v>2023</v>
      </c>
      <c r="E279" s="17">
        <f>SUMIFS(Source_Evolution!$E$3:$E$731,Source_Evolution!$A$3:$A$731,$A279)</f>
        <v/>
      </c>
      <c r="F279" s="17">
        <f>SUMIFS(Source_Evolution!$F$3:$F$731,Source_Evolution!$A$3:$A$731,$A279)</f>
        <v/>
      </c>
      <c r="G279" s="17">
        <f>SUMIFS(Source_Evolution!$G$3:$G$731,Source_Evolution!$A$3:$A$731,$A279)</f>
        <v/>
      </c>
      <c r="H279" s="17">
        <f>SUMIFS(Source_Evolution!$H$3:$H$731,Source_Evolution!$A$3:$A$731,$A279)</f>
        <v/>
      </c>
      <c r="I279" s="17">
        <f>SUMIFS(Source_Evolution!$I$3:$I$731,Source_Evolution!$A$3:$A$731,$A279)</f>
        <v/>
      </c>
      <c r="J279" s="17">
        <f>SUMIFS(Source_Evolution!$J$3:$J$731,Source_Evolution!$A$3:$A$731,$A279)</f>
        <v/>
      </c>
      <c r="K279" s="17">
        <f>SUMIFS(Source_Evolution!$K$3:$K$731,Source_Evolution!$A$3:$A$731,$A279)</f>
        <v/>
      </c>
      <c r="L279" s="17">
        <f>SUMIFS(Source_Evolution!$L$3:$L$731,Source_Evolution!$A$3:$A$731,$A279)</f>
        <v/>
      </c>
      <c r="M279" s="17">
        <f>SUMIFS(Source_Evolution!$M$3:$M$731,Source_Evolution!$A$3:$A$731,$A279)</f>
        <v/>
      </c>
      <c r="N279" s="17">
        <f>SUMIFS(Source_Evolution!$N$3:$N$731,Source_Evolution!$A$3:$A$731,$A279)</f>
        <v/>
      </c>
      <c r="O279" s="17">
        <f>SUMIFS(Source_Evolution!$O$3:$O$731,Source_Evolution!$A$3:$A$731,$A279)</f>
        <v/>
      </c>
      <c r="P279" s="17">
        <f>SUMIFS(Source_Evolution!$P$3:$P$731,Source_Evolution!$A$3:$A$731,$A279)</f>
        <v/>
      </c>
      <c r="Q279" s="17">
        <f>SUMIFS(Source_Evolution!$Q$3:$Q$731,Source_Evolution!$A$3:$A$731,$A279)</f>
        <v/>
      </c>
      <c r="R279" s="17">
        <f>SUM(E279:Q279)</f>
        <v/>
      </c>
      <c r="S279" s="17">
        <f>Q279</f>
        <v/>
      </c>
      <c r="T279">
        <f>IF(B279="Software",1,0)</f>
        <v/>
      </c>
      <c r="U279" s="18">
        <f>SUMPRODUCT((Source_Evolution!$A$3:$A$731=$A279)*(Source_Evolution!$E$3:$E$731&gt;0))</f>
        <v/>
      </c>
      <c r="V279" s="18">
        <f>SUMPRODUCT((Source_Evolution!$A$3:$A$731=$A279)*(Source_Evolution!$F$3:$F$731&gt;0))</f>
        <v/>
      </c>
      <c r="W279" s="18">
        <f>SUMPRODUCT((Source_Evolution!$A$3:$A$731=$A279)*(Source_Evolution!$G$3:$G$731&gt;0))</f>
        <v/>
      </c>
      <c r="X279" s="18">
        <f>SUMPRODUCT((Source_Evolution!$A$3:$A$731=$A279)*(Source_Evolution!$H$3:$H$731&gt;0))</f>
        <v/>
      </c>
      <c r="Y279" s="18">
        <f>SUMPRODUCT((Source_Evolution!$A$3:$A$731=$A279)*(Source_Evolution!$I$3:$I$731&gt;0))</f>
        <v/>
      </c>
      <c r="Z279" s="18">
        <f>SUMPRODUCT((Source_Evolution!$A$3:$A$731=$A279)*(Source_Evolution!$J$3:$J$731&gt;0))</f>
        <v/>
      </c>
      <c r="AA279" s="18">
        <f>SUMPRODUCT((Source_Evolution!$A$3:$A$731=$A279)*(Source_Evolution!$K$3:$K$731&gt;0))</f>
        <v/>
      </c>
      <c r="AB279" s="18">
        <f>SUMPRODUCT((Source_Evolution!$A$3:$A$731=$A279)*(Source_Evolution!$L$3:$L$731&gt;0))</f>
        <v/>
      </c>
      <c r="AC279" s="18">
        <f>SUMPRODUCT((Source_Evolution!$A$3:$A$731=$A279)*(Source_Evolution!$M$3:$M$731&gt;0))</f>
        <v/>
      </c>
      <c r="AD279" s="18">
        <f>SUMPRODUCT((Source_Evolution!$A$3:$A$731=$A279)*(Source_Evolution!$N$3:$N$731&gt;0))</f>
        <v/>
      </c>
      <c r="AE279" s="18">
        <f>SUMPRODUCT((Source_Evolution!$A$3:$A$731=$A279)*(Source_Evolution!$O$3:$O$731&gt;0))</f>
        <v/>
      </c>
      <c r="AF279" s="18">
        <f>SUMPRODUCT((Source_Evolution!$A$3:$A$731=$A279)*(Source_Evolution!$P$3:$P$731&gt;0))</f>
        <v/>
      </c>
      <c r="AG279" s="18">
        <f>SUMPRODUCT((Source_Evolution!$A$3:$A$731=$A279)*(Source_Evolution!$Q$3:$Q$731&gt;0))</f>
        <v/>
      </c>
    </row>
    <row r="280">
      <c r="A280" t="inlineStr">
        <is>
          <t>Company 352</t>
        </is>
      </c>
      <c r="B280" t="inlineStr">
        <is>
          <t>Software</t>
        </is>
      </c>
      <c r="C280" t="inlineStr">
        <is>
          <t>Norway</t>
        </is>
      </c>
      <c r="D280" t="n">
        <v>2014</v>
      </c>
      <c r="E280" s="17">
        <f>SUMIFS(Source_Evolution!$E$3:$E$731,Source_Evolution!$A$3:$A$731,$A280)</f>
        <v/>
      </c>
      <c r="F280" s="17">
        <f>SUMIFS(Source_Evolution!$F$3:$F$731,Source_Evolution!$A$3:$A$731,$A280)</f>
        <v/>
      </c>
      <c r="G280" s="17">
        <f>SUMIFS(Source_Evolution!$G$3:$G$731,Source_Evolution!$A$3:$A$731,$A280)</f>
        <v/>
      </c>
      <c r="H280" s="17">
        <f>SUMIFS(Source_Evolution!$H$3:$H$731,Source_Evolution!$A$3:$A$731,$A280)</f>
        <v/>
      </c>
      <c r="I280" s="17">
        <f>SUMIFS(Source_Evolution!$I$3:$I$731,Source_Evolution!$A$3:$A$731,$A280)</f>
        <v/>
      </c>
      <c r="J280" s="17">
        <f>SUMIFS(Source_Evolution!$J$3:$J$731,Source_Evolution!$A$3:$A$731,$A280)</f>
        <v/>
      </c>
      <c r="K280" s="17">
        <f>SUMIFS(Source_Evolution!$K$3:$K$731,Source_Evolution!$A$3:$A$731,$A280)</f>
        <v/>
      </c>
      <c r="L280" s="17">
        <f>SUMIFS(Source_Evolution!$L$3:$L$731,Source_Evolution!$A$3:$A$731,$A280)</f>
        <v/>
      </c>
      <c r="M280" s="17">
        <f>SUMIFS(Source_Evolution!$M$3:$M$731,Source_Evolution!$A$3:$A$731,$A280)</f>
        <v/>
      </c>
      <c r="N280" s="17">
        <f>SUMIFS(Source_Evolution!$N$3:$N$731,Source_Evolution!$A$3:$A$731,$A280)</f>
        <v/>
      </c>
      <c r="O280" s="17">
        <f>SUMIFS(Source_Evolution!$O$3:$O$731,Source_Evolution!$A$3:$A$731,$A280)</f>
        <v/>
      </c>
      <c r="P280" s="17">
        <f>SUMIFS(Source_Evolution!$P$3:$P$731,Source_Evolution!$A$3:$A$731,$A280)</f>
        <v/>
      </c>
      <c r="Q280" s="17">
        <f>SUMIFS(Source_Evolution!$Q$3:$Q$731,Source_Evolution!$A$3:$A$731,$A280)</f>
        <v/>
      </c>
      <c r="R280" s="17">
        <f>SUM(E280:Q280)</f>
        <v/>
      </c>
      <c r="S280" s="17">
        <f>Q280</f>
        <v/>
      </c>
      <c r="T280">
        <f>IF(B280="Software",1,0)</f>
        <v/>
      </c>
      <c r="U280" s="18">
        <f>SUMPRODUCT((Source_Evolution!$A$3:$A$731=$A280)*(Source_Evolution!$E$3:$E$731&gt;0))</f>
        <v/>
      </c>
      <c r="V280" s="18">
        <f>SUMPRODUCT((Source_Evolution!$A$3:$A$731=$A280)*(Source_Evolution!$F$3:$F$731&gt;0))</f>
        <v/>
      </c>
      <c r="W280" s="18">
        <f>SUMPRODUCT((Source_Evolution!$A$3:$A$731=$A280)*(Source_Evolution!$G$3:$G$731&gt;0))</f>
        <v/>
      </c>
      <c r="X280" s="18">
        <f>SUMPRODUCT((Source_Evolution!$A$3:$A$731=$A280)*(Source_Evolution!$H$3:$H$731&gt;0))</f>
        <v/>
      </c>
      <c r="Y280" s="18">
        <f>SUMPRODUCT((Source_Evolution!$A$3:$A$731=$A280)*(Source_Evolution!$I$3:$I$731&gt;0))</f>
        <v/>
      </c>
      <c r="Z280" s="18">
        <f>SUMPRODUCT((Source_Evolution!$A$3:$A$731=$A280)*(Source_Evolution!$J$3:$J$731&gt;0))</f>
        <v/>
      </c>
      <c r="AA280" s="18">
        <f>SUMPRODUCT((Source_Evolution!$A$3:$A$731=$A280)*(Source_Evolution!$K$3:$K$731&gt;0))</f>
        <v/>
      </c>
      <c r="AB280" s="18">
        <f>SUMPRODUCT((Source_Evolution!$A$3:$A$731=$A280)*(Source_Evolution!$L$3:$L$731&gt;0))</f>
        <v/>
      </c>
      <c r="AC280" s="18">
        <f>SUMPRODUCT((Source_Evolution!$A$3:$A$731=$A280)*(Source_Evolution!$M$3:$M$731&gt;0))</f>
        <v/>
      </c>
      <c r="AD280" s="18">
        <f>SUMPRODUCT((Source_Evolution!$A$3:$A$731=$A280)*(Source_Evolution!$N$3:$N$731&gt;0))</f>
        <v/>
      </c>
      <c r="AE280" s="18">
        <f>SUMPRODUCT((Source_Evolution!$A$3:$A$731=$A280)*(Source_Evolution!$O$3:$O$731&gt;0))</f>
        <v/>
      </c>
      <c r="AF280" s="18">
        <f>SUMPRODUCT((Source_Evolution!$A$3:$A$731=$A280)*(Source_Evolution!$P$3:$P$731&gt;0))</f>
        <v/>
      </c>
      <c r="AG280" s="18">
        <f>SUMPRODUCT((Source_Evolution!$A$3:$A$731=$A280)*(Source_Evolution!$Q$3:$Q$731&gt;0))</f>
        <v/>
      </c>
    </row>
    <row r="281">
      <c r="A281" t="inlineStr">
        <is>
          <t>Company 353</t>
        </is>
      </c>
      <c r="B281" t="inlineStr">
        <is>
          <t>Operations</t>
        </is>
      </c>
      <c r="C281" t="inlineStr">
        <is>
          <t>France</t>
        </is>
      </c>
      <c r="D281" t="n">
        <v>2015</v>
      </c>
      <c r="E281" s="17">
        <f>SUMIFS(Source_Evolution!$E$3:$E$731,Source_Evolution!$A$3:$A$731,$A281)</f>
        <v/>
      </c>
      <c r="F281" s="17">
        <f>SUMIFS(Source_Evolution!$F$3:$F$731,Source_Evolution!$A$3:$A$731,$A281)</f>
        <v/>
      </c>
      <c r="G281" s="17">
        <f>SUMIFS(Source_Evolution!$G$3:$G$731,Source_Evolution!$A$3:$A$731,$A281)</f>
        <v/>
      </c>
      <c r="H281" s="17">
        <f>SUMIFS(Source_Evolution!$H$3:$H$731,Source_Evolution!$A$3:$A$731,$A281)</f>
        <v/>
      </c>
      <c r="I281" s="17">
        <f>SUMIFS(Source_Evolution!$I$3:$I$731,Source_Evolution!$A$3:$A$731,$A281)</f>
        <v/>
      </c>
      <c r="J281" s="17">
        <f>SUMIFS(Source_Evolution!$J$3:$J$731,Source_Evolution!$A$3:$A$731,$A281)</f>
        <v/>
      </c>
      <c r="K281" s="17">
        <f>SUMIFS(Source_Evolution!$K$3:$K$731,Source_Evolution!$A$3:$A$731,$A281)</f>
        <v/>
      </c>
      <c r="L281" s="17">
        <f>SUMIFS(Source_Evolution!$L$3:$L$731,Source_Evolution!$A$3:$A$731,$A281)</f>
        <v/>
      </c>
      <c r="M281" s="17">
        <f>SUMIFS(Source_Evolution!$M$3:$M$731,Source_Evolution!$A$3:$A$731,$A281)</f>
        <v/>
      </c>
      <c r="N281" s="17">
        <f>SUMIFS(Source_Evolution!$N$3:$N$731,Source_Evolution!$A$3:$A$731,$A281)</f>
        <v/>
      </c>
      <c r="O281" s="17">
        <f>SUMIFS(Source_Evolution!$O$3:$O$731,Source_Evolution!$A$3:$A$731,$A281)</f>
        <v/>
      </c>
      <c r="P281" s="17">
        <f>SUMIFS(Source_Evolution!$P$3:$P$731,Source_Evolution!$A$3:$A$731,$A281)</f>
        <v/>
      </c>
      <c r="Q281" s="17">
        <f>SUMIFS(Source_Evolution!$Q$3:$Q$731,Source_Evolution!$A$3:$A$731,$A281)</f>
        <v/>
      </c>
      <c r="R281" s="17">
        <f>SUM(E281:Q281)</f>
        <v/>
      </c>
      <c r="S281" s="17">
        <f>Q281</f>
        <v/>
      </c>
      <c r="T281">
        <f>IF(B281="Software",1,0)</f>
        <v/>
      </c>
      <c r="U281" s="18">
        <f>SUMPRODUCT((Source_Evolution!$A$3:$A$731=$A281)*(Source_Evolution!$E$3:$E$731&gt;0))</f>
        <v/>
      </c>
      <c r="V281" s="18">
        <f>SUMPRODUCT((Source_Evolution!$A$3:$A$731=$A281)*(Source_Evolution!$F$3:$F$731&gt;0))</f>
        <v/>
      </c>
      <c r="W281" s="18">
        <f>SUMPRODUCT((Source_Evolution!$A$3:$A$731=$A281)*(Source_Evolution!$G$3:$G$731&gt;0))</f>
        <v/>
      </c>
      <c r="X281" s="18">
        <f>SUMPRODUCT((Source_Evolution!$A$3:$A$731=$A281)*(Source_Evolution!$H$3:$H$731&gt;0))</f>
        <v/>
      </c>
      <c r="Y281" s="18">
        <f>SUMPRODUCT((Source_Evolution!$A$3:$A$731=$A281)*(Source_Evolution!$I$3:$I$731&gt;0))</f>
        <v/>
      </c>
      <c r="Z281" s="18">
        <f>SUMPRODUCT((Source_Evolution!$A$3:$A$731=$A281)*(Source_Evolution!$J$3:$J$731&gt;0))</f>
        <v/>
      </c>
      <c r="AA281" s="18">
        <f>SUMPRODUCT((Source_Evolution!$A$3:$A$731=$A281)*(Source_Evolution!$K$3:$K$731&gt;0))</f>
        <v/>
      </c>
      <c r="AB281" s="18">
        <f>SUMPRODUCT((Source_Evolution!$A$3:$A$731=$A281)*(Source_Evolution!$L$3:$L$731&gt;0))</f>
        <v/>
      </c>
      <c r="AC281" s="18">
        <f>SUMPRODUCT((Source_Evolution!$A$3:$A$731=$A281)*(Source_Evolution!$M$3:$M$731&gt;0))</f>
        <v/>
      </c>
      <c r="AD281" s="18">
        <f>SUMPRODUCT((Source_Evolution!$A$3:$A$731=$A281)*(Source_Evolution!$N$3:$N$731&gt;0))</f>
        <v/>
      </c>
      <c r="AE281" s="18">
        <f>SUMPRODUCT((Source_Evolution!$A$3:$A$731=$A281)*(Source_Evolution!$O$3:$O$731&gt;0))</f>
        <v/>
      </c>
      <c r="AF281" s="18">
        <f>SUMPRODUCT((Source_Evolution!$A$3:$A$731=$A281)*(Source_Evolution!$P$3:$P$731&gt;0))</f>
        <v/>
      </c>
      <c r="AG281" s="18">
        <f>SUMPRODUCT((Source_Evolution!$A$3:$A$731=$A281)*(Source_Evolution!$Q$3:$Q$731&gt;0))</f>
        <v/>
      </c>
    </row>
    <row r="282">
      <c r="A282" t="inlineStr">
        <is>
          <t>Company 354</t>
        </is>
      </c>
      <c r="B282" t="inlineStr">
        <is>
          <t>Operations</t>
        </is>
      </c>
      <c r="C282" t="inlineStr">
        <is>
          <t>UK</t>
        </is>
      </c>
      <c r="D282" t="n">
        <v>2014</v>
      </c>
      <c r="E282" s="17">
        <f>SUMIFS(Source_Evolution!$E$3:$E$731,Source_Evolution!$A$3:$A$731,$A282)</f>
        <v/>
      </c>
      <c r="F282" s="17">
        <f>SUMIFS(Source_Evolution!$F$3:$F$731,Source_Evolution!$A$3:$A$731,$A282)</f>
        <v/>
      </c>
      <c r="G282" s="17">
        <f>SUMIFS(Source_Evolution!$G$3:$G$731,Source_Evolution!$A$3:$A$731,$A282)</f>
        <v/>
      </c>
      <c r="H282" s="17">
        <f>SUMIFS(Source_Evolution!$H$3:$H$731,Source_Evolution!$A$3:$A$731,$A282)</f>
        <v/>
      </c>
      <c r="I282" s="17">
        <f>SUMIFS(Source_Evolution!$I$3:$I$731,Source_Evolution!$A$3:$A$731,$A282)</f>
        <v/>
      </c>
      <c r="J282" s="17">
        <f>SUMIFS(Source_Evolution!$J$3:$J$731,Source_Evolution!$A$3:$A$731,$A282)</f>
        <v/>
      </c>
      <c r="K282" s="17">
        <f>SUMIFS(Source_Evolution!$K$3:$K$731,Source_Evolution!$A$3:$A$731,$A282)</f>
        <v/>
      </c>
      <c r="L282" s="17">
        <f>SUMIFS(Source_Evolution!$L$3:$L$731,Source_Evolution!$A$3:$A$731,$A282)</f>
        <v/>
      </c>
      <c r="M282" s="17">
        <f>SUMIFS(Source_Evolution!$M$3:$M$731,Source_Evolution!$A$3:$A$731,$A282)</f>
        <v/>
      </c>
      <c r="N282" s="17">
        <f>SUMIFS(Source_Evolution!$N$3:$N$731,Source_Evolution!$A$3:$A$731,$A282)</f>
        <v/>
      </c>
      <c r="O282" s="17">
        <f>SUMIFS(Source_Evolution!$O$3:$O$731,Source_Evolution!$A$3:$A$731,$A282)</f>
        <v/>
      </c>
      <c r="P282" s="17">
        <f>SUMIFS(Source_Evolution!$P$3:$P$731,Source_Evolution!$A$3:$A$731,$A282)</f>
        <v/>
      </c>
      <c r="Q282" s="17">
        <f>SUMIFS(Source_Evolution!$Q$3:$Q$731,Source_Evolution!$A$3:$A$731,$A282)</f>
        <v/>
      </c>
      <c r="R282" s="17">
        <f>SUM(E282:Q282)</f>
        <v/>
      </c>
      <c r="S282" s="17">
        <f>Q282</f>
        <v/>
      </c>
      <c r="T282">
        <f>IF(B282="Software",1,0)</f>
        <v/>
      </c>
      <c r="U282" s="18">
        <f>SUMPRODUCT((Source_Evolution!$A$3:$A$731=$A282)*(Source_Evolution!$E$3:$E$731&gt;0))</f>
        <v/>
      </c>
      <c r="V282" s="18">
        <f>SUMPRODUCT((Source_Evolution!$A$3:$A$731=$A282)*(Source_Evolution!$F$3:$F$731&gt;0))</f>
        <v/>
      </c>
      <c r="W282" s="18">
        <f>SUMPRODUCT((Source_Evolution!$A$3:$A$731=$A282)*(Source_Evolution!$G$3:$G$731&gt;0))</f>
        <v/>
      </c>
      <c r="X282" s="18">
        <f>SUMPRODUCT((Source_Evolution!$A$3:$A$731=$A282)*(Source_Evolution!$H$3:$H$731&gt;0))</f>
        <v/>
      </c>
      <c r="Y282" s="18">
        <f>SUMPRODUCT((Source_Evolution!$A$3:$A$731=$A282)*(Source_Evolution!$I$3:$I$731&gt;0))</f>
        <v/>
      </c>
      <c r="Z282" s="18">
        <f>SUMPRODUCT((Source_Evolution!$A$3:$A$731=$A282)*(Source_Evolution!$J$3:$J$731&gt;0))</f>
        <v/>
      </c>
      <c r="AA282" s="18">
        <f>SUMPRODUCT((Source_Evolution!$A$3:$A$731=$A282)*(Source_Evolution!$K$3:$K$731&gt;0))</f>
        <v/>
      </c>
      <c r="AB282" s="18">
        <f>SUMPRODUCT((Source_Evolution!$A$3:$A$731=$A282)*(Source_Evolution!$L$3:$L$731&gt;0))</f>
        <v/>
      </c>
      <c r="AC282" s="18">
        <f>SUMPRODUCT((Source_Evolution!$A$3:$A$731=$A282)*(Source_Evolution!$M$3:$M$731&gt;0))</f>
        <v/>
      </c>
      <c r="AD282" s="18">
        <f>SUMPRODUCT((Source_Evolution!$A$3:$A$731=$A282)*(Source_Evolution!$N$3:$N$731&gt;0))</f>
        <v/>
      </c>
      <c r="AE282" s="18">
        <f>SUMPRODUCT((Source_Evolution!$A$3:$A$731=$A282)*(Source_Evolution!$O$3:$O$731&gt;0))</f>
        <v/>
      </c>
      <c r="AF282" s="18">
        <f>SUMPRODUCT((Source_Evolution!$A$3:$A$731=$A282)*(Source_Evolution!$P$3:$P$731&gt;0))</f>
        <v/>
      </c>
      <c r="AG282" s="18">
        <f>SUMPRODUCT((Source_Evolution!$A$3:$A$731=$A282)*(Source_Evolution!$Q$3:$Q$731&gt;0))</f>
        <v/>
      </c>
    </row>
    <row r="283">
      <c r="A283" t="inlineStr">
        <is>
          <t>Company 355</t>
        </is>
      </c>
      <c r="B283" t="inlineStr">
        <is>
          <t>Operations</t>
        </is>
      </c>
      <c r="C283" t="inlineStr">
        <is>
          <t>UK</t>
        </is>
      </c>
      <c r="D283" t="n">
        <v>2016</v>
      </c>
      <c r="E283" s="17">
        <f>SUMIFS(Source_Evolution!$E$3:$E$731,Source_Evolution!$A$3:$A$731,$A283)</f>
        <v/>
      </c>
      <c r="F283" s="17">
        <f>SUMIFS(Source_Evolution!$F$3:$F$731,Source_Evolution!$A$3:$A$731,$A283)</f>
        <v/>
      </c>
      <c r="G283" s="17">
        <f>SUMIFS(Source_Evolution!$G$3:$G$731,Source_Evolution!$A$3:$A$731,$A283)</f>
        <v/>
      </c>
      <c r="H283" s="17">
        <f>SUMIFS(Source_Evolution!$H$3:$H$731,Source_Evolution!$A$3:$A$731,$A283)</f>
        <v/>
      </c>
      <c r="I283" s="17">
        <f>SUMIFS(Source_Evolution!$I$3:$I$731,Source_Evolution!$A$3:$A$731,$A283)</f>
        <v/>
      </c>
      <c r="J283" s="17">
        <f>SUMIFS(Source_Evolution!$J$3:$J$731,Source_Evolution!$A$3:$A$731,$A283)</f>
        <v/>
      </c>
      <c r="K283" s="17">
        <f>SUMIFS(Source_Evolution!$K$3:$K$731,Source_Evolution!$A$3:$A$731,$A283)</f>
        <v/>
      </c>
      <c r="L283" s="17">
        <f>SUMIFS(Source_Evolution!$L$3:$L$731,Source_Evolution!$A$3:$A$731,$A283)</f>
        <v/>
      </c>
      <c r="M283" s="17">
        <f>SUMIFS(Source_Evolution!$M$3:$M$731,Source_Evolution!$A$3:$A$731,$A283)</f>
        <v/>
      </c>
      <c r="N283" s="17">
        <f>SUMIFS(Source_Evolution!$N$3:$N$731,Source_Evolution!$A$3:$A$731,$A283)</f>
        <v/>
      </c>
      <c r="O283" s="17">
        <f>SUMIFS(Source_Evolution!$O$3:$O$731,Source_Evolution!$A$3:$A$731,$A283)</f>
        <v/>
      </c>
      <c r="P283" s="17">
        <f>SUMIFS(Source_Evolution!$P$3:$P$731,Source_Evolution!$A$3:$A$731,$A283)</f>
        <v/>
      </c>
      <c r="Q283" s="17">
        <f>SUMIFS(Source_Evolution!$Q$3:$Q$731,Source_Evolution!$A$3:$A$731,$A283)</f>
        <v/>
      </c>
      <c r="R283" s="17">
        <f>SUM(E283:Q283)</f>
        <v/>
      </c>
      <c r="S283" s="17">
        <f>Q283</f>
        <v/>
      </c>
      <c r="T283">
        <f>IF(B283="Software",1,0)</f>
        <v/>
      </c>
      <c r="U283" s="18">
        <f>SUMPRODUCT((Source_Evolution!$A$3:$A$731=$A283)*(Source_Evolution!$E$3:$E$731&gt;0))</f>
        <v/>
      </c>
      <c r="V283" s="18">
        <f>SUMPRODUCT((Source_Evolution!$A$3:$A$731=$A283)*(Source_Evolution!$F$3:$F$731&gt;0))</f>
        <v/>
      </c>
      <c r="W283" s="18">
        <f>SUMPRODUCT((Source_Evolution!$A$3:$A$731=$A283)*(Source_Evolution!$G$3:$G$731&gt;0))</f>
        <v/>
      </c>
      <c r="X283" s="18">
        <f>SUMPRODUCT((Source_Evolution!$A$3:$A$731=$A283)*(Source_Evolution!$H$3:$H$731&gt;0))</f>
        <v/>
      </c>
      <c r="Y283" s="18">
        <f>SUMPRODUCT((Source_Evolution!$A$3:$A$731=$A283)*(Source_Evolution!$I$3:$I$731&gt;0))</f>
        <v/>
      </c>
      <c r="Z283" s="18">
        <f>SUMPRODUCT((Source_Evolution!$A$3:$A$731=$A283)*(Source_Evolution!$J$3:$J$731&gt;0))</f>
        <v/>
      </c>
      <c r="AA283" s="18">
        <f>SUMPRODUCT((Source_Evolution!$A$3:$A$731=$A283)*(Source_Evolution!$K$3:$K$731&gt;0))</f>
        <v/>
      </c>
      <c r="AB283" s="18">
        <f>SUMPRODUCT((Source_Evolution!$A$3:$A$731=$A283)*(Source_Evolution!$L$3:$L$731&gt;0))</f>
        <v/>
      </c>
      <c r="AC283" s="18">
        <f>SUMPRODUCT((Source_Evolution!$A$3:$A$731=$A283)*(Source_Evolution!$M$3:$M$731&gt;0))</f>
        <v/>
      </c>
      <c r="AD283" s="18">
        <f>SUMPRODUCT((Source_Evolution!$A$3:$A$731=$A283)*(Source_Evolution!$N$3:$N$731&gt;0))</f>
        <v/>
      </c>
      <c r="AE283" s="18">
        <f>SUMPRODUCT((Source_Evolution!$A$3:$A$731=$A283)*(Source_Evolution!$O$3:$O$731&gt;0))</f>
        <v/>
      </c>
      <c r="AF283" s="18">
        <f>SUMPRODUCT((Source_Evolution!$A$3:$A$731=$A283)*(Source_Evolution!$P$3:$P$731&gt;0))</f>
        <v/>
      </c>
      <c r="AG283" s="18">
        <f>SUMPRODUCT((Source_Evolution!$A$3:$A$731=$A283)*(Source_Evolution!$Q$3:$Q$731&gt;0))</f>
        <v/>
      </c>
    </row>
    <row r="284">
      <c r="A284" t="inlineStr">
        <is>
          <t>Company 356</t>
        </is>
      </c>
      <c r="B284" t="inlineStr">
        <is>
          <t>Software</t>
        </is>
      </c>
      <c r="C284" t="inlineStr">
        <is>
          <t>UK</t>
        </is>
      </c>
      <c r="D284" t="n">
        <v>2026</v>
      </c>
      <c r="E284" s="17">
        <f>SUMIFS(Source_Evolution!$E$3:$E$731,Source_Evolution!$A$3:$A$731,$A284)</f>
        <v/>
      </c>
      <c r="F284" s="17">
        <f>SUMIFS(Source_Evolution!$F$3:$F$731,Source_Evolution!$A$3:$A$731,$A284)</f>
        <v/>
      </c>
      <c r="G284" s="17">
        <f>SUMIFS(Source_Evolution!$G$3:$G$731,Source_Evolution!$A$3:$A$731,$A284)</f>
        <v/>
      </c>
      <c r="H284" s="17">
        <f>SUMIFS(Source_Evolution!$H$3:$H$731,Source_Evolution!$A$3:$A$731,$A284)</f>
        <v/>
      </c>
      <c r="I284" s="17">
        <f>SUMIFS(Source_Evolution!$I$3:$I$731,Source_Evolution!$A$3:$A$731,$A284)</f>
        <v/>
      </c>
      <c r="J284" s="17">
        <f>SUMIFS(Source_Evolution!$J$3:$J$731,Source_Evolution!$A$3:$A$731,$A284)</f>
        <v/>
      </c>
      <c r="K284" s="17">
        <f>SUMIFS(Source_Evolution!$K$3:$K$731,Source_Evolution!$A$3:$A$731,$A284)</f>
        <v/>
      </c>
      <c r="L284" s="17">
        <f>SUMIFS(Source_Evolution!$L$3:$L$731,Source_Evolution!$A$3:$A$731,$A284)</f>
        <v/>
      </c>
      <c r="M284" s="17">
        <f>SUMIFS(Source_Evolution!$M$3:$M$731,Source_Evolution!$A$3:$A$731,$A284)</f>
        <v/>
      </c>
      <c r="N284" s="17">
        <f>SUMIFS(Source_Evolution!$N$3:$N$731,Source_Evolution!$A$3:$A$731,$A284)</f>
        <v/>
      </c>
      <c r="O284" s="17">
        <f>SUMIFS(Source_Evolution!$O$3:$O$731,Source_Evolution!$A$3:$A$731,$A284)</f>
        <v/>
      </c>
      <c r="P284" s="17">
        <f>SUMIFS(Source_Evolution!$P$3:$P$731,Source_Evolution!$A$3:$A$731,$A284)</f>
        <v/>
      </c>
      <c r="Q284" s="17">
        <f>SUMIFS(Source_Evolution!$Q$3:$Q$731,Source_Evolution!$A$3:$A$731,$A284)</f>
        <v/>
      </c>
      <c r="R284" s="17">
        <f>SUM(E284:Q284)</f>
        <v/>
      </c>
      <c r="S284" s="17">
        <f>Q284</f>
        <v/>
      </c>
      <c r="T284">
        <f>IF(B284="Software",1,0)</f>
        <v/>
      </c>
      <c r="U284" s="18">
        <f>SUMPRODUCT((Source_Evolution!$A$3:$A$731=$A284)*(Source_Evolution!$E$3:$E$731&gt;0))</f>
        <v/>
      </c>
      <c r="V284" s="18">
        <f>SUMPRODUCT((Source_Evolution!$A$3:$A$731=$A284)*(Source_Evolution!$F$3:$F$731&gt;0))</f>
        <v/>
      </c>
      <c r="W284" s="18">
        <f>SUMPRODUCT((Source_Evolution!$A$3:$A$731=$A284)*(Source_Evolution!$G$3:$G$731&gt;0))</f>
        <v/>
      </c>
      <c r="X284" s="18">
        <f>SUMPRODUCT((Source_Evolution!$A$3:$A$731=$A284)*(Source_Evolution!$H$3:$H$731&gt;0))</f>
        <v/>
      </c>
      <c r="Y284" s="18">
        <f>SUMPRODUCT((Source_Evolution!$A$3:$A$731=$A284)*(Source_Evolution!$I$3:$I$731&gt;0))</f>
        <v/>
      </c>
      <c r="Z284" s="18">
        <f>SUMPRODUCT((Source_Evolution!$A$3:$A$731=$A284)*(Source_Evolution!$J$3:$J$731&gt;0))</f>
        <v/>
      </c>
      <c r="AA284" s="18">
        <f>SUMPRODUCT((Source_Evolution!$A$3:$A$731=$A284)*(Source_Evolution!$K$3:$K$731&gt;0))</f>
        <v/>
      </c>
      <c r="AB284" s="18">
        <f>SUMPRODUCT((Source_Evolution!$A$3:$A$731=$A284)*(Source_Evolution!$L$3:$L$731&gt;0))</f>
        <v/>
      </c>
      <c r="AC284" s="18">
        <f>SUMPRODUCT((Source_Evolution!$A$3:$A$731=$A284)*(Source_Evolution!$M$3:$M$731&gt;0))</f>
        <v/>
      </c>
      <c r="AD284" s="18">
        <f>SUMPRODUCT((Source_Evolution!$A$3:$A$731=$A284)*(Source_Evolution!$N$3:$N$731&gt;0))</f>
        <v/>
      </c>
      <c r="AE284" s="18">
        <f>SUMPRODUCT((Source_Evolution!$A$3:$A$731=$A284)*(Source_Evolution!$O$3:$O$731&gt;0))</f>
        <v/>
      </c>
      <c r="AF284" s="18">
        <f>SUMPRODUCT((Source_Evolution!$A$3:$A$731=$A284)*(Source_Evolution!$P$3:$P$731&gt;0))</f>
        <v/>
      </c>
      <c r="AG284" s="18">
        <f>SUMPRODUCT((Source_Evolution!$A$3:$A$731=$A284)*(Source_Evolution!$Q$3:$Q$731&gt;0))</f>
        <v/>
      </c>
    </row>
    <row r="285">
      <c r="A285" t="inlineStr">
        <is>
          <t>Company 357</t>
        </is>
      </c>
      <c r="B285" t="inlineStr">
        <is>
          <t>Operations</t>
        </is>
      </c>
      <c r="C285" t="inlineStr">
        <is>
          <t>Netherlands</t>
        </is>
      </c>
      <c r="D285" t="n">
        <v>2014</v>
      </c>
      <c r="E285" s="17">
        <f>SUMIFS(Source_Evolution!$E$3:$E$731,Source_Evolution!$A$3:$A$731,$A285)</f>
        <v/>
      </c>
      <c r="F285" s="17">
        <f>SUMIFS(Source_Evolution!$F$3:$F$731,Source_Evolution!$A$3:$A$731,$A285)</f>
        <v/>
      </c>
      <c r="G285" s="17">
        <f>SUMIFS(Source_Evolution!$G$3:$G$731,Source_Evolution!$A$3:$A$731,$A285)</f>
        <v/>
      </c>
      <c r="H285" s="17">
        <f>SUMIFS(Source_Evolution!$H$3:$H$731,Source_Evolution!$A$3:$A$731,$A285)</f>
        <v/>
      </c>
      <c r="I285" s="17">
        <f>SUMIFS(Source_Evolution!$I$3:$I$731,Source_Evolution!$A$3:$A$731,$A285)</f>
        <v/>
      </c>
      <c r="J285" s="17">
        <f>SUMIFS(Source_Evolution!$J$3:$J$731,Source_Evolution!$A$3:$A$731,$A285)</f>
        <v/>
      </c>
      <c r="K285" s="17">
        <f>SUMIFS(Source_Evolution!$K$3:$K$731,Source_Evolution!$A$3:$A$731,$A285)</f>
        <v/>
      </c>
      <c r="L285" s="17">
        <f>SUMIFS(Source_Evolution!$L$3:$L$731,Source_Evolution!$A$3:$A$731,$A285)</f>
        <v/>
      </c>
      <c r="M285" s="17">
        <f>SUMIFS(Source_Evolution!$M$3:$M$731,Source_Evolution!$A$3:$A$731,$A285)</f>
        <v/>
      </c>
      <c r="N285" s="17">
        <f>SUMIFS(Source_Evolution!$N$3:$N$731,Source_Evolution!$A$3:$A$731,$A285)</f>
        <v/>
      </c>
      <c r="O285" s="17">
        <f>SUMIFS(Source_Evolution!$O$3:$O$731,Source_Evolution!$A$3:$A$731,$A285)</f>
        <v/>
      </c>
      <c r="P285" s="17">
        <f>SUMIFS(Source_Evolution!$P$3:$P$731,Source_Evolution!$A$3:$A$731,$A285)</f>
        <v/>
      </c>
      <c r="Q285" s="17">
        <f>SUMIFS(Source_Evolution!$Q$3:$Q$731,Source_Evolution!$A$3:$A$731,$A285)</f>
        <v/>
      </c>
      <c r="R285" s="17">
        <f>SUM(E285:Q285)</f>
        <v/>
      </c>
      <c r="S285" s="17">
        <f>Q285</f>
        <v/>
      </c>
      <c r="T285">
        <f>IF(B285="Software",1,0)</f>
        <v/>
      </c>
      <c r="U285" s="18">
        <f>SUMPRODUCT((Source_Evolution!$A$3:$A$731=$A285)*(Source_Evolution!$E$3:$E$731&gt;0))</f>
        <v/>
      </c>
      <c r="V285" s="18">
        <f>SUMPRODUCT((Source_Evolution!$A$3:$A$731=$A285)*(Source_Evolution!$F$3:$F$731&gt;0))</f>
        <v/>
      </c>
      <c r="W285" s="18">
        <f>SUMPRODUCT((Source_Evolution!$A$3:$A$731=$A285)*(Source_Evolution!$G$3:$G$731&gt;0))</f>
        <v/>
      </c>
      <c r="X285" s="18">
        <f>SUMPRODUCT((Source_Evolution!$A$3:$A$731=$A285)*(Source_Evolution!$H$3:$H$731&gt;0))</f>
        <v/>
      </c>
      <c r="Y285" s="18">
        <f>SUMPRODUCT((Source_Evolution!$A$3:$A$731=$A285)*(Source_Evolution!$I$3:$I$731&gt;0))</f>
        <v/>
      </c>
      <c r="Z285" s="18">
        <f>SUMPRODUCT((Source_Evolution!$A$3:$A$731=$A285)*(Source_Evolution!$J$3:$J$731&gt;0))</f>
        <v/>
      </c>
      <c r="AA285" s="18">
        <f>SUMPRODUCT((Source_Evolution!$A$3:$A$731=$A285)*(Source_Evolution!$K$3:$K$731&gt;0))</f>
        <v/>
      </c>
      <c r="AB285" s="18">
        <f>SUMPRODUCT((Source_Evolution!$A$3:$A$731=$A285)*(Source_Evolution!$L$3:$L$731&gt;0))</f>
        <v/>
      </c>
      <c r="AC285" s="18">
        <f>SUMPRODUCT((Source_Evolution!$A$3:$A$731=$A285)*(Source_Evolution!$M$3:$M$731&gt;0))</f>
        <v/>
      </c>
      <c r="AD285" s="18">
        <f>SUMPRODUCT((Source_Evolution!$A$3:$A$731=$A285)*(Source_Evolution!$N$3:$N$731&gt;0))</f>
        <v/>
      </c>
      <c r="AE285" s="18">
        <f>SUMPRODUCT((Source_Evolution!$A$3:$A$731=$A285)*(Source_Evolution!$O$3:$O$731&gt;0))</f>
        <v/>
      </c>
      <c r="AF285" s="18">
        <f>SUMPRODUCT((Source_Evolution!$A$3:$A$731=$A285)*(Source_Evolution!$P$3:$P$731&gt;0))</f>
        <v/>
      </c>
      <c r="AG285" s="18">
        <f>SUMPRODUCT((Source_Evolution!$A$3:$A$731=$A285)*(Source_Evolution!$Q$3:$Q$731&gt;0))</f>
        <v/>
      </c>
    </row>
    <row r="286">
      <c r="A286" t="inlineStr">
        <is>
          <t>Company 358</t>
        </is>
      </c>
      <c r="B286" t="inlineStr">
        <is>
          <t>Operations</t>
        </is>
      </c>
      <c r="C286" t="inlineStr">
        <is>
          <t>UK</t>
        </is>
      </c>
      <c r="D286" t="n">
        <v>2014</v>
      </c>
      <c r="E286" s="17">
        <f>SUMIFS(Source_Evolution!$E$3:$E$731,Source_Evolution!$A$3:$A$731,$A286)</f>
        <v/>
      </c>
      <c r="F286" s="17">
        <f>SUMIFS(Source_Evolution!$F$3:$F$731,Source_Evolution!$A$3:$A$731,$A286)</f>
        <v/>
      </c>
      <c r="G286" s="17">
        <f>SUMIFS(Source_Evolution!$G$3:$G$731,Source_Evolution!$A$3:$A$731,$A286)</f>
        <v/>
      </c>
      <c r="H286" s="17">
        <f>SUMIFS(Source_Evolution!$H$3:$H$731,Source_Evolution!$A$3:$A$731,$A286)</f>
        <v/>
      </c>
      <c r="I286" s="17">
        <f>SUMIFS(Source_Evolution!$I$3:$I$731,Source_Evolution!$A$3:$A$731,$A286)</f>
        <v/>
      </c>
      <c r="J286" s="17">
        <f>SUMIFS(Source_Evolution!$J$3:$J$731,Source_Evolution!$A$3:$A$731,$A286)</f>
        <v/>
      </c>
      <c r="K286" s="17">
        <f>SUMIFS(Source_Evolution!$K$3:$K$731,Source_Evolution!$A$3:$A$731,$A286)</f>
        <v/>
      </c>
      <c r="L286" s="17">
        <f>SUMIFS(Source_Evolution!$L$3:$L$731,Source_Evolution!$A$3:$A$731,$A286)</f>
        <v/>
      </c>
      <c r="M286" s="17">
        <f>SUMIFS(Source_Evolution!$M$3:$M$731,Source_Evolution!$A$3:$A$731,$A286)</f>
        <v/>
      </c>
      <c r="N286" s="17">
        <f>SUMIFS(Source_Evolution!$N$3:$N$731,Source_Evolution!$A$3:$A$731,$A286)</f>
        <v/>
      </c>
      <c r="O286" s="17">
        <f>SUMIFS(Source_Evolution!$O$3:$O$731,Source_Evolution!$A$3:$A$731,$A286)</f>
        <v/>
      </c>
      <c r="P286" s="17">
        <f>SUMIFS(Source_Evolution!$P$3:$P$731,Source_Evolution!$A$3:$A$731,$A286)</f>
        <v/>
      </c>
      <c r="Q286" s="17">
        <f>SUMIFS(Source_Evolution!$Q$3:$Q$731,Source_Evolution!$A$3:$A$731,$A286)</f>
        <v/>
      </c>
      <c r="R286" s="17">
        <f>SUM(E286:Q286)</f>
        <v/>
      </c>
      <c r="S286" s="17">
        <f>Q286</f>
        <v/>
      </c>
      <c r="T286">
        <f>IF(B286="Software",1,0)</f>
        <v/>
      </c>
      <c r="U286" s="18">
        <f>SUMPRODUCT((Source_Evolution!$A$3:$A$731=$A286)*(Source_Evolution!$E$3:$E$731&gt;0))</f>
        <v/>
      </c>
      <c r="V286" s="18">
        <f>SUMPRODUCT((Source_Evolution!$A$3:$A$731=$A286)*(Source_Evolution!$F$3:$F$731&gt;0))</f>
        <v/>
      </c>
      <c r="W286" s="18">
        <f>SUMPRODUCT((Source_Evolution!$A$3:$A$731=$A286)*(Source_Evolution!$G$3:$G$731&gt;0))</f>
        <v/>
      </c>
      <c r="X286" s="18">
        <f>SUMPRODUCT((Source_Evolution!$A$3:$A$731=$A286)*(Source_Evolution!$H$3:$H$731&gt;0))</f>
        <v/>
      </c>
      <c r="Y286" s="18">
        <f>SUMPRODUCT((Source_Evolution!$A$3:$A$731=$A286)*(Source_Evolution!$I$3:$I$731&gt;0))</f>
        <v/>
      </c>
      <c r="Z286" s="18">
        <f>SUMPRODUCT((Source_Evolution!$A$3:$A$731=$A286)*(Source_Evolution!$J$3:$J$731&gt;0))</f>
        <v/>
      </c>
      <c r="AA286" s="18">
        <f>SUMPRODUCT((Source_Evolution!$A$3:$A$731=$A286)*(Source_Evolution!$K$3:$K$731&gt;0))</f>
        <v/>
      </c>
      <c r="AB286" s="18">
        <f>SUMPRODUCT((Source_Evolution!$A$3:$A$731=$A286)*(Source_Evolution!$L$3:$L$731&gt;0))</f>
        <v/>
      </c>
      <c r="AC286" s="18">
        <f>SUMPRODUCT((Source_Evolution!$A$3:$A$731=$A286)*(Source_Evolution!$M$3:$M$731&gt;0))</f>
        <v/>
      </c>
      <c r="AD286" s="18">
        <f>SUMPRODUCT((Source_Evolution!$A$3:$A$731=$A286)*(Source_Evolution!$N$3:$N$731&gt;0))</f>
        <v/>
      </c>
      <c r="AE286" s="18">
        <f>SUMPRODUCT((Source_Evolution!$A$3:$A$731=$A286)*(Source_Evolution!$O$3:$O$731&gt;0))</f>
        <v/>
      </c>
      <c r="AF286" s="18">
        <f>SUMPRODUCT((Source_Evolution!$A$3:$A$731=$A286)*(Source_Evolution!$P$3:$P$731&gt;0))</f>
        <v/>
      </c>
      <c r="AG286" s="18">
        <f>SUMPRODUCT((Source_Evolution!$A$3:$A$731=$A286)*(Source_Evolution!$Q$3:$Q$731&gt;0))</f>
        <v/>
      </c>
    </row>
    <row r="287">
      <c r="A287" t="inlineStr">
        <is>
          <t>Company 359</t>
        </is>
      </c>
      <c r="B287" t="inlineStr">
        <is>
          <t>Operations</t>
        </is>
      </c>
      <c r="C287" t="inlineStr">
        <is>
          <t>Switzerland</t>
        </is>
      </c>
      <c r="D287" t="n">
        <v>2026</v>
      </c>
      <c r="E287" s="17">
        <f>SUMIFS(Source_Evolution!$E$3:$E$731,Source_Evolution!$A$3:$A$731,$A287)</f>
        <v/>
      </c>
      <c r="F287" s="17">
        <f>SUMIFS(Source_Evolution!$F$3:$F$731,Source_Evolution!$A$3:$A$731,$A287)</f>
        <v/>
      </c>
      <c r="G287" s="17">
        <f>SUMIFS(Source_Evolution!$G$3:$G$731,Source_Evolution!$A$3:$A$731,$A287)</f>
        <v/>
      </c>
      <c r="H287" s="17">
        <f>SUMIFS(Source_Evolution!$H$3:$H$731,Source_Evolution!$A$3:$A$731,$A287)</f>
        <v/>
      </c>
      <c r="I287" s="17">
        <f>SUMIFS(Source_Evolution!$I$3:$I$731,Source_Evolution!$A$3:$A$731,$A287)</f>
        <v/>
      </c>
      <c r="J287" s="17">
        <f>SUMIFS(Source_Evolution!$J$3:$J$731,Source_Evolution!$A$3:$A$731,$A287)</f>
        <v/>
      </c>
      <c r="K287" s="17">
        <f>SUMIFS(Source_Evolution!$K$3:$K$731,Source_Evolution!$A$3:$A$731,$A287)</f>
        <v/>
      </c>
      <c r="L287" s="17">
        <f>SUMIFS(Source_Evolution!$L$3:$L$731,Source_Evolution!$A$3:$A$731,$A287)</f>
        <v/>
      </c>
      <c r="M287" s="17">
        <f>SUMIFS(Source_Evolution!$M$3:$M$731,Source_Evolution!$A$3:$A$731,$A287)</f>
        <v/>
      </c>
      <c r="N287" s="17">
        <f>SUMIFS(Source_Evolution!$N$3:$N$731,Source_Evolution!$A$3:$A$731,$A287)</f>
        <v/>
      </c>
      <c r="O287" s="17">
        <f>SUMIFS(Source_Evolution!$O$3:$O$731,Source_Evolution!$A$3:$A$731,$A287)</f>
        <v/>
      </c>
      <c r="P287" s="17">
        <f>SUMIFS(Source_Evolution!$P$3:$P$731,Source_Evolution!$A$3:$A$731,$A287)</f>
        <v/>
      </c>
      <c r="Q287" s="17">
        <f>SUMIFS(Source_Evolution!$Q$3:$Q$731,Source_Evolution!$A$3:$A$731,$A287)</f>
        <v/>
      </c>
      <c r="R287" s="17">
        <f>SUM(E287:Q287)</f>
        <v/>
      </c>
      <c r="S287" s="17">
        <f>Q287</f>
        <v/>
      </c>
      <c r="T287">
        <f>IF(B287="Software",1,0)</f>
        <v/>
      </c>
      <c r="U287" s="18">
        <f>SUMPRODUCT((Source_Evolution!$A$3:$A$731=$A287)*(Source_Evolution!$E$3:$E$731&gt;0))</f>
        <v/>
      </c>
      <c r="V287" s="18">
        <f>SUMPRODUCT((Source_Evolution!$A$3:$A$731=$A287)*(Source_Evolution!$F$3:$F$731&gt;0))</f>
        <v/>
      </c>
      <c r="W287" s="18">
        <f>SUMPRODUCT((Source_Evolution!$A$3:$A$731=$A287)*(Source_Evolution!$G$3:$G$731&gt;0))</f>
        <v/>
      </c>
      <c r="X287" s="18">
        <f>SUMPRODUCT((Source_Evolution!$A$3:$A$731=$A287)*(Source_Evolution!$H$3:$H$731&gt;0))</f>
        <v/>
      </c>
      <c r="Y287" s="18">
        <f>SUMPRODUCT((Source_Evolution!$A$3:$A$731=$A287)*(Source_Evolution!$I$3:$I$731&gt;0))</f>
        <v/>
      </c>
      <c r="Z287" s="18">
        <f>SUMPRODUCT((Source_Evolution!$A$3:$A$731=$A287)*(Source_Evolution!$J$3:$J$731&gt;0))</f>
        <v/>
      </c>
      <c r="AA287" s="18">
        <f>SUMPRODUCT((Source_Evolution!$A$3:$A$731=$A287)*(Source_Evolution!$K$3:$K$731&gt;0))</f>
        <v/>
      </c>
      <c r="AB287" s="18">
        <f>SUMPRODUCT((Source_Evolution!$A$3:$A$731=$A287)*(Source_Evolution!$L$3:$L$731&gt;0))</f>
        <v/>
      </c>
      <c r="AC287" s="18">
        <f>SUMPRODUCT((Source_Evolution!$A$3:$A$731=$A287)*(Source_Evolution!$M$3:$M$731&gt;0))</f>
        <v/>
      </c>
      <c r="AD287" s="18">
        <f>SUMPRODUCT((Source_Evolution!$A$3:$A$731=$A287)*(Source_Evolution!$N$3:$N$731&gt;0))</f>
        <v/>
      </c>
      <c r="AE287" s="18">
        <f>SUMPRODUCT((Source_Evolution!$A$3:$A$731=$A287)*(Source_Evolution!$O$3:$O$731&gt;0))</f>
        <v/>
      </c>
      <c r="AF287" s="18">
        <f>SUMPRODUCT((Source_Evolution!$A$3:$A$731=$A287)*(Source_Evolution!$P$3:$P$731&gt;0))</f>
        <v/>
      </c>
      <c r="AG287" s="18">
        <f>SUMPRODUCT((Source_Evolution!$A$3:$A$731=$A287)*(Source_Evolution!$Q$3:$Q$731&gt;0))</f>
        <v/>
      </c>
    </row>
    <row r="288">
      <c r="A288" t="inlineStr">
        <is>
          <t>Company 36</t>
        </is>
      </c>
      <c r="B288" t="inlineStr">
        <is>
          <t>Operations</t>
        </is>
      </c>
      <c r="C288" t="inlineStr">
        <is>
          <t>UK</t>
        </is>
      </c>
      <c r="D288" t="n">
        <v>2016</v>
      </c>
      <c r="E288" s="17">
        <f>SUMIFS(Source_Evolution!$E$3:$E$731,Source_Evolution!$A$3:$A$731,$A288)</f>
        <v/>
      </c>
      <c r="F288" s="17">
        <f>SUMIFS(Source_Evolution!$F$3:$F$731,Source_Evolution!$A$3:$A$731,$A288)</f>
        <v/>
      </c>
      <c r="G288" s="17">
        <f>SUMIFS(Source_Evolution!$G$3:$G$731,Source_Evolution!$A$3:$A$731,$A288)</f>
        <v/>
      </c>
      <c r="H288" s="17">
        <f>SUMIFS(Source_Evolution!$H$3:$H$731,Source_Evolution!$A$3:$A$731,$A288)</f>
        <v/>
      </c>
      <c r="I288" s="17">
        <f>SUMIFS(Source_Evolution!$I$3:$I$731,Source_Evolution!$A$3:$A$731,$A288)</f>
        <v/>
      </c>
      <c r="J288" s="17">
        <f>SUMIFS(Source_Evolution!$J$3:$J$731,Source_Evolution!$A$3:$A$731,$A288)</f>
        <v/>
      </c>
      <c r="K288" s="17">
        <f>SUMIFS(Source_Evolution!$K$3:$K$731,Source_Evolution!$A$3:$A$731,$A288)</f>
        <v/>
      </c>
      <c r="L288" s="17">
        <f>SUMIFS(Source_Evolution!$L$3:$L$731,Source_Evolution!$A$3:$A$731,$A288)</f>
        <v/>
      </c>
      <c r="M288" s="17">
        <f>SUMIFS(Source_Evolution!$M$3:$M$731,Source_Evolution!$A$3:$A$731,$A288)</f>
        <v/>
      </c>
      <c r="N288" s="17">
        <f>SUMIFS(Source_Evolution!$N$3:$N$731,Source_Evolution!$A$3:$A$731,$A288)</f>
        <v/>
      </c>
      <c r="O288" s="17">
        <f>SUMIFS(Source_Evolution!$O$3:$O$731,Source_Evolution!$A$3:$A$731,$A288)</f>
        <v/>
      </c>
      <c r="P288" s="17">
        <f>SUMIFS(Source_Evolution!$P$3:$P$731,Source_Evolution!$A$3:$A$731,$A288)</f>
        <v/>
      </c>
      <c r="Q288" s="17">
        <f>SUMIFS(Source_Evolution!$Q$3:$Q$731,Source_Evolution!$A$3:$A$731,$A288)</f>
        <v/>
      </c>
      <c r="R288" s="17">
        <f>SUM(E288:Q288)</f>
        <v/>
      </c>
      <c r="S288" s="17">
        <f>Q288</f>
        <v/>
      </c>
      <c r="T288">
        <f>IF(B288="Software",1,0)</f>
        <v/>
      </c>
      <c r="U288" s="18">
        <f>SUMPRODUCT((Source_Evolution!$A$3:$A$731=$A288)*(Source_Evolution!$E$3:$E$731&gt;0))</f>
        <v/>
      </c>
      <c r="V288" s="18">
        <f>SUMPRODUCT((Source_Evolution!$A$3:$A$731=$A288)*(Source_Evolution!$F$3:$F$731&gt;0))</f>
        <v/>
      </c>
      <c r="W288" s="18">
        <f>SUMPRODUCT((Source_Evolution!$A$3:$A$731=$A288)*(Source_Evolution!$G$3:$G$731&gt;0))</f>
        <v/>
      </c>
      <c r="X288" s="18">
        <f>SUMPRODUCT((Source_Evolution!$A$3:$A$731=$A288)*(Source_Evolution!$H$3:$H$731&gt;0))</f>
        <v/>
      </c>
      <c r="Y288" s="18">
        <f>SUMPRODUCT((Source_Evolution!$A$3:$A$731=$A288)*(Source_Evolution!$I$3:$I$731&gt;0))</f>
        <v/>
      </c>
      <c r="Z288" s="18">
        <f>SUMPRODUCT((Source_Evolution!$A$3:$A$731=$A288)*(Source_Evolution!$J$3:$J$731&gt;0))</f>
        <v/>
      </c>
      <c r="AA288" s="18">
        <f>SUMPRODUCT((Source_Evolution!$A$3:$A$731=$A288)*(Source_Evolution!$K$3:$K$731&gt;0))</f>
        <v/>
      </c>
      <c r="AB288" s="18">
        <f>SUMPRODUCT((Source_Evolution!$A$3:$A$731=$A288)*(Source_Evolution!$L$3:$L$731&gt;0))</f>
        <v/>
      </c>
      <c r="AC288" s="18">
        <f>SUMPRODUCT((Source_Evolution!$A$3:$A$731=$A288)*(Source_Evolution!$M$3:$M$731&gt;0))</f>
        <v/>
      </c>
      <c r="AD288" s="18">
        <f>SUMPRODUCT((Source_Evolution!$A$3:$A$731=$A288)*(Source_Evolution!$N$3:$N$731&gt;0))</f>
        <v/>
      </c>
      <c r="AE288" s="18">
        <f>SUMPRODUCT((Source_Evolution!$A$3:$A$731=$A288)*(Source_Evolution!$O$3:$O$731&gt;0))</f>
        <v/>
      </c>
      <c r="AF288" s="18">
        <f>SUMPRODUCT((Source_Evolution!$A$3:$A$731=$A288)*(Source_Evolution!$P$3:$P$731&gt;0))</f>
        <v/>
      </c>
      <c r="AG288" s="18">
        <f>SUMPRODUCT((Source_Evolution!$A$3:$A$731=$A288)*(Source_Evolution!$Q$3:$Q$731&gt;0))</f>
        <v/>
      </c>
    </row>
    <row r="289">
      <c r="A289" t="inlineStr">
        <is>
          <t>Company 360</t>
        </is>
      </c>
      <c r="B289" t="inlineStr">
        <is>
          <t>Software</t>
        </is>
      </c>
      <c r="C289" t="inlineStr">
        <is>
          <t>Germany</t>
        </is>
      </c>
      <c r="D289" t="n">
        <v>2024</v>
      </c>
      <c r="E289" s="17">
        <f>SUMIFS(Source_Evolution!$E$3:$E$731,Source_Evolution!$A$3:$A$731,$A289)</f>
        <v/>
      </c>
      <c r="F289" s="17">
        <f>SUMIFS(Source_Evolution!$F$3:$F$731,Source_Evolution!$A$3:$A$731,$A289)</f>
        <v/>
      </c>
      <c r="G289" s="17">
        <f>SUMIFS(Source_Evolution!$G$3:$G$731,Source_Evolution!$A$3:$A$731,$A289)</f>
        <v/>
      </c>
      <c r="H289" s="17">
        <f>SUMIFS(Source_Evolution!$H$3:$H$731,Source_Evolution!$A$3:$A$731,$A289)</f>
        <v/>
      </c>
      <c r="I289" s="17">
        <f>SUMIFS(Source_Evolution!$I$3:$I$731,Source_Evolution!$A$3:$A$731,$A289)</f>
        <v/>
      </c>
      <c r="J289" s="17">
        <f>SUMIFS(Source_Evolution!$J$3:$J$731,Source_Evolution!$A$3:$A$731,$A289)</f>
        <v/>
      </c>
      <c r="K289" s="17">
        <f>SUMIFS(Source_Evolution!$K$3:$K$731,Source_Evolution!$A$3:$A$731,$A289)</f>
        <v/>
      </c>
      <c r="L289" s="17">
        <f>SUMIFS(Source_Evolution!$L$3:$L$731,Source_Evolution!$A$3:$A$731,$A289)</f>
        <v/>
      </c>
      <c r="M289" s="17">
        <f>SUMIFS(Source_Evolution!$M$3:$M$731,Source_Evolution!$A$3:$A$731,$A289)</f>
        <v/>
      </c>
      <c r="N289" s="17">
        <f>SUMIFS(Source_Evolution!$N$3:$N$731,Source_Evolution!$A$3:$A$731,$A289)</f>
        <v/>
      </c>
      <c r="O289" s="17">
        <f>SUMIFS(Source_Evolution!$O$3:$O$731,Source_Evolution!$A$3:$A$731,$A289)</f>
        <v/>
      </c>
      <c r="P289" s="17">
        <f>SUMIFS(Source_Evolution!$P$3:$P$731,Source_Evolution!$A$3:$A$731,$A289)</f>
        <v/>
      </c>
      <c r="Q289" s="17">
        <f>SUMIFS(Source_Evolution!$Q$3:$Q$731,Source_Evolution!$A$3:$A$731,$A289)</f>
        <v/>
      </c>
      <c r="R289" s="17">
        <f>SUM(E289:Q289)</f>
        <v/>
      </c>
      <c r="S289" s="17">
        <f>Q289</f>
        <v/>
      </c>
      <c r="T289">
        <f>IF(B289="Software",1,0)</f>
        <v/>
      </c>
      <c r="U289" s="18">
        <f>SUMPRODUCT((Source_Evolution!$A$3:$A$731=$A289)*(Source_Evolution!$E$3:$E$731&gt;0))</f>
        <v/>
      </c>
      <c r="V289" s="18">
        <f>SUMPRODUCT((Source_Evolution!$A$3:$A$731=$A289)*(Source_Evolution!$F$3:$F$731&gt;0))</f>
        <v/>
      </c>
      <c r="W289" s="18">
        <f>SUMPRODUCT((Source_Evolution!$A$3:$A$731=$A289)*(Source_Evolution!$G$3:$G$731&gt;0))</f>
        <v/>
      </c>
      <c r="X289" s="18">
        <f>SUMPRODUCT((Source_Evolution!$A$3:$A$731=$A289)*(Source_Evolution!$H$3:$H$731&gt;0))</f>
        <v/>
      </c>
      <c r="Y289" s="18">
        <f>SUMPRODUCT((Source_Evolution!$A$3:$A$731=$A289)*(Source_Evolution!$I$3:$I$731&gt;0))</f>
        <v/>
      </c>
      <c r="Z289" s="18">
        <f>SUMPRODUCT((Source_Evolution!$A$3:$A$731=$A289)*(Source_Evolution!$J$3:$J$731&gt;0))</f>
        <v/>
      </c>
      <c r="AA289" s="18">
        <f>SUMPRODUCT((Source_Evolution!$A$3:$A$731=$A289)*(Source_Evolution!$K$3:$K$731&gt;0))</f>
        <v/>
      </c>
      <c r="AB289" s="18">
        <f>SUMPRODUCT((Source_Evolution!$A$3:$A$731=$A289)*(Source_Evolution!$L$3:$L$731&gt;0))</f>
        <v/>
      </c>
      <c r="AC289" s="18">
        <f>SUMPRODUCT((Source_Evolution!$A$3:$A$731=$A289)*(Source_Evolution!$M$3:$M$731&gt;0))</f>
        <v/>
      </c>
      <c r="AD289" s="18">
        <f>SUMPRODUCT((Source_Evolution!$A$3:$A$731=$A289)*(Source_Evolution!$N$3:$N$731&gt;0))</f>
        <v/>
      </c>
      <c r="AE289" s="18">
        <f>SUMPRODUCT((Source_Evolution!$A$3:$A$731=$A289)*(Source_Evolution!$O$3:$O$731&gt;0))</f>
        <v/>
      </c>
      <c r="AF289" s="18">
        <f>SUMPRODUCT((Source_Evolution!$A$3:$A$731=$A289)*(Source_Evolution!$P$3:$P$731&gt;0))</f>
        <v/>
      </c>
      <c r="AG289" s="18">
        <f>SUMPRODUCT((Source_Evolution!$A$3:$A$731=$A289)*(Source_Evolution!$Q$3:$Q$731&gt;0))</f>
        <v/>
      </c>
    </row>
    <row r="290">
      <c r="A290" t="inlineStr">
        <is>
          <t>Company 361</t>
        </is>
      </c>
      <c r="B290" t="inlineStr">
        <is>
          <t>Software</t>
        </is>
      </c>
      <c r="C290" t="inlineStr">
        <is>
          <t>Netherlands</t>
        </is>
      </c>
      <c r="D290" t="n">
        <v>2014</v>
      </c>
      <c r="E290" s="17">
        <f>SUMIFS(Source_Evolution!$E$3:$E$731,Source_Evolution!$A$3:$A$731,$A290)</f>
        <v/>
      </c>
      <c r="F290" s="17">
        <f>SUMIFS(Source_Evolution!$F$3:$F$731,Source_Evolution!$A$3:$A$731,$A290)</f>
        <v/>
      </c>
      <c r="G290" s="17">
        <f>SUMIFS(Source_Evolution!$G$3:$G$731,Source_Evolution!$A$3:$A$731,$A290)</f>
        <v/>
      </c>
      <c r="H290" s="17">
        <f>SUMIFS(Source_Evolution!$H$3:$H$731,Source_Evolution!$A$3:$A$731,$A290)</f>
        <v/>
      </c>
      <c r="I290" s="17">
        <f>SUMIFS(Source_Evolution!$I$3:$I$731,Source_Evolution!$A$3:$A$731,$A290)</f>
        <v/>
      </c>
      <c r="J290" s="17">
        <f>SUMIFS(Source_Evolution!$J$3:$J$731,Source_Evolution!$A$3:$A$731,$A290)</f>
        <v/>
      </c>
      <c r="K290" s="17">
        <f>SUMIFS(Source_Evolution!$K$3:$K$731,Source_Evolution!$A$3:$A$731,$A290)</f>
        <v/>
      </c>
      <c r="L290" s="17">
        <f>SUMIFS(Source_Evolution!$L$3:$L$731,Source_Evolution!$A$3:$A$731,$A290)</f>
        <v/>
      </c>
      <c r="M290" s="17">
        <f>SUMIFS(Source_Evolution!$M$3:$M$731,Source_Evolution!$A$3:$A$731,$A290)</f>
        <v/>
      </c>
      <c r="N290" s="17">
        <f>SUMIFS(Source_Evolution!$N$3:$N$731,Source_Evolution!$A$3:$A$731,$A290)</f>
        <v/>
      </c>
      <c r="O290" s="17">
        <f>SUMIFS(Source_Evolution!$O$3:$O$731,Source_Evolution!$A$3:$A$731,$A290)</f>
        <v/>
      </c>
      <c r="P290" s="17">
        <f>SUMIFS(Source_Evolution!$P$3:$P$731,Source_Evolution!$A$3:$A$731,$A290)</f>
        <v/>
      </c>
      <c r="Q290" s="17">
        <f>SUMIFS(Source_Evolution!$Q$3:$Q$731,Source_Evolution!$A$3:$A$731,$A290)</f>
        <v/>
      </c>
      <c r="R290" s="17">
        <f>SUM(E290:Q290)</f>
        <v/>
      </c>
      <c r="S290" s="17">
        <f>Q290</f>
        <v/>
      </c>
      <c r="T290">
        <f>IF(B290="Software",1,0)</f>
        <v/>
      </c>
      <c r="U290" s="18">
        <f>SUMPRODUCT((Source_Evolution!$A$3:$A$731=$A290)*(Source_Evolution!$E$3:$E$731&gt;0))</f>
        <v/>
      </c>
      <c r="V290" s="18">
        <f>SUMPRODUCT((Source_Evolution!$A$3:$A$731=$A290)*(Source_Evolution!$F$3:$F$731&gt;0))</f>
        <v/>
      </c>
      <c r="W290" s="18">
        <f>SUMPRODUCT((Source_Evolution!$A$3:$A$731=$A290)*(Source_Evolution!$G$3:$G$731&gt;0))</f>
        <v/>
      </c>
      <c r="X290" s="18">
        <f>SUMPRODUCT((Source_Evolution!$A$3:$A$731=$A290)*(Source_Evolution!$H$3:$H$731&gt;0))</f>
        <v/>
      </c>
      <c r="Y290" s="18">
        <f>SUMPRODUCT((Source_Evolution!$A$3:$A$731=$A290)*(Source_Evolution!$I$3:$I$731&gt;0))</f>
        <v/>
      </c>
      <c r="Z290" s="18">
        <f>SUMPRODUCT((Source_Evolution!$A$3:$A$731=$A290)*(Source_Evolution!$J$3:$J$731&gt;0))</f>
        <v/>
      </c>
      <c r="AA290" s="18">
        <f>SUMPRODUCT((Source_Evolution!$A$3:$A$731=$A290)*(Source_Evolution!$K$3:$K$731&gt;0))</f>
        <v/>
      </c>
      <c r="AB290" s="18">
        <f>SUMPRODUCT((Source_Evolution!$A$3:$A$731=$A290)*(Source_Evolution!$L$3:$L$731&gt;0))</f>
        <v/>
      </c>
      <c r="AC290" s="18">
        <f>SUMPRODUCT((Source_Evolution!$A$3:$A$731=$A290)*(Source_Evolution!$M$3:$M$731&gt;0))</f>
        <v/>
      </c>
      <c r="AD290" s="18">
        <f>SUMPRODUCT((Source_Evolution!$A$3:$A$731=$A290)*(Source_Evolution!$N$3:$N$731&gt;0))</f>
        <v/>
      </c>
      <c r="AE290" s="18">
        <f>SUMPRODUCT((Source_Evolution!$A$3:$A$731=$A290)*(Source_Evolution!$O$3:$O$731&gt;0))</f>
        <v/>
      </c>
      <c r="AF290" s="18">
        <f>SUMPRODUCT((Source_Evolution!$A$3:$A$731=$A290)*(Source_Evolution!$P$3:$P$731&gt;0))</f>
        <v/>
      </c>
      <c r="AG290" s="18">
        <f>SUMPRODUCT((Source_Evolution!$A$3:$A$731=$A290)*(Source_Evolution!$Q$3:$Q$731&gt;0))</f>
        <v/>
      </c>
    </row>
    <row r="291">
      <c r="A291" t="inlineStr">
        <is>
          <t>Company 362</t>
        </is>
      </c>
      <c r="B291" t="inlineStr">
        <is>
          <t>Software</t>
        </is>
      </c>
      <c r="C291" t="inlineStr">
        <is>
          <t>Netherlands</t>
        </is>
      </c>
      <c r="D291" t="n">
        <v>2014</v>
      </c>
      <c r="E291" s="17">
        <f>SUMIFS(Source_Evolution!$E$3:$E$731,Source_Evolution!$A$3:$A$731,$A291)</f>
        <v/>
      </c>
      <c r="F291" s="17">
        <f>SUMIFS(Source_Evolution!$F$3:$F$731,Source_Evolution!$A$3:$A$731,$A291)</f>
        <v/>
      </c>
      <c r="G291" s="17">
        <f>SUMIFS(Source_Evolution!$G$3:$G$731,Source_Evolution!$A$3:$A$731,$A291)</f>
        <v/>
      </c>
      <c r="H291" s="17">
        <f>SUMIFS(Source_Evolution!$H$3:$H$731,Source_Evolution!$A$3:$A$731,$A291)</f>
        <v/>
      </c>
      <c r="I291" s="17">
        <f>SUMIFS(Source_Evolution!$I$3:$I$731,Source_Evolution!$A$3:$A$731,$A291)</f>
        <v/>
      </c>
      <c r="J291" s="17">
        <f>SUMIFS(Source_Evolution!$J$3:$J$731,Source_Evolution!$A$3:$A$731,$A291)</f>
        <v/>
      </c>
      <c r="K291" s="17">
        <f>SUMIFS(Source_Evolution!$K$3:$K$731,Source_Evolution!$A$3:$A$731,$A291)</f>
        <v/>
      </c>
      <c r="L291" s="17">
        <f>SUMIFS(Source_Evolution!$L$3:$L$731,Source_Evolution!$A$3:$A$731,$A291)</f>
        <v/>
      </c>
      <c r="M291" s="17">
        <f>SUMIFS(Source_Evolution!$M$3:$M$731,Source_Evolution!$A$3:$A$731,$A291)</f>
        <v/>
      </c>
      <c r="N291" s="17">
        <f>SUMIFS(Source_Evolution!$N$3:$N$731,Source_Evolution!$A$3:$A$731,$A291)</f>
        <v/>
      </c>
      <c r="O291" s="17">
        <f>SUMIFS(Source_Evolution!$O$3:$O$731,Source_Evolution!$A$3:$A$731,$A291)</f>
        <v/>
      </c>
      <c r="P291" s="17">
        <f>SUMIFS(Source_Evolution!$P$3:$P$731,Source_Evolution!$A$3:$A$731,$A291)</f>
        <v/>
      </c>
      <c r="Q291" s="17">
        <f>SUMIFS(Source_Evolution!$Q$3:$Q$731,Source_Evolution!$A$3:$A$731,$A291)</f>
        <v/>
      </c>
      <c r="R291" s="17">
        <f>SUM(E291:Q291)</f>
        <v/>
      </c>
      <c r="S291" s="17">
        <f>Q291</f>
        <v/>
      </c>
      <c r="T291">
        <f>IF(B291="Software",1,0)</f>
        <v/>
      </c>
      <c r="U291" s="18">
        <f>SUMPRODUCT((Source_Evolution!$A$3:$A$731=$A291)*(Source_Evolution!$E$3:$E$731&gt;0))</f>
        <v/>
      </c>
      <c r="V291" s="18">
        <f>SUMPRODUCT((Source_Evolution!$A$3:$A$731=$A291)*(Source_Evolution!$F$3:$F$731&gt;0))</f>
        <v/>
      </c>
      <c r="W291" s="18">
        <f>SUMPRODUCT((Source_Evolution!$A$3:$A$731=$A291)*(Source_Evolution!$G$3:$G$731&gt;0))</f>
        <v/>
      </c>
      <c r="X291" s="18">
        <f>SUMPRODUCT((Source_Evolution!$A$3:$A$731=$A291)*(Source_Evolution!$H$3:$H$731&gt;0))</f>
        <v/>
      </c>
      <c r="Y291" s="18">
        <f>SUMPRODUCT((Source_Evolution!$A$3:$A$731=$A291)*(Source_Evolution!$I$3:$I$731&gt;0))</f>
        <v/>
      </c>
      <c r="Z291" s="18">
        <f>SUMPRODUCT((Source_Evolution!$A$3:$A$731=$A291)*(Source_Evolution!$J$3:$J$731&gt;0))</f>
        <v/>
      </c>
      <c r="AA291" s="18">
        <f>SUMPRODUCT((Source_Evolution!$A$3:$A$731=$A291)*(Source_Evolution!$K$3:$K$731&gt;0))</f>
        <v/>
      </c>
      <c r="AB291" s="18">
        <f>SUMPRODUCT((Source_Evolution!$A$3:$A$731=$A291)*(Source_Evolution!$L$3:$L$731&gt;0))</f>
        <v/>
      </c>
      <c r="AC291" s="18">
        <f>SUMPRODUCT((Source_Evolution!$A$3:$A$731=$A291)*(Source_Evolution!$M$3:$M$731&gt;0))</f>
        <v/>
      </c>
      <c r="AD291" s="18">
        <f>SUMPRODUCT((Source_Evolution!$A$3:$A$731=$A291)*(Source_Evolution!$N$3:$N$731&gt;0))</f>
        <v/>
      </c>
      <c r="AE291" s="18">
        <f>SUMPRODUCT((Source_Evolution!$A$3:$A$731=$A291)*(Source_Evolution!$O$3:$O$731&gt;0))</f>
        <v/>
      </c>
      <c r="AF291" s="18">
        <f>SUMPRODUCT((Source_Evolution!$A$3:$A$731=$A291)*(Source_Evolution!$P$3:$P$731&gt;0))</f>
        <v/>
      </c>
      <c r="AG291" s="18">
        <f>SUMPRODUCT((Source_Evolution!$A$3:$A$731=$A291)*(Source_Evolution!$Q$3:$Q$731&gt;0))</f>
        <v/>
      </c>
    </row>
    <row r="292">
      <c r="A292" t="inlineStr">
        <is>
          <t>Company 363</t>
        </is>
      </c>
      <c r="B292" t="inlineStr">
        <is>
          <t>Software</t>
        </is>
      </c>
      <c r="C292" t="inlineStr">
        <is>
          <t>UK</t>
        </is>
      </c>
      <c r="D292" t="n">
        <v>2022</v>
      </c>
      <c r="E292" s="17">
        <f>SUMIFS(Source_Evolution!$E$3:$E$731,Source_Evolution!$A$3:$A$731,$A292)</f>
        <v/>
      </c>
      <c r="F292" s="17">
        <f>SUMIFS(Source_Evolution!$F$3:$F$731,Source_Evolution!$A$3:$A$731,$A292)</f>
        <v/>
      </c>
      <c r="G292" s="17">
        <f>SUMIFS(Source_Evolution!$G$3:$G$731,Source_Evolution!$A$3:$A$731,$A292)</f>
        <v/>
      </c>
      <c r="H292" s="17">
        <f>SUMIFS(Source_Evolution!$H$3:$H$731,Source_Evolution!$A$3:$A$731,$A292)</f>
        <v/>
      </c>
      <c r="I292" s="17">
        <f>SUMIFS(Source_Evolution!$I$3:$I$731,Source_Evolution!$A$3:$A$731,$A292)</f>
        <v/>
      </c>
      <c r="J292" s="17">
        <f>SUMIFS(Source_Evolution!$J$3:$J$731,Source_Evolution!$A$3:$A$731,$A292)</f>
        <v/>
      </c>
      <c r="K292" s="17">
        <f>SUMIFS(Source_Evolution!$K$3:$K$731,Source_Evolution!$A$3:$A$731,$A292)</f>
        <v/>
      </c>
      <c r="L292" s="17">
        <f>SUMIFS(Source_Evolution!$L$3:$L$731,Source_Evolution!$A$3:$A$731,$A292)</f>
        <v/>
      </c>
      <c r="M292" s="17">
        <f>SUMIFS(Source_Evolution!$M$3:$M$731,Source_Evolution!$A$3:$A$731,$A292)</f>
        <v/>
      </c>
      <c r="N292" s="17">
        <f>SUMIFS(Source_Evolution!$N$3:$N$731,Source_Evolution!$A$3:$A$731,$A292)</f>
        <v/>
      </c>
      <c r="O292" s="17">
        <f>SUMIFS(Source_Evolution!$O$3:$O$731,Source_Evolution!$A$3:$A$731,$A292)</f>
        <v/>
      </c>
      <c r="P292" s="17">
        <f>SUMIFS(Source_Evolution!$P$3:$P$731,Source_Evolution!$A$3:$A$731,$A292)</f>
        <v/>
      </c>
      <c r="Q292" s="17">
        <f>SUMIFS(Source_Evolution!$Q$3:$Q$731,Source_Evolution!$A$3:$A$731,$A292)</f>
        <v/>
      </c>
      <c r="R292" s="17">
        <f>SUM(E292:Q292)</f>
        <v/>
      </c>
      <c r="S292" s="17">
        <f>Q292</f>
        <v/>
      </c>
      <c r="T292">
        <f>IF(B292="Software",1,0)</f>
        <v/>
      </c>
      <c r="U292" s="18">
        <f>SUMPRODUCT((Source_Evolution!$A$3:$A$731=$A292)*(Source_Evolution!$E$3:$E$731&gt;0))</f>
        <v/>
      </c>
      <c r="V292" s="18">
        <f>SUMPRODUCT((Source_Evolution!$A$3:$A$731=$A292)*(Source_Evolution!$F$3:$F$731&gt;0))</f>
        <v/>
      </c>
      <c r="W292" s="18">
        <f>SUMPRODUCT((Source_Evolution!$A$3:$A$731=$A292)*(Source_Evolution!$G$3:$G$731&gt;0))</f>
        <v/>
      </c>
      <c r="X292" s="18">
        <f>SUMPRODUCT((Source_Evolution!$A$3:$A$731=$A292)*(Source_Evolution!$H$3:$H$731&gt;0))</f>
        <v/>
      </c>
      <c r="Y292" s="18">
        <f>SUMPRODUCT((Source_Evolution!$A$3:$A$731=$A292)*(Source_Evolution!$I$3:$I$731&gt;0))</f>
        <v/>
      </c>
      <c r="Z292" s="18">
        <f>SUMPRODUCT((Source_Evolution!$A$3:$A$731=$A292)*(Source_Evolution!$J$3:$J$731&gt;0))</f>
        <v/>
      </c>
      <c r="AA292" s="18">
        <f>SUMPRODUCT((Source_Evolution!$A$3:$A$731=$A292)*(Source_Evolution!$K$3:$K$731&gt;0))</f>
        <v/>
      </c>
      <c r="AB292" s="18">
        <f>SUMPRODUCT((Source_Evolution!$A$3:$A$731=$A292)*(Source_Evolution!$L$3:$L$731&gt;0))</f>
        <v/>
      </c>
      <c r="AC292" s="18">
        <f>SUMPRODUCT((Source_Evolution!$A$3:$A$731=$A292)*(Source_Evolution!$M$3:$M$731&gt;0))</f>
        <v/>
      </c>
      <c r="AD292" s="18">
        <f>SUMPRODUCT((Source_Evolution!$A$3:$A$731=$A292)*(Source_Evolution!$N$3:$N$731&gt;0))</f>
        <v/>
      </c>
      <c r="AE292" s="18">
        <f>SUMPRODUCT((Source_Evolution!$A$3:$A$731=$A292)*(Source_Evolution!$O$3:$O$731&gt;0))</f>
        <v/>
      </c>
      <c r="AF292" s="18">
        <f>SUMPRODUCT((Source_Evolution!$A$3:$A$731=$A292)*(Source_Evolution!$P$3:$P$731&gt;0))</f>
        <v/>
      </c>
      <c r="AG292" s="18">
        <f>SUMPRODUCT((Source_Evolution!$A$3:$A$731=$A292)*(Source_Evolution!$Q$3:$Q$731&gt;0))</f>
        <v/>
      </c>
    </row>
    <row r="293">
      <c r="A293" t="inlineStr">
        <is>
          <t>Company 364</t>
        </is>
      </c>
      <c r="B293" t="inlineStr">
        <is>
          <t>Operations</t>
        </is>
      </c>
      <c r="C293" t="inlineStr">
        <is>
          <t>UK</t>
        </is>
      </c>
      <c r="D293" t="n">
        <v>2025</v>
      </c>
      <c r="E293" s="17">
        <f>SUMIFS(Source_Evolution!$E$3:$E$731,Source_Evolution!$A$3:$A$731,$A293)</f>
        <v/>
      </c>
      <c r="F293" s="17">
        <f>SUMIFS(Source_Evolution!$F$3:$F$731,Source_Evolution!$A$3:$A$731,$A293)</f>
        <v/>
      </c>
      <c r="G293" s="17">
        <f>SUMIFS(Source_Evolution!$G$3:$G$731,Source_Evolution!$A$3:$A$731,$A293)</f>
        <v/>
      </c>
      <c r="H293" s="17">
        <f>SUMIFS(Source_Evolution!$H$3:$H$731,Source_Evolution!$A$3:$A$731,$A293)</f>
        <v/>
      </c>
      <c r="I293" s="17">
        <f>SUMIFS(Source_Evolution!$I$3:$I$731,Source_Evolution!$A$3:$A$731,$A293)</f>
        <v/>
      </c>
      <c r="J293" s="17">
        <f>SUMIFS(Source_Evolution!$J$3:$J$731,Source_Evolution!$A$3:$A$731,$A293)</f>
        <v/>
      </c>
      <c r="K293" s="17">
        <f>SUMIFS(Source_Evolution!$K$3:$K$731,Source_Evolution!$A$3:$A$731,$A293)</f>
        <v/>
      </c>
      <c r="L293" s="17">
        <f>SUMIFS(Source_Evolution!$L$3:$L$731,Source_Evolution!$A$3:$A$731,$A293)</f>
        <v/>
      </c>
      <c r="M293" s="17">
        <f>SUMIFS(Source_Evolution!$M$3:$M$731,Source_Evolution!$A$3:$A$731,$A293)</f>
        <v/>
      </c>
      <c r="N293" s="17">
        <f>SUMIFS(Source_Evolution!$N$3:$N$731,Source_Evolution!$A$3:$A$731,$A293)</f>
        <v/>
      </c>
      <c r="O293" s="17">
        <f>SUMIFS(Source_Evolution!$O$3:$O$731,Source_Evolution!$A$3:$A$731,$A293)</f>
        <v/>
      </c>
      <c r="P293" s="17">
        <f>SUMIFS(Source_Evolution!$P$3:$P$731,Source_Evolution!$A$3:$A$731,$A293)</f>
        <v/>
      </c>
      <c r="Q293" s="17">
        <f>SUMIFS(Source_Evolution!$Q$3:$Q$731,Source_Evolution!$A$3:$A$731,$A293)</f>
        <v/>
      </c>
      <c r="R293" s="17">
        <f>SUM(E293:Q293)</f>
        <v/>
      </c>
      <c r="S293" s="17">
        <f>Q293</f>
        <v/>
      </c>
      <c r="T293">
        <f>IF(B293="Software",1,0)</f>
        <v/>
      </c>
      <c r="U293" s="18">
        <f>SUMPRODUCT((Source_Evolution!$A$3:$A$731=$A293)*(Source_Evolution!$E$3:$E$731&gt;0))</f>
        <v/>
      </c>
      <c r="V293" s="18">
        <f>SUMPRODUCT((Source_Evolution!$A$3:$A$731=$A293)*(Source_Evolution!$F$3:$F$731&gt;0))</f>
        <v/>
      </c>
      <c r="W293" s="18">
        <f>SUMPRODUCT((Source_Evolution!$A$3:$A$731=$A293)*(Source_Evolution!$G$3:$G$731&gt;0))</f>
        <v/>
      </c>
      <c r="X293" s="18">
        <f>SUMPRODUCT((Source_Evolution!$A$3:$A$731=$A293)*(Source_Evolution!$H$3:$H$731&gt;0))</f>
        <v/>
      </c>
      <c r="Y293" s="18">
        <f>SUMPRODUCT((Source_Evolution!$A$3:$A$731=$A293)*(Source_Evolution!$I$3:$I$731&gt;0))</f>
        <v/>
      </c>
      <c r="Z293" s="18">
        <f>SUMPRODUCT((Source_Evolution!$A$3:$A$731=$A293)*(Source_Evolution!$J$3:$J$731&gt;0))</f>
        <v/>
      </c>
      <c r="AA293" s="18">
        <f>SUMPRODUCT((Source_Evolution!$A$3:$A$731=$A293)*(Source_Evolution!$K$3:$K$731&gt;0))</f>
        <v/>
      </c>
      <c r="AB293" s="18">
        <f>SUMPRODUCT((Source_Evolution!$A$3:$A$731=$A293)*(Source_Evolution!$L$3:$L$731&gt;0))</f>
        <v/>
      </c>
      <c r="AC293" s="18">
        <f>SUMPRODUCT((Source_Evolution!$A$3:$A$731=$A293)*(Source_Evolution!$M$3:$M$731&gt;0))</f>
        <v/>
      </c>
      <c r="AD293" s="18">
        <f>SUMPRODUCT((Source_Evolution!$A$3:$A$731=$A293)*(Source_Evolution!$N$3:$N$731&gt;0))</f>
        <v/>
      </c>
      <c r="AE293" s="18">
        <f>SUMPRODUCT((Source_Evolution!$A$3:$A$731=$A293)*(Source_Evolution!$O$3:$O$731&gt;0))</f>
        <v/>
      </c>
      <c r="AF293" s="18">
        <f>SUMPRODUCT((Source_Evolution!$A$3:$A$731=$A293)*(Source_Evolution!$P$3:$P$731&gt;0))</f>
        <v/>
      </c>
      <c r="AG293" s="18">
        <f>SUMPRODUCT((Source_Evolution!$A$3:$A$731=$A293)*(Source_Evolution!$Q$3:$Q$731&gt;0))</f>
        <v/>
      </c>
    </row>
    <row r="294">
      <c r="A294" t="inlineStr">
        <is>
          <t>Company 365</t>
        </is>
      </c>
      <c r="B294" t="inlineStr">
        <is>
          <t>Power</t>
        </is>
      </c>
      <c r="C294" t="inlineStr">
        <is>
          <t>Sweden</t>
        </is>
      </c>
      <c r="D294" t="n">
        <v>2014</v>
      </c>
      <c r="E294" s="17">
        <f>SUMIFS(Source_Evolution!$E$3:$E$731,Source_Evolution!$A$3:$A$731,$A294)</f>
        <v/>
      </c>
      <c r="F294" s="17">
        <f>SUMIFS(Source_Evolution!$F$3:$F$731,Source_Evolution!$A$3:$A$731,$A294)</f>
        <v/>
      </c>
      <c r="G294" s="17">
        <f>SUMIFS(Source_Evolution!$G$3:$G$731,Source_Evolution!$A$3:$A$731,$A294)</f>
        <v/>
      </c>
      <c r="H294" s="17">
        <f>SUMIFS(Source_Evolution!$H$3:$H$731,Source_Evolution!$A$3:$A$731,$A294)</f>
        <v/>
      </c>
      <c r="I294" s="17">
        <f>SUMIFS(Source_Evolution!$I$3:$I$731,Source_Evolution!$A$3:$A$731,$A294)</f>
        <v/>
      </c>
      <c r="J294" s="17">
        <f>SUMIFS(Source_Evolution!$J$3:$J$731,Source_Evolution!$A$3:$A$731,$A294)</f>
        <v/>
      </c>
      <c r="K294" s="17">
        <f>SUMIFS(Source_Evolution!$K$3:$K$731,Source_Evolution!$A$3:$A$731,$A294)</f>
        <v/>
      </c>
      <c r="L294" s="17">
        <f>SUMIFS(Source_Evolution!$L$3:$L$731,Source_Evolution!$A$3:$A$731,$A294)</f>
        <v/>
      </c>
      <c r="M294" s="17">
        <f>SUMIFS(Source_Evolution!$M$3:$M$731,Source_Evolution!$A$3:$A$731,$A294)</f>
        <v/>
      </c>
      <c r="N294" s="17">
        <f>SUMIFS(Source_Evolution!$N$3:$N$731,Source_Evolution!$A$3:$A$731,$A294)</f>
        <v/>
      </c>
      <c r="O294" s="17">
        <f>SUMIFS(Source_Evolution!$O$3:$O$731,Source_Evolution!$A$3:$A$731,$A294)</f>
        <v/>
      </c>
      <c r="P294" s="17">
        <f>SUMIFS(Source_Evolution!$P$3:$P$731,Source_Evolution!$A$3:$A$731,$A294)</f>
        <v/>
      </c>
      <c r="Q294" s="17">
        <f>SUMIFS(Source_Evolution!$Q$3:$Q$731,Source_Evolution!$A$3:$A$731,$A294)</f>
        <v/>
      </c>
      <c r="R294" s="17">
        <f>SUM(E294:Q294)</f>
        <v/>
      </c>
      <c r="S294" s="17">
        <f>Q294</f>
        <v/>
      </c>
      <c r="T294">
        <f>IF(B294="Software",1,0)</f>
        <v/>
      </c>
      <c r="U294" s="18">
        <f>SUMPRODUCT((Source_Evolution!$A$3:$A$731=$A294)*(Source_Evolution!$E$3:$E$731&gt;0))</f>
        <v/>
      </c>
      <c r="V294" s="18">
        <f>SUMPRODUCT((Source_Evolution!$A$3:$A$731=$A294)*(Source_Evolution!$F$3:$F$731&gt;0))</f>
        <v/>
      </c>
      <c r="W294" s="18">
        <f>SUMPRODUCT((Source_Evolution!$A$3:$A$731=$A294)*(Source_Evolution!$G$3:$G$731&gt;0))</f>
        <v/>
      </c>
      <c r="X294" s="18">
        <f>SUMPRODUCT((Source_Evolution!$A$3:$A$731=$A294)*(Source_Evolution!$H$3:$H$731&gt;0))</f>
        <v/>
      </c>
      <c r="Y294" s="18">
        <f>SUMPRODUCT((Source_Evolution!$A$3:$A$731=$A294)*(Source_Evolution!$I$3:$I$731&gt;0))</f>
        <v/>
      </c>
      <c r="Z294" s="18">
        <f>SUMPRODUCT((Source_Evolution!$A$3:$A$731=$A294)*(Source_Evolution!$J$3:$J$731&gt;0))</f>
        <v/>
      </c>
      <c r="AA294" s="18">
        <f>SUMPRODUCT((Source_Evolution!$A$3:$A$731=$A294)*(Source_Evolution!$K$3:$K$731&gt;0))</f>
        <v/>
      </c>
      <c r="AB294" s="18">
        <f>SUMPRODUCT((Source_Evolution!$A$3:$A$731=$A294)*(Source_Evolution!$L$3:$L$731&gt;0))</f>
        <v/>
      </c>
      <c r="AC294" s="18">
        <f>SUMPRODUCT((Source_Evolution!$A$3:$A$731=$A294)*(Source_Evolution!$M$3:$M$731&gt;0))</f>
        <v/>
      </c>
      <c r="AD294" s="18">
        <f>SUMPRODUCT((Source_Evolution!$A$3:$A$731=$A294)*(Source_Evolution!$N$3:$N$731&gt;0))</f>
        <v/>
      </c>
      <c r="AE294" s="18">
        <f>SUMPRODUCT((Source_Evolution!$A$3:$A$731=$A294)*(Source_Evolution!$O$3:$O$731&gt;0))</f>
        <v/>
      </c>
      <c r="AF294" s="18">
        <f>SUMPRODUCT((Source_Evolution!$A$3:$A$731=$A294)*(Source_Evolution!$P$3:$P$731&gt;0))</f>
        <v/>
      </c>
      <c r="AG294" s="18">
        <f>SUMPRODUCT((Source_Evolution!$A$3:$A$731=$A294)*(Source_Evolution!$Q$3:$Q$731&gt;0))</f>
        <v/>
      </c>
    </row>
    <row r="295">
      <c r="A295" t="inlineStr">
        <is>
          <t>Company 366</t>
        </is>
      </c>
      <c r="B295" t="inlineStr">
        <is>
          <t>Software</t>
        </is>
      </c>
      <c r="C295" t="inlineStr">
        <is>
          <t>Netherlands</t>
        </is>
      </c>
      <c r="D295" t="n">
        <v>2014</v>
      </c>
      <c r="E295" s="17">
        <f>SUMIFS(Source_Evolution!$E$3:$E$731,Source_Evolution!$A$3:$A$731,$A295)</f>
        <v/>
      </c>
      <c r="F295" s="17">
        <f>SUMIFS(Source_Evolution!$F$3:$F$731,Source_Evolution!$A$3:$A$731,$A295)</f>
        <v/>
      </c>
      <c r="G295" s="17">
        <f>SUMIFS(Source_Evolution!$G$3:$G$731,Source_Evolution!$A$3:$A$731,$A295)</f>
        <v/>
      </c>
      <c r="H295" s="17">
        <f>SUMIFS(Source_Evolution!$H$3:$H$731,Source_Evolution!$A$3:$A$731,$A295)</f>
        <v/>
      </c>
      <c r="I295" s="17">
        <f>SUMIFS(Source_Evolution!$I$3:$I$731,Source_Evolution!$A$3:$A$731,$A295)</f>
        <v/>
      </c>
      <c r="J295" s="17">
        <f>SUMIFS(Source_Evolution!$J$3:$J$731,Source_Evolution!$A$3:$A$731,$A295)</f>
        <v/>
      </c>
      <c r="K295" s="17">
        <f>SUMIFS(Source_Evolution!$K$3:$K$731,Source_Evolution!$A$3:$A$731,$A295)</f>
        <v/>
      </c>
      <c r="L295" s="17">
        <f>SUMIFS(Source_Evolution!$L$3:$L$731,Source_Evolution!$A$3:$A$731,$A295)</f>
        <v/>
      </c>
      <c r="M295" s="17">
        <f>SUMIFS(Source_Evolution!$M$3:$M$731,Source_Evolution!$A$3:$A$731,$A295)</f>
        <v/>
      </c>
      <c r="N295" s="17">
        <f>SUMIFS(Source_Evolution!$N$3:$N$731,Source_Evolution!$A$3:$A$731,$A295)</f>
        <v/>
      </c>
      <c r="O295" s="17">
        <f>SUMIFS(Source_Evolution!$O$3:$O$731,Source_Evolution!$A$3:$A$731,$A295)</f>
        <v/>
      </c>
      <c r="P295" s="17">
        <f>SUMIFS(Source_Evolution!$P$3:$P$731,Source_Evolution!$A$3:$A$731,$A295)</f>
        <v/>
      </c>
      <c r="Q295" s="17">
        <f>SUMIFS(Source_Evolution!$Q$3:$Q$731,Source_Evolution!$A$3:$A$731,$A295)</f>
        <v/>
      </c>
      <c r="R295" s="17">
        <f>SUM(E295:Q295)</f>
        <v/>
      </c>
      <c r="S295" s="17">
        <f>Q295</f>
        <v/>
      </c>
      <c r="T295">
        <f>IF(B295="Software",1,0)</f>
        <v/>
      </c>
      <c r="U295" s="18">
        <f>SUMPRODUCT((Source_Evolution!$A$3:$A$731=$A295)*(Source_Evolution!$E$3:$E$731&gt;0))</f>
        <v/>
      </c>
      <c r="V295" s="18">
        <f>SUMPRODUCT((Source_Evolution!$A$3:$A$731=$A295)*(Source_Evolution!$F$3:$F$731&gt;0))</f>
        <v/>
      </c>
      <c r="W295" s="18">
        <f>SUMPRODUCT((Source_Evolution!$A$3:$A$731=$A295)*(Source_Evolution!$G$3:$G$731&gt;0))</f>
        <v/>
      </c>
      <c r="X295" s="18">
        <f>SUMPRODUCT((Source_Evolution!$A$3:$A$731=$A295)*(Source_Evolution!$H$3:$H$731&gt;0))</f>
        <v/>
      </c>
      <c r="Y295" s="18">
        <f>SUMPRODUCT((Source_Evolution!$A$3:$A$731=$A295)*(Source_Evolution!$I$3:$I$731&gt;0))</f>
        <v/>
      </c>
      <c r="Z295" s="18">
        <f>SUMPRODUCT((Source_Evolution!$A$3:$A$731=$A295)*(Source_Evolution!$J$3:$J$731&gt;0))</f>
        <v/>
      </c>
      <c r="AA295" s="18">
        <f>SUMPRODUCT((Source_Evolution!$A$3:$A$731=$A295)*(Source_Evolution!$K$3:$K$731&gt;0))</f>
        <v/>
      </c>
      <c r="AB295" s="18">
        <f>SUMPRODUCT((Source_Evolution!$A$3:$A$731=$A295)*(Source_Evolution!$L$3:$L$731&gt;0))</f>
        <v/>
      </c>
      <c r="AC295" s="18">
        <f>SUMPRODUCT((Source_Evolution!$A$3:$A$731=$A295)*(Source_Evolution!$M$3:$M$731&gt;0))</f>
        <v/>
      </c>
      <c r="AD295" s="18">
        <f>SUMPRODUCT((Source_Evolution!$A$3:$A$731=$A295)*(Source_Evolution!$N$3:$N$731&gt;0))</f>
        <v/>
      </c>
      <c r="AE295" s="18">
        <f>SUMPRODUCT((Source_Evolution!$A$3:$A$731=$A295)*(Source_Evolution!$O$3:$O$731&gt;0))</f>
        <v/>
      </c>
      <c r="AF295" s="18">
        <f>SUMPRODUCT((Source_Evolution!$A$3:$A$731=$A295)*(Source_Evolution!$P$3:$P$731&gt;0))</f>
        <v/>
      </c>
      <c r="AG295" s="18">
        <f>SUMPRODUCT((Source_Evolution!$A$3:$A$731=$A295)*(Source_Evolution!$Q$3:$Q$731&gt;0))</f>
        <v/>
      </c>
    </row>
    <row r="296">
      <c r="A296" t="inlineStr">
        <is>
          <t>Company 367</t>
        </is>
      </c>
      <c r="B296" t="inlineStr">
        <is>
          <t>Software</t>
        </is>
      </c>
      <c r="C296" t="inlineStr">
        <is>
          <t>Ireland</t>
        </is>
      </c>
      <c r="D296" t="n">
        <v>2014</v>
      </c>
      <c r="E296" s="17">
        <f>SUMIFS(Source_Evolution!$E$3:$E$731,Source_Evolution!$A$3:$A$731,$A296)</f>
        <v/>
      </c>
      <c r="F296" s="17">
        <f>SUMIFS(Source_Evolution!$F$3:$F$731,Source_Evolution!$A$3:$A$731,$A296)</f>
        <v/>
      </c>
      <c r="G296" s="17">
        <f>SUMIFS(Source_Evolution!$G$3:$G$731,Source_Evolution!$A$3:$A$731,$A296)</f>
        <v/>
      </c>
      <c r="H296" s="17">
        <f>SUMIFS(Source_Evolution!$H$3:$H$731,Source_Evolution!$A$3:$A$731,$A296)</f>
        <v/>
      </c>
      <c r="I296" s="17">
        <f>SUMIFS(Source_Evolution!$I$3:$I$731,Source_Evolution!$A$3:$A$731,$A296)</f>
        <v/>
      </c>
      <c r="J296" s="17">
        <f>SUMIFS(Source_Evolution!$J$3:$J$731,Source_Evolution!$A$3:$A$731,$A296)</f>
        <v/>
      </c>
      <c r="K296" s="17">
        <f>SUMIFS(Source_Evolution!$K$3:$K$731,Source_Evolution!$A$3:$A$731,$A296)</f>
        <v/>
      </c>
      <c r="L296" s="17">
        <f>SUMIFS(Source_Evolution!$L$3:$L$731,Source_Evolution!$A$3:$A$731,$A296)</f>
        <v/>
      </c>
      <c r="M296" s="17">
        <f>SUMIFS(Source_Evolution!$M$3:$M$731,Source_Evolution!$A$3:$A$731,$A296)</f>
        <v/>
      </c>
      <c r="N296" s="17">
        <f>SUMIFS(Source_Evolution!$N$3:$N$731,Source_Evolution!$A$3:$A$731,$A296)</f>
        <v/>
      </c>
      <c r="O296" s="17">
        <f>SUMIFS(Source_Evolution!$O$3:$O$731,Source_Evolution!$A$3:$A$731,$A296)</f>
        <v/>
      </c>
      <c r="P296" s="17">
        <f>SUMIFS(Source_Evolution!$P$3:$P$731,Source_Evolution!$A$3:$A$731,$A296)</f>
        <v/>
      </c>
      <c r="Q296" s="17">
        <f>SUMIFS(Source_Evolution!$Q$3:$Q$731,Source_Evolution!$A$3:$A$731,$A296)</f>
        <v/>
      </c>
      <c r="R296" s="17">
        <f>SUM(E296:Q296)</f>
        <v/>
      </c>
      <c r="S296" s="17">
        <f>Q296</f>
        <v/>
      </c>
      <c r="T296">
        <f>IF(B296="Software",1,0)</f>
        <v/>
      </c>
      <c r="U296" s="18">
        <f>SUMPRODUCT((Source_Evolution!$A$3:$A$731=$A296)*(Source_Evolution!$E$3:$E$731&gt;0))</f>
        <v/>
      </c>
      <c r="V296" s="18">
        <f>SUMPRODUCT((Source_Evolution!$A$3:$A$731=$A296)*(Source_Evolution!$F$3:$F$731&gt;0))</f>
        <v/>
      </c>
      <c r="W296" s="18">
        <f>SUMPRODUCT((Source_Evolution!$A$3:$A$731=$A296)*(Source_Evolution!$G$3:$G$731&gt;0))</f>
        <v/>
      </c>
      <c r="X296" s="18">
        <f>SUMPRODUCT((Source_Evolution!$A$3:$A$731=$A296)*(Source_Evolution!$H$3:$H$731&gt;0))</f>
        <v/>
      </c>
      <c r="Y296" s="18">
        <f>SUMPRODUCT((Source_Evolution!$A$3:$A$731=$A296)*(Source_Evolution!$I$3:$I$731&gt;0))</f>
        <v/>
      </c>
      <c r="Z296" s="18">
        <f>SUMPRODUCT((Source_Evolution!$A$3:$A$731=$A296)*(Source_Evolution!$J$3:$J$731&gt;0))</f>
        <v/>
      </c>
      <c r="AA296" s="18">
        <f>SUMPRODUCT((Source_Evolution!$A$3:$A$731=$A296)*(Source_Evolution!$K$3:$K$731&gt;0))</f>
        <v/>
      </c>
      <c r="AB296" s="18">
        <f>SUMPRODUCT((Source_Evolution!$A$3:$A$731=$A296)*(Source_Evolution!$L$3:$L$731&gt;0))</f>
        <v/>
      </c>
      <c r="AC296" s="18">
        <f>SUMPRODUCT((Source_Evolution!$A$3:$A$731=$A296)*(Source_Evolution!$M$3:$M$731&gt;0))</f>
        <v/>
      </c>
      <c r="AD296" s="18">
        <f>SUMPRODUCT((Source_Evolution!$A$3:$A$731=$A296)*(Source_Evolution!$N$3:$N$731&gt;0))</f>
        <v/>
      </c>
      <c r="AE296" s="18">
        <f>SUMPRODUCT((Source_Evolution!$A$3:$A$731=$A296)*(Source_Evolution!$O$3:$O$731&gt;0))</f>
        <v/>
      </c>
      <c r="AF296" s="18">
        <f>SUMPRODUCT((Source_Evolution!$A$3:$A$731=$A296)*(Source_Evolution!$P$3:$P$731&gt;0))</f>
        <v/>
      </c>
      <c r="AG296" s="18">
        <f>SUMPRODUCT((Source_Evolution!$A$3:$A$731=$A296)*(Source_Evolution!$Q$3:$Q$731&gt;0))</f>
        <v/>
      </c>
    </row>
    <row r="297">
      <c r="A297" t="inlineStr">
        <is>
          <t>Company 368</t>
        </is>
      </c>
      <c r="B297" t="inlineStr">
        <is>
          <t>Operations</t>
        </is>
      </c>
      <c r="C297" t="inlineStr">
        <is>
          <t>Germany</t>
        </is>
      </c>
      <c r="D297" t="n">
        <v>2014</v>
      </c>
      <c r="E297" s="17">
        <f>SUMIFS(Source_Evolution!$E$3:$E$731,Source_Evolution!$A$3:$A$731,$A297)</f>
        <v/>
      </c>
      <c r="F297" s="17">
        <f>SUMIFS(Source_Evolution!$F$3:$F$731,Source_Evolution!$A$3:$A$731,$A297)</f>
        <v/>
      </c>
      <c r="G297" s="17">
        <f>SUMIFS(Source_Evolution!$G$3:$G$731,Source_Evolution!$A$3:$A$731,$A297)</f>
        <v/>
      </c>
      <c r="H297" s="17">
        <f>SUMIFS(Source_Evolution!$H$3:$H$731,Source_Evolution!$A$3:$A$731,$A297)</f>
        <v/>
      </c>
      <c r="I297" s="17">
        <f>SUMIFS(Source_Evolution!$I$3:$I$731,Source_Evolution!$A$3:$A$731,$A297)</f>
        <v/>
      </c>
      <c r="J297" s="17">
        <f>SUMIFS(Source_Evolution!$J$3:$J$731,Source_Evolution!$A$3:$A$731,$A297)</f>
        <v/>
      </c>
      <c r="K297" s="17">
        <f>SUMIFS(Source_Evolution!$K$3:$K$731,Source_Evolution!$A$3:$A$731,$A297)</f>
        <v/>
      </c>
      <c r="L297" s="17">
        <f>SUMIFS(Source_Evolution!$L$3:$L$731,Source_Evolution!$A$3:$A$731,$A297)</f>
        <v/>
      </c>
      <c r="M297" s="17">
        <f>SUMIFS(Source_Evolution!$M$3:$M$731,Source_Evolution!$A$3:$A$731,$A297)</f>
        <v/>
      </c>
      <c r="N297" s="17">
        <f>SUMIFS(Source_Evolution!$N$3:$N$731,Source_Evolution!$A$3:$A$731,$A297)</f>
        <v/>
      </c>
      <c r="O297" s="17">
        <f>SUMIFS(Source_Evolution!$O$3:$O$731,Source_Evolution!$A$3:$A$731,$A297)</f>
        <v/>
      </c>
      <c r="P297" s="17">
        <f>SUMIFS(Source_Evolution!$P$3:$P$731,Source_Evolution!$A$3:$A$731,$A297)</f>
        <v/>
      </c>
      <c r="Q297" s="17">
        <f>SUMIFS(Source_Evolution!$Q$3:$Q$731,Source_Evolution!$A$3:$A$731,$A297)</f>
        <v/>
      </c>
      <c r="R297" s="17">
        <f>SUM(E297:Q297)</f>
        <v/>
      </c>
      <c r="S297" s="17">
        <f>Q297</f>
        <v/>
      </c>
      <c r="T297">
        <f>IF(B297="Software",1,0)</f>
        <v/>
      </c>
      <c r="U297" s="18">
        <f>SUMPRODUCT((Source_Evolution!$A$3:$A$731=$A297)*(Source_Evolution!$E$3:$E$731&gt;0))</f>
        <v/>
      </c>
      <c r="V297" s="18">
        <f>SUMPRODUCT((Source_Evolution!$A$3:$A$731=$A297)*(Source_Evolution!$F$3:$F$731&gt;0))</f>
        <v/>
      </c>
      <c r="W297" s="18">
        <f>SUMPRODUCT((Source_Evolution!$A$3:$A$731=$A297)*(Source_Evolution!$G$3:$G$731&gt;0))</f>
        <v/>
      </c>
      <c r="X297" s="18">
        <f>SUMPRODUCT((Source_Evolution!$A$3:$A$731=$A297)*(Source_Evolution!$H$3:$H$731&gt;0))</f>
        <v/>
      </c>
      <c r="Y297" s="18">
        <f>SUMPRODUCT((Source_Evolution!$A$3:$A$731=$A297)*(Source_Evolution!$I$3:$I$731&gt;0))</f>
        <v/>
      </c>
      <c r="Z297" s="18">
        <f>SUMPRODUCT((Source_Evolution!$A$3:$A$731=$A297)*(Source_Evolution!$J$3:$J$731&gt;0))</f>
        <v/>
      </c>
      <c r="AA297" s="18">
        <f>SUMPRODUCT((Source_Evolution!$A$3:$A$731=$A297)*(Source_Evolution!$K$3:$K$731&gt;0))</f>
        <v/>
      </c>
      <c r="AB297" s="18">
        <f>SUMPRODUCT((Source_Evolution!$A$3:$A$731=$A297)*(Source_Evolution!$L$3:$L$731&gt;0))</f>
        <v/>
      </c>
      <c r="AC297" s="18">
        <f>SUMPRODUCT((Source_Evolution!$A$3:$A$731=$A297)*(Source_Evolution!$M$3:$M$731&gt;0))</f>
        <v/>
      </c>
      <c r="AD297" s="18">
        <f>SUMPRODUCT((Source_Evolution!$A$3:$A$731=$A297)*(Source_Evolution!$N$3:$N$731&gt;0))</f>
        <v/>
      </c>
      <c r="AE297" s="18">
        <f>SUMPRODUCT((Source_Evolution!$A$3:$A$731=$A297)*(Source_Evolution!$O$3:$O$731&gt;0))</f>
        <v/>
      </c>
      <c r="AF297" s="18">
        <f>SUMPRODUCT((Source_Evolution!$A$3:$A$731=$A297)*(Source_Evolution!$P$3:$P$731&gt;0))</f>
        <v/>
      </c>
      <c r="AG297" s="18">
        <f>SUMPRODUCT((Source_Evolution!$A$3:$A$731=$A297)*(Source_Evolution!$Q$3:$Q$731&gt;0))</f>
        <v/>
      </c>
    </row>
    <row r="298">
      <c r="A298" t="inlineStr">
        <is>
          <t>Company 369</t>
        </is>
      </c>
      <c r="B298" t="inlineStr">
        <is>
          <t>Operations</t>
        </is>
      </c>
      <c r="C298" t="inlineStr">
        <is>
          <t>Ireland</t>
        </is>
      </c>
      <c r="D298" t="n">
        <v>2014</v>
      </c>
      <c r="E298" s="17">
        <f>SUMIFS(Source_Evolution!$E$3:$E$731,Source_Evolution!$A$3:$A$731,$A298)</f>
        <v/>
      </c>
      <c r="F298" s="17">
        <f>SUMIFS(Source_Evolution!$F$3:$F$731,Source_Evolution!$A$3:$A$731,$A298)</f>
        <v/>
      </c>
      <c r="G298" s="17">
        <f>SUMIFS(Source_Evolution!$G$3:$G$731,Source_Evolution!$A$3:$A$731,$A298)</f>
        <v/>
      </c>
      <c r="H298" s="17">
        <f>SUMIFS(Source_Evolution!$H$3:$H$731,Source_Evolution!$A$3:$A$731,$A298)</f>
        <v/>
      </c>
      <c r="I298" s="17">
        <f>SUMIFS(Source_Evolution!$I$3:$I$731,Source_Evolution!$A$3:$A$731,$A298)</f>
        <v/>
      </c>
      <c r="J298" s="17">
        <f>SUMIFS(Source_Evolution!$J$3:$J$731,Source_Evolution!$A$3:$A$731,$A298)</f>
        <v/>
      </c>
      <c r="K298" s="17">
        <f>SUMIFS(Source_Evolution!$K$3:$K$731,Source_Evolution!$A$3:$A$731,$A298)</f>
        <v/>
      </c>
      <c r="L298" s="17">
        <f>SUMIFS(Source_Evolution!$L$3:$L$731,Source_Evolution!$A$3:$A$731,$A298)</f>
        <v/>
      </c>
      <c r="M298" s="17">
        <f>SUMIFS(Source_Evolution!$M$3:$M$731,Source_Evolution!$A$3:$A$731,$A298)</f>
        <v/>
      </c>
      <c r="N298" s="17">
        <f>SUMIFS(Source_Evolution!$N$3:$N$731,Source_Evolution!$A$3:$A$731,$A298)</f>
        <v/>
      </c>
      <c r="O298" s="17">
        <f>SUMIFS(Source_Evolution!$O$3:$O$731,Source_Evolution!$A$3:$A$731,$A298)</f>
        <v/>
      </c>
      <c r="P298" s="17">
        <f>SUMIFS(Source_Evolution!$P$3:$P$731,Source_Evolution!$A$3:$A$731,$A298)</f>
        <v/>
      </c>
      <c r="Q298" s="17">
        <f>SUMIFS(Source_Evolution!$Q$3:$Q$731,Source_Evolution!$A$3:$A$731,$A298)</f>
        <v/>
      </c>
      <c r="R298" s="17">
        <f>SUM(E298:Q298)</f>
        <v/>
      </c>
      <c r="S298" s="17">
        <f>Q298</f>
        <v/>
      </c>
      <c r="T298">
        <f>IF(B298="Software",1,0)</f>
        <v/>
      </c>
      <c r="U298" s="18">
        <f>SUMPRODUCT((Source_Evolution!$A$3:$A$731=$A298)*(Source_Evolution!$E$3:$E$731&gt;0))</f>
        <v/>
      </c>
      <c r="V298" s="18">
        <f>SUMPRODUCT((Source_Evolution!$A$3:$A$731=$A298)*(Source_Evolution!$F$3:$F$731&gt;0))</f>
        <v/>
      </c>
      <c r="W298" s="18">
        <f>SUMPRODUCT((Source_Evolution!$A$3:$A$731=$A298)*(Source_Evolution!$G$3:$G$731&gt;0))</f>
        <v/>
      </c>
      <c r="X298" s="18">
        <f>SUMPRODUCT((Source_Evolution!$A$3:$A$731=$A298)*(Source_Evolution!$H$3:$H$731&gt;0))</f>
        <v/>
      </c>
      <c r="Y298" s="18">
        <f>SUMPRODUCT((Source_Evolution!$A$3:$A$731=$A298)*(Source_Evolution!$I$3:$I$731&gt;0))</f>
        <v/>
      </c>
      <c r="Z298" s="18">
        <f>SUMPRODUCT((Source_Evolution!$A$3:$A$731=$A298)*(Source_Evolution!$J$3:$J$731&gt;0))</f>
        <v/>
      </c>
      <c r="AA298" s="18">
        <f>SUMPRODUCT((Source_Evolution!$A$3:$A$731=$A298)*(Source_Evolution!$K$3:$K$731&gt;0))</f>
        <v/>
      </c>
      <c r="AB298" s="18">
        <f>SUMPRODUCT((Source_Evolution!$A$3:$A$731=$A298)*(Source_Evolution!$L$3:$L$731&gt;0))</f>
        <v/>
      </c>
      <c r="AC298" s="18">
        <f>SUMPRODUCT((Source_Evolution!$A$3:$A$731=$A298)*(Source_Evolution!$M$3:$M$731&gt;0))</f>
        <v/>
      </c>
      <c r="AD298" s="18">
        <f>SUMPRODUCT((Source_Evolution!$A$3:$A$731=$A298)*(Source_Evolution!$N$3:$N$731&gt;0))</f>
        <v/>
      </c>
      <c r="AE298" s="18">
        <f>SUMPRODUCT((Source_Evolution!$A$3:$A$731=$A298)*(Source_Evolution!$O$3:$O$731&gt;0))</f>
        <v/>
      </c>
      <c r="AF298" s="18">
        <f>SUMPRODUCT((Source_Evolution!$A$3:$A$731=$A298)*(Source_Evolution!$P$3:$P$731&gt;0))</f>
        <v/>
      </c>
      <c r="AG298" s="18">
        <f>SUMPRODUCT((Source_Evolution!$A$3:$A$731=$A298)*(Source_Evolution!$Q$3:$Q$731&gt;0))</f>
        <v/>
      </c>
    </row>
    <row r="299">
      <c r="A299" t="inlineStr">
        <is>
          <t>Company 37</t>
        </is>
      </c>
      <c r="B299" t="inlineStr">
        <is>
          <t>Software</t>
        </is>
      </c>
      <c r="C299" t="inlineStr">
        <is>
          <t>Isle of Man</t>
        </is>
      </c>
      <c r="D299" t="n">
        <v>2016</v>
      </c>
      <c r="E299" s="17">
        <f>SUMIFS(Source_Evolution!$E$3:$E$731,Source_Evolution!$A$3:$A$731,$A299)</f>
        <v/>
      </c>
      <c r="F299" s="17">
        <f>SUMIFS(Source_Evolution!$F$3:$F$731,Source_Evolution!$A$3:$A$731,$A299)</f>
        <v/>
      </c>
      <c r="G299" s="17">
        <f>SUMIFS(Source_Evolution!$G$3:$G$731,Source_Evolution!$A$3:$A$731,$A299)</f>
        <v/>
      </c>
      <c r="H299" s="17">
        <f>SUMIFS(Source_Evolution!$H$3:$H$731,Source_Evolution!$A$3:$A$731,$A299)</f>
        <v/>
      </c>
      <c r="I299" s="17">
        <f>SUMIFS(Source_Evolution!$I$3:$I$731,Source_Evolution!$A$3:$A$731,$A299)</f>
        <v/>
      </c>
      <c r="J299" s="17">
        <f>SUMIFS(Source_Evolution!$J$3:$J$731,Source_Evolution!$A$3:$A$731,$A299)</f>
        <v/>
      </c>
      <c r="K299" s="17">
        <f>SUMIFS(Source_Evolution!$K$3:$K$731,Source_Evolution!$A$3:$A$731,$A299)</f>
        <v/>
      </c>
      <c r="L299" s="17">
        <f>SUMIFS(Source_Evolution!$L$3:$L$731,Source_Evolution!$A$3:$A$731,$A299)</f>
        <v/>
      </c>
      <c r="M299" s="17">
        <f>SUMIFS(Source_Evolution!$M$3:$M$731,Source_Evolution!$A$3:$A$731,$A299)</f>
        <v/>
      </c>
      <c r="N299" s="17">
        <f>SUMIFS(Source_Evolution!$N$3:$N$731,Source_Evolution!$A$3:$A$731,$A299)</f>
        <v/>
      </c>
      <c r="O299" s="17">
        <f>SUMIFS(Source_Evolution!$O$3:$O$731,Source_Evolution!$A$3:$A$731,$A299)</f>
        <v/>
      </c>
      <c r="P299" s="17">
        <f>SUMIFS(Source_Evolution!$P$3:$P$731,Source_Evolution!$A$3:$A$731,$A299)</f>
        <v/>
      </c>
      <c r="Q299" s="17">
        <f>SUMIFS(Source_Evolution!$Q$3:$Q$731,Source_Evolution!$A$3:$A$731,$A299)</f>
        <v/>
      </c>
      <c r="R299" s="17">
        <f>SUM(E299:Q299)</f>
        <v/>
      </c>
      <c r="S299" s="17">
        <f>Q299</f>
        <v/>
      </c>
      <c r="T299">
        <f>IF(B299="Software",1,0)</f>
        <v/>
      </c>
      <c r="U299" s="18">
        <f>SUMPRODUCT((Source_Evolution!$A$3:$A$731=$A299)*(Source_Evolution!$E$3:$E$731&gt;0))</f>
        <v/>
      </c>
      <c r="V299" s="18">
        <f>SUMPRODUCT((Source_Evolution!$A$3:$A$731=$A299)*(Source_Evolution!$F$3:$F$731&gt;0))</f>
        <v/>
      </c>
      <c r="W299" s="18">
        <f>SUMPRODUCT((Source_Evolution!$A$3:$A$731=$A299)*(Source_Evolution!$G$3:$G$731&gt;0))</f>
        <v/>
      </c>
      <c r="X299" s="18">
        <f>SUMPRODUCT((Source_Evolution!$A$3:$A$731=$A299)*(Source_Evolution!$H$3:$H$731&gt;0))</f>
        <v/>
      </c>
      <c r="Y299" s="18">
        <f>SUMPRODUCT((Source_Evolution!$A$3:$A$731=$A299)*(Source_Evolution!$I$3:$I$731&gt;0))</f>
        <v/>
      </c>
      <c r="Z299" s="18">
        <f>SUMPRODUCT((Source_Evolution!$A$3:$A$731=$A299)*(Source_Evolution!$J$3:$J$731&gt;0))</f>
        <v/>
      </c>
      <c r="AA299" s="18">
        <f>SUMPRODUCT((Source_Evolution!$A$3:$A$731=$A299)*(Source_Evolution!$K$3:$K$731&gt;0))</f>
        <v/>
      </c>
      <c r="AB299" s="18">
        <f>SUMPRODUCT((Source_Evolution!$A$3:$A$731=$A299)*(Source_Evolution!$L$3:$L$731&gt;0))</f>
        <v/>
      </c>
      <c r="AC299" s="18">
        <f>SUMPRODUCT((Source_Evolution!$A$3:$A$731=$A299)*(Source_Evolution!$M$3:$M$731&gt;0))</f>
        <v/>
      </c>
      <c r="AD299" s="18">
        <f>SUMPRODUCT((Source_Evolution!$A$3:$A$731=$A299)*(Source_Evolution!$N$3:$N$731&gt;0))</f>
        <v/>
      </c>
      <c r="AE299" s="18">
        <f>SUMPRODUCT((Source_Evolution!$A$3:$A$731=$A299)*(Source_Evolution!$O$3:$O$731&gt;0))</f>
        <v/>
      </c>
      <c r="AF299" s="18">
        <f>SUMPRODUCT((Source_Evolution!$A$3:$A$731=$A299)*(Source_Evolution!$P$3:$P$731&gt;0))</f>
        <v/>
      </c>
      <c r="AG299" s="18">
        <f>SUMPRODUCT((Source_Evolution!$A$3:$A$731=$A299)*(Source_Evolution!$Q$3:$Q$731&gt;0))</f>
        <v/>
      </c>
    </row>
    <row r="300">
      <c r="A300" t="inlineStr">
        <is>
          <t>Company 370</t>
        </is>
      </c>
      <c r="B300" t="inlineStr">
        <is>
          <t>Operations</t>
        </is>
      </c>
      <c r="C300" t="inlineStr">
        <is>
          <t>Ireland</t>
        </is>
      </c>
      <c r="D300" t="n">
        <v>2023</v>
      </c>
      <c r="E300" s="17">
        <f>SUMIFS(Source_Evolution!$E$3:$E$731,Source_Evolution!$A$3:$A$731,$A300)</f>
        <v/>
      </c>
      <c r="F300" s="17">
        <f>SUMIFS(Source_Evolution!$F$3:$F$731,Source_Evolution!$A$3:$A$731,$A300)</f>
        <v/>
      </c>
      <c r="G300" s="17">
        <f>SUMIFS(Source_Evolution!$G$3:$G$731,Source_Evolution!$A$3:$A$731,$A300)</f>
        <v/>
      </c>
      <c r="H300" s="17">
        <f>SUMIFS(Source_Evolution!$H$3:$H$731,Source_Evolution!$A$3:$A$731,$A300)</f>
        <v/>
      </c>
      <c r="I300" s="17">
        <f>SUMIFS(Source_Evolution!$I$3:$I$731,Source_Evolution!$A$3:$A$731,$A300)</f>
        <v/>
      </c>
      <c r="J300" s="17">
        <f>SUMIFS(Source_Evolution!$J$3:$J$731,Source_Evolution!$A$3:$A$731,$A300)</f>
        <v/>
      </c>
      <c r="K300" s="17">
        <f>SUMIFS(Source_Evolution!$K$3:$K$731,Source_Evolution!$A$3:$A$731,$A300)</f>
        <v/>
      </c>
      <c r="L300" s="17">
        <f>SUMIFS(Source_Evolution!$L$3:$L$731,Source_Evolution!$A$3:$A$731,$A300)</f>
        <v/>
      </c>
      <c r="M300" s="17">
        <f>SUMIFS(Source_Evolution!$M$3:$M$731,Source_Evolution!$A$3:$A$731,$A300)</f>
        <v/>
      </c>
      <c r="N300" s="17">
        <f>SUMIFS(Source_Evolution!$N$3:$N$731,Source_Evolution!$A$3:$A$731,$A300)</f>
        <v/>
      </c>
      <c r="O300" s="17">
        <f>SUMIFS(Source_Evolution!$O$3:$O$731,Source_Evolution!$A$3:$A$731,$A300)</f>
        <v/>
      </c>
      <c r="P300" s="17">
        <f>SUMIFS(Source_Evolution!$P$3:$P$731,Source_Evolution!$A$3:$A$731,$A300)</f>
        <v/>
      </c>
      <c r="Q300" s="17">
        <f>SUMIFS(Source_Evolution!$Q$3:$Q$731,Source_Evolution!$A$3:$A$731,$A300)</f>
        <v/>
      </c>
      <c r="R300" s="17">
        <f>SUM(E300:Q300)</f>
        <v/>
      </c>
      <c r="S300" s="17">
        <f>Q300</f>
        <v/>
      </c>
      <c r="T300">
        <f>IF(B300="Software",1,0)</f>
        <v/>
      </c>
      <c r="U300" s="18">
        <f>SUMPRODUCT((Source_Evolution!$A$3:$A$731=$A300)*(Source_Evolution!$E$3:$E$731&gt;0))</f>
        <v/>
      </c>
      <c r="V300" s="18">
        <f>SUMPRODUCT((Source_Evolution!$A$3:$A$731=$A300)*(Source_Evolution!$F$3:$F$731&gt;0))</f>
        <v/>
      </c>
      <c r="W300" s="18">
        <f>SUMPRODUCT((Source_Evolution!$A$3:$A$731=$A300)*(Source_Evolution!$G$3:$G$731&gt;0))</f>
        <v/>
      </c>
      <c r="X300" s="18">
        <f>SUMPRODUCT((Source_Evolution!$A$3:$A$731=$A300)*(Source_Evolution!$H$3:$H$731&gt;0))</f>
        <v/>
      </c>
      <c r="Y300" s="18">
        <f>SUMPRODUCT((Source_Evolution!$A$3:$A$731=$A300)*(Source_Evolution!$I$3:$I$731&gt;0))</f>
        <v/>
      </c>
      <c r="Z300" s="18">
        <f>SUMPRODUCT((Source_Evolution!$A$3:$A$731=$A300)*(Source_Evolution!$J$3:$J$731&gt;0))</f>
        <v/>
      </c>
      <c r="AA300" s="18">
        <f>SUMPRODUCT((Source_Evolution!$A$3:$A$731=$A300)*(Source_Evolution!$K$3:$K$731&gt;0))</f>
        <v/>
      </c>
      <c r="AB300" s="18">
        <f>SUMPRODUCT((Source_Evolution!$A$3:$A$731=$A300)*(Source_Evolution!$L$3:$L$731&gt;0))</f>
        <v/>
      </c>
      <c r="AC300" s="18">
        <f>SUMPRODUCT((Source_Evolution!$A$3:$A$731=$A300)*(Source_Evolution!$M$3:$M$731&gt;0))</f>
        <v/>
      </c>
      <c r="AD300" s="18">
        <f>SUMPRODUCT((Source_Evolution!$A$3:$A$731=$A300)*(Source_Evolution!$N$3:$N$731&gt;0))</f>
        <v/>
      </c>
      <c r="AE300" s="18">
        <f>SUMPRODUCT((Source_Evolution!$A$3:$A$731=$A300)*(Source_Evolution!$O$3:$O$731&gt;0))</f>
        <v/>
      </c>
      <c r="AF300" s="18">
        <f>SUMPRODUCT((Source_Evolution!$A$3:$A$731=$A300)*(Source_Evolution!$P$3:$P$731&gt;0))</f>
        <v/>
      </c>
      <c r="AG300" s="18">
        <f>SUMPRODUCT((Source_Evolution!$A$3:$A$731=$A300)*(Source_Evolution!$Q$3:$Q$731&gt;0))</f>
        <v/>
      </c>
    </row>
    <row r="301">
      <c r="A301" t="inlineStr">
        <is>
          <t>Company 371</t>
        </is>
      </c>
      <c r="B301" t="inlineStr">
        <is>
          <t>Operations</t>
        </is>
      </c>
      <c r="C301" t="inlineStr">
        <is>
          <t>Ireland</t>
        </is>
      </c>
      <c r="D301" t="n">
        <v>2014</v>
      </c>
      <c r="E301" s="17">
        <f>SUMIFS(Source_Evolution!$E$3:$E$731,Source_Evolution!$A$3:$A$731,$A301)</f>
        <v/>
      </c>
      <c r="F301" s="17">
        <f>SUMIFS(Source_Evolution!$F$3:$F$731,Source_Evolution!$A$3:$A$731,$A301)</f>
        <v/>
      </c>
      <c r="G301" s="17">
        <f>SUMIFS(Source_Evolution!$G$3:$G$731,Source_Evolution!$A$3:$A$731,$A301)</f>
        <v/>
      </c>
      <c r="H301" s="17">
        <f>SUMIFS(Source_Evolution!$H$3:$H$731,Source_Evolution!$A$3:$A$731,$A301)</f>
        <v/>
      </c>
      <c r="I301" s="17">
        <f>SUMIFS(Source_Evolution!$I$3:$I$731,Source_Evolution!$A$3:$A$731,$A301)</f>
        <v/>
      </c>
      <c r="J301" s="17">
        <f>SUMIFS(Source_Evolution!$J$3:$J$731,Source_Evolution!$A$3:$A$731,$A301)</f>
        <v/>
      </c>
      <c r="K301" s="17">
        <f>SUMIFS(Source_Evolution!$K$3:$K$731,Source_Evolution!$A$3:$A$731,$A301)</f>
        <v/>
      </c>
      <c r="L301" s="17">
        <f>SUMIFS(Source_Evolution!$L$3:$L$731,Source_Evolution!$A$3:$A$731,$A301)</f>
        <v/>
      </c>
      <c r="M301" s="17">
        <f>SUMIFS(Source_Evolution!$M$3:$M$731,Source_Evolution!$A$3:$A$731,$A301)</f>
        <v/>
      </c>
      <c r="N301" s="17">
        <f>SUMIFS(Source_Evolution!$N$3:$N$731,Source_Evolution!$A$3:$A$731,$A301)</f>
        <v/>
      </c>
      <c r="O301" s="17">
        <f>SUMIFS(Source_Evolution!$O$3:$O$731,Source_Evolution!$A$3:$A$731,$A301)</f>
        <v/>
      </c>
      <c r="P301" s="17">
        <f>SUMIFS(Source_Evolution!$P$3:$P$731,Source_Evolution!$A$3:$A$731,$A301)</f>
        <v/>
      </c>
      <c r="Q301" s="17">
        <f>SUMIFS(Source_Evolution!$Q$3:$Q$731,Source_Evolution!$A$3:$A$731,$A301)</f>
        <v/>
      </c>
      <c r="R301" s="17">
        <f>SUM(E301:Q301)</f>
        <v/>
      </c>
      <c r="S301" s="17">
        <f>Q301</f>
        <v/>
      </c>
      <c r="T301">
        <f>IF(B301="Software",1,0)</f>
        <v/>
      </c>
      <c r="U301" s="18">
        <f>SUMPRODUCT((Source_Evolution!$A$3:$A$731=$A301)*(Source_Evolution!$E$3:$E$731&gt;0))</f>
        <v/>
      </c>
      <c r="V301" s="18">
        <f>SUMPRODUCT((Source_Evolution!$A$3:$A$731=$A301)*(Source_Evolution!$F$3:$F$731&gt;0))</f>
        <v/>
      </c>
      <c r="W301" s="18">
        <f>SUMPRODUCT((Source_Evolution!$A$3:$A$731=$A301)*(Source_Evolution!$G$3:$G$731&gt;0))</f>
        <v/>
      </c>
      <c r="X301" s="18">
        <f>SUMPRODUCT((Source_Evolution!$A$3:$A$731=$A301)*(Source_Evolution!$H$3:$H$731&gt;0))</f>
        <v/>
      </c>
      <c r="Y301" s="18">
        <f>SUMPRODUCT((Source_Evolution!$A$3:$A$731=$A301)*(Source_Evolution!$I$3:$I$731&gt;0))</f>
        <v/>
      </c>
      <c r="Z301" s="18">
        <f>SUMPRODUCT((Source_Evolution!$A$3:$A$731=$A301)*(Source_Evolution!$J$3:$J$731&gt;0))</f>
        <v/>
      </c>
      <c r="AA301" s="18">
        <f>SUMPRODUCT((Source_Evolution!$A$3:$A$731=$A301)*(Source_Evolution!$K$3:$K$731&gt;0))</f>
        <v/>
      </c>
      <c r="AB301" s="18">
        <f>SUMPRODUCT((Source_Evolution!$A$3:$A$731=$A301)*(Source_Evolution!$L$3:$L$731&gt;0))</f>
        <v/>
      </c>
      <c r="AC301" s="18">
        <f>SUMPRODUCT((Source_Evolution!$A$3:$A$731=$A301)*(Source_Evolution!$M$3:$M$731&gt;0))</f>
        <v/>
      </c>
      <c r="AD301" s="18">
        <f>SUMPRODUCT((Source_Evolution!$A$3:$A$731=$A301)*(Source_Evolution!$N$3:$N$731&gt;0))</f>
        <v/>
      </c>
      <c r="AE301" s="18">
        <f>SUMPRODUCT((Source_Evolution!$A$3:$A$731=$A301)*(Source_Evolution!$O$3:$O$731&gt;0))</f>
        <v/>
      </c>
      <c r="AF301" s="18">
        <f>SUMPRODUCT((Source_Evolution!$A$3:$A$731=$A301)*(Source_Evolution!$P$3:$P$731&gt;0))</f>
        <v/>
      </c>
      <c r="AG301" s="18">
        <f>SUMPRODUCT((Source_Evolution!$A$3:$A$731=$A301)*(Source_Evolution!$Q$3:$Q$731&gt;0))</f>
        <v/>
      </c>
    </row>
    <row r="302">
      <c r="A302" t="inlineStr">
        <is>
          <t>Company 372</t>
        </is>
      </c>
      <c r="B302" t="inlineStr">
        <is>
          <t>Software</t>
        </is>
      </c>
      <c r="C302" t="inlineStr">
        <is>
          <t>UK</t>
        </is>
      </c>
      <c r="D302" t="n">
        <v>2014</v>
      </c>
      <c r="E302" s="17">
        <f>SUMIFS(Source_Evolution!$E$3:$E$731,Source_Evolution!$A$3:$A$731,$A302)</f>
        <v/>
      </c>
      <c r="F302" s="17">
        <f>SUMIFS(Source_Evolution!$F$3:$F$731,Source_Evolution!$A$3:$A$731,$A302)</f>
        <v/>
      </c>
      <c r="G302" s="17">
        <f>SUMIFS(Source_Evolution!$G$3:$G$731,Source_Evolution!$A$3:$A$731,$A302)</f>
        <v/>
      </c>
      <c r="H302" s="17">
        <f>SUMIFS(Source_Evolution!$H$3:$H$731,Source_Evolution!$A$3:$A$731,$A302)</f>
        <v/>
      </c>
      <c r="I302" s="17">
        <f>SUMIFS(Source_Evolution!$I$3:$I$731,Source_Evolution!$A$3:$A$731,$A302)</f>
        <v/>
      </c>
      <c r="J302" s="17">
        <f>SUMIFS(Source_Evolution!$J$3:$J$731,Source_Evolution!$A$3:$A$731,$A302)</f>
        <v/>
      </c>
      <c r="K302" s="17">
        <f>SUMIFS(Source_Evolution!$K$3:$K$731,Source_Evolution!$A$3:$A$731,$A302)</f>
        <v/>
      </c>
      <c r="L302" s="17">
        <f>SUMIFS(Source_Evolution!$L$3:$L$731,Source_Evolution!$A$3:$A$731,$A302)</f>
        <v/>
      </c>
      <c r="M302" s="17">
        <f>SUMIFS(Source_Evolution!$M$3:$M$731,Source_Evolution!$A$3:$A$731,$A302)</f>
        <v/>
      </c>
      <c r="N302" s="17">
        <f>SUMIFS(Source_Evolution!$N$3:$N$731,Source_Evolution!$A$3:$A$731,$A302)</f>
        <v/>
      </c>
      <c r="O302" s="17">
        <f>SUMIFS(Source_Evolution!$O$3:$O$731,Source_Evolution!$A$3:$A$731,$A302)</f>
        <v/>
      </c>
      <c r="P302" s="17">
        <f>SUMIFS(Source_Evolution!$P$3:$P$731,Source_Evolution!$A$3:$A$731,$A302)</f>
        <v/>
      </c>
      <c r="Q302" s="17">
        <f>SUMIFS(Source_Evolution!$Q$3:$Q$731,Source_Evolution!$A$3:$A$731,$A302)</f>
        <v/>
      </c>
      <c r="R302" s="17">
        <f>SUM(E302:Q302)</f>
        <v/>
      </c>
      <c r="S302" s="17">
        <f>Q302</f>
        <v/>
      </c>
      <c r="T302">
        <f>IF(B302="Software",1,0)</f>
        <v/>
      </c>
      <c r="U302" s="18">
        <f>SUMPRODUCT((Source_Evolution!$A$3:$A$731=$A302)*(Source_Evolution!$E$3:$E$731&gt;0))</f>
        <v/>
      </c>
      <c r="V302" s="18">
        <f>SUMPRODUCT((Source_Evolution!$A$3:$A$731=$A302)*(Source_Evolution!$F$3:$F$731&gt;0))</f>
        <v/>
      </c>
      <c r="W302" s="18">
        <f>SUMPRODUCT((Source_Evolution!$A$3:$A$731=$A302)*(Source_Evolution!$G$3:$G$731&gt;0))</f>
        <v/>
      </c>
      <c r="X302" s="18">
        <f>SUMPRODUCT((Source_Evolution!$A$3:$A$731=$A302)*(Source_Evolution!$H$3:$H$731&gt;0))</f>
        <v/>
      </c>
      <c r="Y302" s="18">
        <f>SUMPRODUCT((Source_Evolution!$A$3:$A$731=$A302)*(Source_Evolution!$I$3:$I$731&gt;0))</f>
        <v/>
      </c>
      <c r="Z302" s="18">
        <f>SUMPRODUCT((Source_Evolution!$A$3:$A$731=$A302)*(Source_Evolution!$J$3:$J$731&gt;0))</f>
        <v/>
      </c>
      <c r="AA302" s="18">
        <f>SUMPRODUCT((Source_Evolution!$A$3:$A$731=$A302)*(Source_Evolution!$K$3:$K$731&gt;0))</f>
        <v/>
      </c>
      <c r="AB302" s="18">
        <f>SUMPRODUCT((Source_Evolution!$A$3:$A$731=$A302)*(Source_Evolution!$L$3:$L$731&gt;0))</f>
        <v/>
      </c>
      <c r="AC302" s="18">
        <f>SUMPRODUCT((Source_Evolution!$A$3:$A$731=$A302)*(Source_Evolution!$M$3:$M$731&gt;0))</f>
        <v/>
      </c>
      <c r="AD302" s="18">
        <f>SUMPRODUCT((Source_Evolution!$A$3:$A$731=$A302)*(Source_Evolution!$N$3:$N$731&gt;0))</f>
        <v/>
      </c>
      <c r="AE302" s="18">
        <f>SUMPRODUCT((Source_Evolution!$A$3:$A$731=$A302)*(Source_Evolution!$O$3:$O$731&gt;0))</f>
        <v/>
      </c>
      <c r="AF302" s="18">
        <f>SUMPRODUCT((Source_Evolution!$A$3:$A$731=$A302)*(Source_Evolution!$P$3:$P$731&gt;0))</f>
        <v/>
      </c>
      <c r="AG302" s="18">
        <f>SUMPRODUCT((Source_Evolution!$A$3:$A$731=$A302)*(Source_Evolution!$Q$3:$Q$731&gt;0))</f>
        <v/>
      </c>
    </row>
    <row r="303">
      <c r="A303" t="inlineStr">
        <is>
          <t>Company 373</t>
        </is>
      </c>
      <c r="B303" t="inlineStr">
        <is>
          <t>Operations</t>
        </is>
      </c>
      <c r="C303" t="inlineStr">
        <is>
          <t>Germany</t>
        </is>
      </c>
      <c r="D303" t="n">
        <v>2014</v>
      </c>
      <c r="E303" s="17">
        <f>SUMIFS(Source_Evolution!$E$3:$E$731,Source_Evolution!$A$3:$A$731,$A303)</f>
        <v/>
      </c>
      <c r="F303" s="17">
        <f>SUMIFS(Source_Evolution!$F$3:$F$731,Source_Evolution!$A$3:$A$731,$A303)</f>
        <v/>
      </c>
      <c r="G303" s="17">
        <f>SUMIFS(Source_Evolution!$G$3:$G$731,Source_Evolution!$A$3:$A$731,$A303)</f>
        <v/>
      </c>
      <c r="H303" s="17">
        <f>SUMIFS(Source_Evolution!$H$3:$H$731,Source_Evolution!$A$3:$A$731,$A303)</f>
        <v/>
      </c>
      <c r="I303" s="17">
        <f>SUMIFS(Source_Evolution!$I$3:$I$731,Source_Evolution!$A$3:$A$731,$A303)</f>
        <v/>
      </c>
      <c r="J303" s="17">
        <f>SUMIFS(Source_Evolution!$J$3:$J$731,Source_Evolution!$A$3:$A$731,$A303)</f>
        <v/>
      </c>
      <c r="K303" s="17">
        <f>SUMIFS(Source_Evolution!$K$3:$K$731,Source_Evolution!$A$3:$A$731,$A303)</f>
        <v/>
      </c>
      <c r="L303" s="17">
        <f>SUMIFS(Source_Evolution!$L$3:$L$731,Source_Evolution!$A$3:$A$731,$A303)</f>
        <v/>
      </c>
      <c r="M303" s="17">
        <f>SUMIFS(Source_Evolution!$M$3:$M$731,Source_Evolution!$A$3:$A$731,$A303)</f>
        <v/>
      </c>
      <c r="N303" s="17">
        <f>SUMIFS(Source_Evolution!$N$3:$N$731,Source_Evolution!$A$3:$A$731,$A303)</f>
        <v/>
      </c>
      <c r="O303" s="17">
        <f>SUMIFS(Source_Evolution!$O$3:$O$731,Source_Evolution!$A$3:$A$731,$A303)</f>
        <v/>
      </c>
      <c r="P303" s="17">
        <f>SUMIFS(Source_Evolution!$P$3:$P$731,Source_Evolution!$A$3:$A$731,$A303)</f>
        <v/>
      </c>
      <c r="Q303" s="17">
        <f>SUMIFS(Source_Evolution!$Q$3:$Q$731,Source_Evolution!$A$3:$A$731,$A303)</f>
        <v/>
      </c>
      <c r="R303" s="17">
        <f>SUM(E303:Q303)</f>
        <v/>
      </c>
      <c r="S303" s="17">
        <f>Q303</f>
        <v/>
      </c>
      <c r="T303">
        <f>IF(B303="Software",1,0)</f>
        <v/>
      </c>
      <c r="U303" s="18">
        <f>SUMPRODUCT((Source_Evolution!$A$3:$A$731=$A303)*(Source_Evolution!$E$3:$E$731&gt;0))</f>
        <v/>
      </c>
      <c r="V303" s="18">
        <f>SUMPRODUCT((Source_Evolution!$A$3:$A$731=$A303)*(Source_Evolution!$F$3:$F$731&gt;0))</f>
        <v/>
      </c>
      <c r="W303" s="18">
        <f>SUMPRODUCT((Source_Evolution!$A$3:$A$731=$A303)*(Source_Evolution!$G$3:$G$731&gt;0))</f>
        <v/>
      </c>
      <c r="X303" s="18">
        <f>SUMPRODUCT((Source_Evolution!$A$3:$A$731=$A303)*(Source_Evolution!$H$3:$H$731&gt;0))</f>
        <v/>
      </c>
      <c r="Y303" s="18">
        <f>SUMPRODUCT((Source_Evolution!$A$3:$A$731=$A303)*(Source_Evolution!$I$3:$I$731&gt;0))</f>
        <v/>
      </c>
      <c r="Z303" s="18">
        <f>SUMPRODUCT((Source_Evolution!$A$3:$A$731=$A303)*(Source_Evolution!$J$3:$J$731&gt;0))</f>
        <v/>
      </c>
      <c r="AA303" s="18">
        <f>SUMPRODUCT((Source_Evolution!$A$3:$A$731=$A303)*(Source_Evolution!$K$3:$K$731&gt;0))</f>
        <v/>
      </c>
      <c r="AB303" s="18">
        <f>SUMPRODUCT((Source_Evolution!$A$3:$A$731=$A303)*(Source_Evolution!$L$3:$L$731&gt;0))</f>
        <v/>
      </c>
      <c r="AC303" s="18">
        <f>SUMPRODUCT((Source_Evolution!$A$3:$A$731=$A303)*(Source_Evolution!$M$3:$M$731&gt;0))</f>
        <v/>
      </c>
      <c r="AD303" s="18">
        <f>SUMPRODUCT((Source_Evolution!$A$3:$A$731=$A303)*(Source_Evolution!$N$3:$N$731&gt;0))</f>
        <v/>
      </c>
      <c r="AE303" s="18">
        <f>SUMPRODUCT((Source_Evolution!$A$3:$A$731=$A303)*(Source_Evolution!$O$3:$O$731&gt;0))</f>
        <v/>
      </c>
      <c r="AF303" s="18">
        <f>SUMPRODUCT((Source_Evolution!$A$3:$A$731=$A303)*(Source_Evolution!$P$3:$P$731&gt;0))</f>
        <v/>
      </c>
      <c r="AG303" s="18">
        <f>SUMPRODUCT((Source_Evolution!$A$3:$A$731=$A303)*(Source_Evolution!$Q$3:$Q$731&gt;0))</f>
        <v/>
      </c>
    </row>
    <row r="304">
      <c r="A304" t="inlineStr">
        <is>
          <t>Company 374</t>
        </is>
      </c>
      <c r="B304" t="inlineStr">
        <is>
          <t>Operations</t>
        </is>
      </c>
      <c r="C304" t="inlineStr">
        <is>
          <t>Norway</t>
        </is>
      </c>
      <c r="D304" t="n">
        <v>2026</v>
      </c>
      <c r="E304" s="17">
        <f>SUMIFS(Source_Evolution!$E$3:$E$731,Source_Evolution!$A$3:$A$731,$A304)</f>
        <v/>
      </c>
      <c r="F304" s="17">
        <f>SUMIFS(Source_Evolution!$F$3:$F$731,Source_Evolution!$A$3:$A$731,$A304)</f>
        <v/>
      </c>
      <c r="G304" s="17">
        <f>SUMIFS(Source_Evolution!$G$3:$G$731,Source_Evolution!$A$3:$A$731,$A304)</f>
        <v/>
      </c>
      <c r="H304" s="17">
        <f>SUMIFS(Source_Evolution!$H$3:$H$731,Source_Evolution!$A$3:$A$731,$A304)</f>
        <v/>
      </c>
      <c r="I304" s="17">
        <f>SUMIFS(Source_Evolution!$I$3:$I$731,Source_Evolution!$A$3:$A$731,$A304)</f>
        <v/>
      </c>
      <c r="J304" s="17">
        <f>SUMIFS(Source_Evolution!$J$3:$J$731,Source_Evolution!$A$3:$A$731,$A304)</f>
        <v/>
      </c>
      <c r="K304" s="17">
        <f>SUMIFS(Source_Evolution!$K$3:$K$731,Source_Evolution!$A$3:$A$731,$A304)</f>
        <v/>
      </c>
      <c r="L304" s="17">
        <f>SUMIFS(Source_Evolution!$L$3:$L$731,Source_Evolution!$A$3:$A$731,$A304)</f>
        <v/>
      </c>
      <c r="M304" s="17">
        <f>SUMIFS(Source_Evolution!$M$3:$M$731,Source_Evolution!$A$3:$A$731,$A304)</f>
        <v/>
      </c>
      <c r="N304" s="17">
        <f>SUMIFS(Source_Evolution!$N$3:$N$731,Source_Evolution!$A$3:$A$731,$A304)</f>
        <v/>
      </c>
      <c r="O304" s="17">
        <f>SUMIFS(Source_Evolution!$O$3:$O$731,Source_Evolution!$A$3:$A$731,$A304)</f>
        <v/>
      </c>
      <c r="P304" s="17">
        <f>SUMIFS(Source_Evolution!$P$3:$P$731,Source_Evolution!$A$3:$A$731,$A304)</f>
        <v/>
      </c>
      <c r="Q304" s="17">
        <f>SUMIFS(Source_Evolution!$Q$3:$Q$731,Source_Evolution!$A$3:$A$731,$A304)</f>
        <v/>
      </c>
      <c r="R304" s="17">
        <f>SUM(E304:Q304)</f>
        <v/>
      </c>
      <c r="S304" s="17">
        <f>Q304</f>
        <v/>
      </c>
      <c r="T304">
        <f>IF(B304="Software",1,0)</f>
        <v/>
      </c>
      <c r="U304" s="18">
        <f>SUMPRODUCT((Source_Evolution!$A$3:$A$731=$A304)*(Source_Evolution!$E$3:$E$731&gt;0))</f>
        <v/>
      </c>
      <c r="V304" s="18">
        <f>SUMPRODUCT((Source_Evolution!$A$3:$A$731=$A304)*(Source_Evolution!$F$3:$F$731&gt;0))</f>
        <v/>
      </c>
      <c r="W304" s="18">
        <f>SUMPRODUCT((Source_Evolution!$A$3:$A$731=$A304)*(Source_Evolution!$G$3:$G$731&gt;0))</f>
        <v/>
      </c>
      <c r="X304" s="18">
        <f>SUMPRODUCT((Source_Evolution!$A$3:$A$731=$A304)*(Source_Evolution!$H$3:$H$731&gt;0))</f>
        <v/>
      </c>
      <c r="Y304" s="18">
        <f>SUMPRODUCT((Source_Evolution!$A$3:$A$731=$A304)*(Source_Evolution!$I$3:$I$731&gt;0))</f>
        <v/>
      </c>
      <c r="Z304" s="18">
        <f>SUMPRODUCT((Source_Evolution!$A$3:$A$731=$A304)*(Source_Evolution!$J$3:$J$731&gt;0))</f>
        <v/>
      </c>
      <c r="AA304" s="18">
        <f>SUMPRODUCT((Source_Evolution!$A$3:$A$731=$A304)*(Source_Evolution!$K$3:$K$731&gt;0))</f>
        <v/>
      </c>
      <c r="AB304" s="18">
        <f>SUMPRODUCT((Source_Evolution!$A$3:$A$731=$A304)*(Source_Evolution!$L$3:$L$731&gt;0))</f>
        <v/>
      </c>
      <c r="AC304" s="18">
        <f>SUMPRODUCT((Source_Evolution!$A$3:$A$731=$A304)*(Source_Evolution!$M$3:$M$731&gt;0))</f>
        <v/>
      </c>
      <c r="AD304" s="18">
        <f>SUMPRODUCT((Source_Evolution!$A$3:$A$731=$A304)*(Source_Evolution!$N$3:$N$731&gt;0))</f>
        <v/>
      </c>
      <c r="AE304" s="18">
        <f>SUMPRODUCT((Source_Evolution!$A$3:$A$731=$A304)*(Source_Evolution!$O$3:$O$731&gt;0))</f>
        <v/>
      </c>
      <c r="AF304" s="18">
        <f>SUMPRODUCT((Source_Evolution!$A$3:$A$731=$A304)*(Source_Evolution!$P$3:$P$731&gt;0))</f>
        <v/>
      </c>
      <c r="AG304" s="18">
        <f>SUMPRODUCT((Source_Evolution!$A$3:$A$731=$A304)*(Source_Evolution!$Q$3:$Q$731&gt;0))</f>
        <v/>
      </c>
    </row>
    <row r="305">
      <c r="A305" t="inlineStr">
        <is>
          <t>Company 375</t>
        </is>
      </c>
      <c r="B305" t="inlineStr">
        <is>
          <t>Operations</t>
        </is>
      </c>
      <c r="C305" t="inlineStr">
        <is>
          <t>Italy</t>
        </is>
      </c>
      <c r="D305" t="n">
        <v>2014</v>
      </c>
      <c r="E305" s="17">
        <f>SUMIFS(Source_Evolution!$E$3:$E$731,Source_Evolution!$A$3:$A$731,$A305)</f>
        <v/>
      </c>
      <c r="F305" s="17">
        <f>SUMIFS(Source_Evolution!$F$3:$F$731,Source_Evolution!$A$3:$A$731,$A305)</f>
        <v/>
      </c>
      <c r="G305" s="17">
        <f>SUMIFS(Source_Evolution!$G$3:$G$731,Source_Evolution!$A$3:$A$731,$A305)</f>
        <v/>
      </c>
      <c r="H305" s="17">
        <f>SUMIFS(Source_Evolution!$H$3:$H$731,Source_Evolution!$A$3:$A$731,$A305)</f>
        <v/>
      </c>
      <c r="I305" s="17">
        <f>SUMIFS(Source_Evolution!$I$3:$I$731,Source_Evolution!$A$3:$A$731,$A305)</f>
        <v/>
      </c>
      <c r="J305" s="17">
        <f>SUMIFS(Source_Evolution!$J$3:$J$731,Source_Evolution!$A$3:$A$731,$A305)</f>
        <v/>
      </c>
      <c r="K305" s="17">
        <f>SUMIFS(Source_Evolution!$K$3:$K$731,Source_Evolution!$A$3:$A$731,$A305)</f>
        <v/>
      </c>
      <c r="L305" s="17">
        <f>SUMIFS(Source_Evolution!$L$3:$L$731,Source_Evolution!$A$3:$A$731,$A305)</f>
        <v/>
      </c>
      <c r="M305" s="17">
        <f>SUMIFS(Source_Evolution!$M$3:$M$731,Source_Evolution!$A$3:$A$731,$A305)</f>
        <v/>
      </c>
      <c r="N305" s="17">
        <f>SUMIFS(Source_Evolution!$N$3:$N$731,Source_Evolution!$A$3:$A$731,$A305)</f>
        <v/>
      </c>
      <c r="O305" s="17">
        <f>SUMIFS(Source_Evolution!$O$3:$O$731,Source_Evolution!$A$3:$A$731,$A305)</f>
        <v/>
      </c>
      <c r="P305" s="17">
        <f>SUMIFS(Source_Evolution!$P$3:$P$731,Source_Evolution!$A$3:$A$731,$A305)</f>
        <v/>
      </c>
      <c r="Q305" s="17">
        <f>SUMIFS(Source_Evolution!$Q$3:$Q$731,Source_Evolution!$A$3:$A$731,$A305)</f>
        <v/>
      </c>
      <c r="R305" s="17">
        <f>SUM(E305:Q305)</f>
        <v/>
      </c>
      <c r="S305" s="17">
        <f>Q305</f>
        <v/>
      </c>
      <c r="T305">
        <f>IF(B305="Software",1,0)</f>
        <v/>
      </c>
      <c r="U305" s="18">
        <f>SUMPRODUCT((Source_Evolution!$A$3:$A$731=$A305)*(Source_Evolution!$E$3:$E$731&gt;0))</f>
        <v/>
      </c>
      <c r="V305" s="18">
        <f>SUMPRODUCT((Source_Evolution!$A$3:$A$731=$A305)*(Source_Evolution!$F$3:$F$731&gt;0))</f>
        <v/>
      </c>
      <c r="W305" s="18">
        <f>SUMPRODUCT((Source_Evolution!$A$3:$A$731=$A305)*(Source_Evolution!$G$3:$G$731&gt;0))</f>
        <v/>
      </c>
      <c r="X305" s="18">
        <f>SUMPRODUCT((Source_Evolution!$A$3:$A$731=$A305)*(Source_Evolution!$H$3:$H$731&gt;0))</f>
        <v/>
      </c>
      <c r="Y305" s="18">
        <f>SUMPRODUCT((Source_Evolution!$A$3:$A$731=$A305)*(Source_Evolution!$I$3:$I$731&gt;0))</f>
        <v/>
      </c>
      <c r="Z305" s="18">
        <f>SUMPRODUCT((Source_Evolution!$A$3:$A$731=$A305)*(Source_Evolution!$J$3:$J$731&gt;0))</f>
        <v/>
      </c>
      <c r="AA305" s="18">
        <f>SUMPRODUCT((Source_Evolution!$A$3:$A$731=$A305)*(Source_Evolution!$K$3:$K$731&gt;0))</f>
        <v/>
      </c>
      <c r="AB305" s="18">
        <f>SUMPRODUCT((Source_Evolution!$A$3:$A$731=$A305)*(Source_Evolution!$L$3:$L$731&gt;0))</f>
        <v/>
      </c>
      <c r="AC305" s="18">
        <f>SUMPRODUCT((Source_Evolution!$A$3:$A$731=$A305)*(Source_Evolution!$M$3:$M$731&gt;0))</f>
        <v/>
      </c>
      <c r="AD305" s="18">
        <f>SUMPRODUCT((Source_Evolution!$A$3:$A$731=$A305)*(Source_Evolution!$N$3:$N$731&gt;0))</f>
        <v/>
      </c>
      <c r="AE305" s="18">
        <f>SUMPRODUCT((Source_Evolution!$A$3:$A$731=$A305)*(Source_Evolution!$O$3:$O$731&gt;0))</f>
        <v/>
      </c>
      <c r="AF305" s="18">
        <f>SUMPRODUCT((Source_Evolution!$A$3:$A$731=$A305)*(Source_Evolution!$P$3:$P$731&gt;0))</f>
        <v/>
      </c>
      <c r="AG305" s="18">
        <f>SUMPRODUCT((Source_Evolution!$A$3:$A$731=$A305)*(Source_Evolution!$Q$3:$Q$731&gt;0))</f>
        <v/>
      </c>
    </row>
    <row r="306">
      <c r="A306" t="inlineStr">
        <is>
          <t>Company 379</t>
        </is>
      </c>
      <c r="B306" t="inlineStr">
        <is>
          <t>Software</t>
        </is>
      </c>
      <c r="C306" t="inlineStr">
        <is>
          <t>UK</t>
        </is>
      </c>
      <c r="D306" t="n">
        <v>2015</v>
      </c>
      <c r="E306" s="17">
        <f>SUMIFS(Source_Evolution!$E$3:$E$731,Source_Evolution!$A$3:$A$731,$A306)</f>
        <v/>
      </c>
      <c r="F306" s="17">
        <f>SUMIFS(Source_Evolution!$F$3:$F$731,Source_Evolution!$A$3:$A$731,$A306)</f>
        <v/>
      </c>
      <c r="G306" s="17">
        <f>SUMIFS(Source_Evolution!$G$3:$G$731,Source_Evolution!$A$3:$A$731,$A306)</f>
        <v/>
      </c>
      <c r="H306" s="17">
        <f>SUMIFS(Source_Evolution!$H$3:$H$731,Source_Evolution!$A$3:$A$731,$A306)</f>
        <v/>
      </c>
      <c r="I306" s="17">
        <f>SUMIFS(Source_Evolution!$I$3:$I$731,Source_Evolution!$A$3:$A$731,$A306)</f>
        <v/>
      </c>
      <c r="J306" s="17">
        <f>SUMIFS(Source_Evolution!$J$3:$J$731,Source_Evolution!$A$3:$A$731,$A306)</f>
        <v/>
      </c>
      <c r="K306" s="17">
        <f>SUMIFS(Source_Evolution!$K$3:$K$731,Source_Evolution!$A$3:$A$731,$A306)</f>
        <v/>
      </c>
      <c r="L306" s="17">
        <f>SUMIFS(Source_Evolution!$L$3:$L$731,Source_Evolution!$A$3:$A$731,$A306)</f>
        <v/>
      </c>
      <c r="M306" s="17">
        <f>SUMIFS(Source_Evolution!$M$3:$M$731,Source_Evolution!$A$3:$A$731,$A306)</f>
        <v/>
      </c>
      <c r="N306" s="17">
        <f>SUMIFS(Source_Evolution!$N$3:$N$731,Source_Evolution!$A$3:$A$731,$A306)</f>
        <v/>
      </c>
      <c r="O306" s="17">
        <f>SUMIFS(Source_Evolution!$O$3:$O$731,Source_Evolution!$A$3:$A$731,$A306)</f>
        <v/>
      </c>
      <c r="P306" s="17">
        <f>SUMIFS(Source_Evolution!$P$3:$P$731,Source_Evolution!$A$3:$A$731,$A306)</f>
        <v/>
      </c>
      <c r="Q306" s="17">
        <f>SUMIFS(Source_Evolution!$Q$3:$Q$731,Source_Evolution!$A$3:$A$731,$A306)</f>
        <v/>
      </c>
      <c r="R306" s="17">
        <f>SUM(E306:Q306)</f>
        <v/>
      </c>
      <c r="S306" s="17">
        <f>Q306</f>
        <v/>
      </c>
      <c r="T306">
        <f>IF(B306="Software",1,0)</f>
        <v/>
      </c>
      <c r="U306" s="18">
        <f>SUMPRODUCT((Source_Evolution!$A$3:$A$731=$A306)*(Source_Evolution!$E$3:$E$731&gt;0))</f>
        <v/>
      </c>
      <c r="V306" s="18">
        <f>SUMPRODUCT((Source_Evolution!$A$3:$A$731=$A306)*(Source_Evolution!$F$3:$F$731&gt;0))</f>
        <v/>
      </c>
      <c r="W306" s="18">
        <f>SUMPRODUCT((Source_Evolution!$A$3:$A$731=$A306)*(Source_Evolution!$G$3:$G$731&gt;0))</f>
        <v/>
      </c>
      <c r="X306" s="18">
        <f>SUMPRODUCT((Source_Evolution!$A$3:$A$731=$A306)*(Source_Evolution!$H$3:$H$731&gt;0))</f>
        <v/>
      </c>
      <c r="Y306" s="18">
        <f>SUMPRODUCT((Source_Evolution!$A$3:$A$731=$A306)*(Source_Evolution!$I$3:$I$731&gt;0))</f>
        <v/>
      </c>
      <c r="Z306" s="18">
        <f>SUMPRODUCT((Source_Evolution!$A$3:$A$731=$A306)*(Source_Evolution!$J$3:$J$731&gt;0))</f>
        <v/>
      </c>
      <c r="AA306" s="18">
        <f>SUMPRODUCT((Source_Evolution!$A$3:$A$731=$A306)*(Source_Evolution!$K$3:$K$731&gt;0))</f>
        <v/>
      </c>
      <c r="AB306" s="18">
        <f>SUMPRODUCT((Source_Evolution!$A$3:$A$731=$A306)*(Source_Evolution!$L$3:$L$731&gt;0))</f>
        <v/>
      </c>
      <c r="AC306" s="18">
        <f>SUMPRODUCT((Source_Evolution!$A$3:$A$731=$A306)*(Source_Evolution!$M$3:$M$731&gt;0))</f>
        <v/>
      </c>
      <c r="AD306" s="18">
        <f>SUMPRODUCT((Source_Evolution!$A$3:$A$731=$A306)*(Source_Evolution!$N$3:$N$731&gt;0))</f>
        <v/>
      </c>
      <c r="AE306" s="18">
        <f>SUMPRODUCT((Source_Evolution!$A$3:$A$731=$A306)*(Source_Evolution!$O$3:$O$731&gt;0))</f>
        <v/>
      </c>
      <c r="AF306" s="18">
        <f>SUMPRODUCT((Source_Evolution!$A$3:$A$731=$A306)*(Source_Evolution!$P$3:$P$731&gt;0))</f>
        <v/>
      </c>
      <c r="AG306" s="18">
        <f>SUMPRODUCT((Source_Evolution!$A$3:$A$731=$A306)*(Source_Evolution!$Q$3:$Q$731&gt;0))</f>
        <v/>
      </c>
    </row>
    <row r="307">
      <c r="A307" t="inlineStr">
        <is>
          <t>Company 38</t>
        </is>
      </c>
      <c r="B307" t="inlineStr">
        <is>
          <t>Software</t>
        </is>
      </c>
      <c r="C307" t="inlineStr">
        <is>
          <t>UK</t>
        </is>
      </c>
      <c r="D307" t="n">
        <v>2016</v>
      </c>
      <c r="E307" s="17">
        <f>SUMIFS(Source_Evolution!$E$3:$E$731,Source_Evolution!$A$3:$A$731,$A307)</f>
        <v/>
      </c>
      <c r="F307" s="17">
        <f>SUMIFS(Source_Evolution!$F$3:$F$731,Source_Evolution!$A$3:$A$731,$A307)</f>
        <v/>
      </c>
      <c r="G307" s="17">
        <f>SUMIFS(Source_Evolution!$G$3:$G$731,Source_Evolution!$A$3:$A$731,$A307)</f>
        <v/>
      </c>
      <c r="H307" s="17">
        <f>SUMIFS(Source_Evolution!$H$3:$H$731,Source_Evolution!$A$3:$A$731,$A307)</f>
        <v/>
      </c>
      <c r="I307" s="17">
        <f>SUMIFS(Source_Evolution!$I$3:$I$731,Source_Evolution!$A$3:$A$731,$A307)</f>
        <v/>
      </c>
      <c r="J307" s="17">
        <f>SUMIFS(Source_Evolution!$J$3:$J$731,Source_Evolution!$A$3:$A$731,$A307)</f>
        <v/>
      </c>
      <c r="K307" s="17">
        <f>SUMIFS(Source_Evolution!$K$3:$K$731,Source_Evolution!$A$3:$A$731,$A307)</f>
        <v/>
      </c>
      <c r="L307" s="17">
        <f>SUMIFS(Source_Evolution!$L$3:$L$731,Source_Evolution!$A$3:$A$731,$A307)</f>
        <v/>
      </c>
      <c r="M307" s="17">
        <f>SUMIFS(Source_Evolution!$M$3:$M$731,Source_Evolution!$A$3:$A$731,$A307)</f>
        <v/>
      </c>
      <c r="N307" s="17">
        <f>SUMIFS(Source_Evolution!$N$3:$N$731,Source_Evolution!$A$3:$A$731,$A307)</f>
        <v/>
      </c>
      <c r="O307" s="17">
        <f>SUMIFS(Source_Evolution!$O$3:$O$731,Source_Evolution!$A$3:$A$731,$A307)</f>
        <v/>
      </c>
      <c r="P307" s="17">
        <f>SUMIFS(Source_Evolution!$P$3:$P$731,Source_Evolution!$A$3:$A$731,$A307)</f>
        <v/>
      </c>
      <c r="Q307" s="17">
        <f>SUMIFS(Source_Evolution!$Q$3:$Q$731,Source_Evolution!$A$3:$A$731,$A307)</f>
        <v/>
      </c>
      <c r="R307" s="17">
        <f>SUM(E307:Q307)</f>
        <v/>
      </c>
      <c r="S307" s="17">
        <f>Q307</f>
        <v/>
      </c>
      <c r="T307">
        <f>IF(B307="Software",1,0)</f>
        <v/>
      </c>
      <c r="U307" s="18">
        <f>SUMPRODUCT((Source_Evolution!$A$3:$A$731=$A307)*(Source_Evolution!$E$3:$E$731&gt;0))</f>
        <v/>
      </c>
      <c r="V307" s="18">
        <f>SUMPRODUCT((Source_Evolution!$A$3:$A$731=$A307)*(Source_Evolution!$F$3:$F$731&gt;0))</f>
        <v/>
      </c>
      <c r="W307" s="18">
        <f>SUMPRODUCT((Source_Evolution!$A$3:$A$731=$A307)*(Source_Evolution!$G$3:$G$731&gt;0))</f>
        <v/>
      </c>
      <c r="X307" s="18">
        <f>SUMPRODUCT((Source_Evolution!$A$3:$A$731=$A307)*(Source_Evolution!$H$3:$H$731&gt;0))</f>
        <v/>
      </c>
      <c r="Y307" s="18">
        <f>SUMPRODUCT((Source_Evolution!$A$3:$A$731=$A307)*(Source_Evolution!$I$3:$I$731&gt;0))</f>
        <v/>
      </c>
      <c r="Z307" s="18">
        <f>SUMPRODUCT((Source_Evolution!$A$3:$A$731=$A307)*(Source_Evolution!$J$3:$J$731&gt;0))</f>
        <v/>
      </c>
      <c r="AA307" s="18">
        <f>SUMPRODUCT((Source_Evolution!$A$3:$A$731=$A307)*(Source_Evolution!$K$3:$K$731&gt;0))</f>
        <v/>
      </c>
      <c r="AB307" s="18">
        <f>SUMPRODUCT((Source_Evolution!$A$3:$A$731=$A307)*(Source_Evolution!$L$3:$L$731&gt;0))</f>
        <v/>
      </c>
      <c r="AC307" s="18">
        <f>SUMPRODUCT((Source_Evolution!$A$3:$A$731=$A307)*(Source_Evolution!$M$3:$M$731&gt;0))</f>
        <v/>
      </c>
      <c r="AD307" s="18">
        <f>SUMPRODUCT((Source_Evolution!$A$3:$A$731=$A307)*(Source_Evolution!$N$3:$N$731&gt;0))</f>
        <v/>
      </c>
      <c r="AE307" s="18">
        <f>SUMPRODUCT((Source_Evolution!$A$3:$A$731=$A307)*(Source_Evolution!$O$3:$O$731&gt;0))</f>
        <v/>
      </c>
      <c r="AF307" s="18">
        <f>SUMPRODUCT((Source_Evolution!$A$3:$A$731=$A307)*(Source_Evolution!$P$3:$P$731&gt;0))</f>
        <v/>
      </c>
      <c r="AG307" s="18">
        <f>SUMPRODUCT((Source_Evolution!$A$3:$A$731=$A307)*(Source_Evolution!$Q$3:$Q$731&gt;0))</f>
        <v/>
      </c>
    </row>
    <row r="308">
      <c r="A308" t="inlineStr">
        <is>
          <t>Company 39</t>
        </is>
      </c>
      <c r="B308" t="inlineStr">
        <is>
          <t>Operations</t>
        </is>
      </c>
      <c r="C308" t="inlineStr">
        <is>
          <t>Switzerland</t>
        </is>
      </c>
      <c r="D308" t="n">
        <v>2016</v>
      </c>
      <c r="E308" s="17">
        <f>SUMIFS(Source_Evolution!$E$3:$E$731,Source_Evolution!$A$3:$A$731,$A308)</f>
        <v/>
      </c>
      <c r="F308" s="17">
        <f>SUMIFS(Source_Evolution!$F$3:$F$731,Source_Evolution!$A$3:$A$731,$A308)</f>
        <v/>
      </c>
      <c r="G308" s="17">
        <f>SUMIFS(Source_Evolution!$G$3:$G$731,Source_Evolution!$A$3:$A$731,$A308)</f>
        <v/>
      </c>
      <c r="H308" s="17">
        <f>SUMIFS(Source_Evolution!$H$3:$H$731,Source_Evolution!$A$3:$A$731,$A308)</f>
        <v/>
      </c>
      <c r="I308" s="17">
        <f>SUMIFS(Source_Evolution!$I$3:$I$731,Source_Evolution!$A$3:$A$731,$A308)</f>
        <v/>
      </c>
      <c r="J308" s="17">
        <f>SUMIFS(Source_Evolution!$J$3:$J$731,Source_Evolution!$A$3:$A$731,$A308)</f>
        <v/>
      </c>
      <c r="K308" s="17">
        <f>SUMIFS(Source_Evolution!$K$3:$K$731,Source_Evolution!$A$3:$A$731,$A308)</f>
        <v/>
      </c>
      <c r="L308" s="17">
        <f>SUMIFS(Source_Evolution!$L$3:$L$731,Source_Evolution!$A$3:$A$731,$A308)</f>
        <v/>
      </c>
      <c r="M308" s="17">
        <f>SUMIFS(Source_Evolution!$M$3:$M$731,Source_Evolution!$A$3:$A$731,$A308)</f>
        <v/>
      </c>
      <c r="N308" s="17">
        <f>SUMIFS(Source_Evolution!$N$3:$N$731,Source_Evolution!$A$3:$A$731,$A308)</f>
        <v/>
      </c>
      <c r="O308" s="17">
        <f>SUMIFS(Source_Evolution!$O$3:$O$731,Source_Evolution!$A$3:$A$731,$A308)</f>
        <v/>
      </c>
      <c r="P308" s="17">
        <f>SUMIFS(Source_Evolution!$P$3:$P$731,Source_Evolution!$A$3:$A$731,$A308)</f>
        <v/>
      </c>
      <c r="Q308" s="17">
        <f>SUMIFS(Source_Evolution!$Q$3:$Q$731,Source_Evolution!$A$3:$A$731,$A308)</f>
        <v/>
      </c>
      <c r="R308" s="17">
        <f>SUM(E308:Q308)</f>
        <v/>
      </c>
      <c r="S308" s="17">
        <f>Q308</f>
        <v/>
      </c>
      <c r="T308">
        <f>IF(B308="Software",1,0)</f>
        <v/>
      </c>
      <c r="U308" s="18">
        <f>SUMPRODUCT((Source_Evolution!$A$3:$A$731=$A308)*(Source_Evolution!$E$3:$E$731&gt;0))</f>
        <v/>
      </c>
      <c r="V308" s="18">
        <f>SUMPRODUCT((Source_Evolution!$A$3:$A$731=$A308)*(Source_Evolution!$F$3:$F$731&gt;0))</f>
        <v/>
      </c>
      <c r="W308" s="18">
        <f>SUMPRODUCT((Source_Evolution!$A$3:$A$731=$A308)*(Source_Evolution!$G$3:$G$731&gt;0))</f>
        <v/>
      </c>
      <c r="X308" s="18">
        <f>SUMPRODUCT((Source_Evolution!$A$3:$A$731=$A308)*(Source_Evolution!$H$3:$H$731&gt;0))</f>
        <v/>
      </c>
      <c r="Y308" s="18">
        <f>SUMPRODUCT((Source_Evolution!$A$3:$A$731=$A308)*(Source_Evolution!$I$3:$I$731&gt;0))</f>
        <v/>
      </c>
      <c r="Z308" s="18">
        <f>SUMPRODUCT((Source_Evolution!$A$3:$A$731=$A308)*(Source_Evolution!$J$3:$J$731&gt;0))</f>
        <v/>
      </c>
      <c r="AA308" s="18">
        <f>SUMPRODUCT((Source_Evolution!$A$3:$A$731=$A308)*(Source_Evolution!$K$3:$K$731&gt;0))</f>
        <v/>
      </c>
      <c r="AB308" s="18">
        <f>SUMPRODUCT((Source_Evolution!$A$3:$A$731=$A308)*(Source_Evolution!$L$3:$L$731&gt;0))</f>
        <v/>
      </c>
      <c r="AC308" s="18">
        <f>SUMPRODUCT((Source_Evolution!$A$3:$A$731=$A308)*(Source_Evolution!$M$3:$M$731&gt;0))</f>
        <v/>
      </c>
      <c r="AD308" s="18">
        <f>SUMPRODUCT((Source_Evolution!$A$3:$A$731=$A308)*(Source_Evolution!$N$3:$N$731&gt;0))</f>
        <v/>
      </c>
      <c r="AE308" s="18">
        <f>SUMPRODUCT((Source_Evolution!$A$3:$A$731=$A308)*(Source_Evolution!$O$3:$O$731&gt;0))</f>
        <v/>
      </c>
      <c r="AF308" s="18">
        <f>SUMPRODUCT((Source_Evolution!$A$3:$A$731=$A308)*(Source_Evolution!$P$3:$P$731&gt;0))</f>
        <v/>
      </c>
      <c r="AG308" s="18">
        <f>SUMPRODUCT((Source_Evolution!$A$3:$A$731=$A308)*(Source_Evolution!$Q$3:$Q$731&gt;0))</f>
        <v/>
      </c>
    </row>
    <row r="309">
      <c r="A309" t="inlineStr">
        <is>
          <t>Company 4</t>
        </is>
      </c>
      <c r="B309" t="inlineStr">
        <is>
          <t>Operations</t>
        </is>
      </c>
      <c r="C309" t="inlineStr">
        <is>
          <t>UK</t>
        </is>
      </c>
      <c r="D309" t="n">
        <v>2014</v>
      </c>
      <c r="E309" s="17">
        <f>SUMIFS(Source_Evolution!$E$3:$E$731,Source_Evolution!$A$3:$A$731,$A309)</f>
        <v/>
      </c>
      <c r="F309" s="17">
        <f>SUMIFS(Source_Evolution!$F$3:$F$731,Source_Evolution!$A$3:$A$731,$A309)</f>
        <v/>
      </c>
      <c r="G309" s="17">
        <f>SUMIFS(Source_Evolution!$G$3:$G$731,Source_Evolution!$A$3:$A$731,$A309)</f>
        <v/>
      </c>
      <c r="H309" s="17">
        <f>SUMIFS(Source_Evolution!$H$3:$H$731,Source_Evolution!$A$3:$A$731,$A309)</f>
        <v/>
      </c>
      <c r="I309" s="17">
        <f>SUMIFS(Source_Evolution!$I$3:$I$731,Source_Evolution!$A$3:$A$731,$A309)</f>
        <v/>
      </c>
      <c r="J309" s="17">
        <f>SUMIFS(Source_Evolution!$J$3:$J$731,Source_Evolution!$A$3:$A$731,$A309)</f>
        <v/>
      </c>
      <c r="K309" s="17">
        <f>SUMIFS(Source_Evolution!$K$3:$K$731,Source_Evolution!$A$3:$A$731,$A309)</f>
        <v/>
      </c>
      <c r="L309" s="17">
        <f>SUMIFS(Source_Evolution!$L$3:$L$731,Source_Evolution!$A$3:$A$731,$A309)</f>
        <v/>
      </c>
      <c r="M309" s="17">
        <f>SUMIFS(Source_Evolution!$M$3:$M$731,Source_Evolution!$A$3:$A$731,$A309)</f>
        <v/>
      </c>
      <c r="N309" s="17">
        <f>SUMIFS(Source_Evolution!$N$3:$N$731,Source_Evolution!$A$3:$A$731,$A309)</f>
        <v/>
      </c>
      <c r="O309" s="17">
        <f>SUMIFS(Source_Evolution!$O$3:$O$731,Source_Evolution!$A$3:$A$731,$A309)</f>
        <v/>
      </c>
      <c r="P309" s="17">
        <f>SUMIFS(Source_Evolution!$P$3:$P$731,Source_Evolution!$A$3:$A$731,$A309)</f>
        <v/>
      </c>
      <c r="Q309" s="17">
        <f>SUMIFS(Source_Evolution!$Q$3:$Q$731,Source_Evolution!$A$3:$A$731,$A309)</f>
        <v/>
      </c>
      <c r="R309" s="17">
        <f>SUM(E309:Q309)</f>
        <v/>
      </c>
      <c r="S309" s="17">
        <f>Q309</f>
        <v/>
      </c>
      <c r="T309">
        <f>IF(B309="Software",1,0)</f>
        <v/>
      </c>
      <c r="U309" s="18">
        <f>SUMPRODUCT((Source_Evolution!$A$3:$A$731=$A309)*(Source_Evolution!$E$3:$E$731&gt;0))</f>
        <v/>
      </c>
      <c r="V309" s="18">
        <f>SUMPRODUCT((Source_Evolution!$A$3:$A$731=$A309)*(Source_Evolution!$F$3:$F$731&gt;0))</f>
        <v/>
      </c>
      <c r="W309" s="18">
        <f>SUMPRODUCT((Source_Evolution!$A$3:$A$731=$A309)*(Source_Evolution!$G$3:$G$731&gt;0))</f>
        <v/>
      </c>
      <c r="X309" s="18">
        <f>SUMPRODUCT((Source_Evolution!$A$3:$A$731=$A309)*(Source_Evolution!$H$3:$H$731&gt;0))</f>
        <v/>
      </c>
      <c r="Y309" s="18">
        <f>SUMPRODUCT((Source_Evolution!$A$3:$A$731=$A309)*(Source_Evolution!$I$3:$I$731&gt;0))</f>
        <v/>
      </c>
      <c r="Z309" s="18">
        <f>SUMPRODUCT((Source_Evolution!$A$3:$A$731=$A309)*(Source_Evolution!$J$3:$J$731&gt;0))</f>
        <v/>
      </c>
      <c r="AA309" s="18">
        <f>SUMPRODUCT((Source_Evolution!$A$3:$A$731=$A309)*(Source_Evolution!$K$3:$K$731&gt;0))</f>
        <v/>
      </c>
      <c r="AB309" s="18">
        <f>SUMPRODUCT((Source_Evolution!$A$3:$A$731=$A309)*(Source_Evolution!$L$3:$L$731&gt;0))</f>
        <v/>
      </c>
      <c r="AC309" s="18">
        <f>SUMPRODUCT((Source_Evolution!$A$3:$A$731=$A309)*(Source_Evolution!$M$3:$M$731&gt;0))</f>
        <v/>
      </c>
      <c r="AD309" s="18">
        <f>SUMPRODUCT((Source_Evolution!$A$3:$A$731=$A309)*(Source_Evolution!$N$3:$N$731&gt;0))</f>
        <v/>
      </c>
      <c r="AE309" s="18">
        <f>SUMPRODUCT((Source_Evolution!$A$3:$A$731=$A309)*(Source_Evolution!$O$3:$O$731&gt;0))</f>
        <v/>
      </c>
      <c r="AF309" s="18">
        <f>SUMPRODUCT((Source_Evolution!$A$3:$A$731=$A309)*(Source_Evolution!$P$3:$P$731&gt;0))</f>
        <v/>
      </c>
      <c r="AG309" s="18">
        <f>SUMPRODUCT((Source_Evolution!$A$3:$A$731=$A309)*(Source_Evolution!$Q$3:$Q$731&gt;0))</f>
        <v/>
      </c>
    </row>
    <row r="310">
      <c r="A310" t="inlineStr">
        <is>
          <t>Company 40</t>
        </is>
      </c>
      <c r="B310" t="inlineStr">
        <is>
          <t>Operations</t>
        </is>
      </c>
      <c r="C310" t="inlineStr">
        <is>
          <t>Germany</t>
        </is>
      </c>
      <c r="D310" t="n">
        <v>2025</v>
      </c>
      <c r="E310" s="17">
        <f>SUMIFS(Source_Evolution!$E$3:$E$731,Source_Evolution!$A$3:$A$731,$A310)</f>
        <v/>
      </c>
      <c r="F310" s="17">
        <f>SUMIFS(Source_Evolution!$F$3:$F$731,Source_Evolution!$A$3:$A$731,$A310)</f>
        <v/>
      </c>
      <c r="G310" s="17">
        <f>SUMIFS(Source_Evolution!$G$3:$G$731,Source_Evolution!$A$3:$A$731,$A310)</f>
        <v/>
      </c>
      <c r="H310" s="17">
        <f>SUMIFS(Source_Evolution!$H$3:$H$731,Source_Evolution!$A$3:$A$731,$A310)</f>
        <v/>
      </c>
      <c r="I310" s="17">
        <f>SUMIFS(Source_Evolution!$I$3:$I$731,Source_Evolution!$A$3:$A$731,$A310)</f>
        <v/>
      </c>
      <c r="J310" s="17">
        <f>SUMIFS(Source_Evolution!$J$3:$J$731,Source_Evolution!$A$3:$A$731,$A310)</f>
        <v/>
      </c>
      <c r="K310" s="17">
        <f>SUMIFS(Source_Evolution!$K$3:$K$731,Source_Evolution!$A$3:$A$731,$A310)</f>
        <v/>
      </c>
      <c r="L310" s="17">
        <f>SUMIFS(Source_Evolution!$L$3:$L$731,Source_Evolution!$A$3:$A$731,$A310)</f>
        <v/>
      </c>
      <c r="M310" s="17">
        <f>SUMIFS(Source_Evolution!$M$3:$M$731,Source_Evolution!$A$3:$A$731,$A310)</f>
        <v/>
      </c>
      <c r="N310" s="17">
        <f>SUMIFS(Source_Evolution!$N$3:$N$731,Source_Evolution!$A$3:$A$731,$A310)</f>
        <v/>
      </c>
      <c r="O310" s="17">
        <f>SUMIFS(Source_Evolution!$O$3:$O$731,Source_Evolution!$A$3:$A$731,$A310)</f>
        <v/>
      </c>
      <c r="P310" s="17">
        <f>SUMIFS(Source_Evolution!$P$3:$P$731,Source_Evolution!$A$3:$A$731,$A310)</f>
        <v/>
      </c>
      <c r="Q310" s="17">
        <f>SUMIFS(Source_Evolution!$Q$3:$Q$731,Source_Evolution!$A$3:$A$731,$A310)</f>
        <v/>
      </c>
      <c r="R310" s="17">
        <f>SUM(E310:Q310)</f>
        <v/>
      </c>
      <c r="S310" s="17">
        <f>Q310</f>
        <v/>
      </c>
      <c r="T310">
        <f>IF(B310="Software",1,0)</f>
        <v/>
      </c>
      <c r="U310" s="18">
        <f>SUMPRODUCT((Source_Evolution!$A$3:$A$731=$A310)*(Source_Evolution!$E$3:$E$731&gt;0))</f>
        <v/>
      </c>
      <c r="V310" s="18">
        <f>SUMPRODUCT((Source_Evolution!$A$3:$A$731=$A310)*(Source_Evolution!$F$3:$F$731&gt;0))</f>
        <v/>
      </c>
      <c r="W310" s="18">
        <f>SUMPRODUCT((Source_Evolution!$A$3:$A$731=$A310)*(Source_Evolution!$G$3:$G$731&gt;0))</f>
        <v/>
      </c>
      <c r="X310" s="18">
        <f>SUMPRODUCT((Source_Evolution!$A$3:$A$731=$A310)*(Source_Evolution!$H$3:$H$731&gt;0))</f>
        <v/>
      </c>
      <c r="Y310" s="18">
        <f>SUMPRODUCT((Source_Evolution!$A$3:$A$731=$A310)*(Source_Evolution!$I$3:$I$731&gt;0))</f>
        <v/>
      </c>
      <c r="Z310" s="18">
        <f>SUMPRODUCT((Source_Evolution!$A$3:$A$731=$A310)*(Source_Evolution!$J$3:$J$731&gt;0))</f>
        <v/>
      </c>
      <c r="AA310" s="18">
        <f>SUMPRODUCT((Source_Evolution!$A$3:$A$731=$A310)*(Source_Evolution!$K$3:$K$731&gt;0))</f>
        <v/>
      </c>
      <c r="AB310" s="18">
        <f>SUMPRODUCT((Source_Evolution!$A$3:$A$731=$A310)*(Source_Evolution!$L$3:$L$731&gt;0))</f>
        <v/>
      </c>
      <c r="AC310" s="18">
        <f>SUMPRODUCT((Source_Evolution!$A$3:$A$731=$A310)*(Source_Evolution!$M$3:$M$731&gt;0))</f>
        <v/>
      </c>
      <c r="AD310" s="18">
        <f>SUMPRODUCT((Source_Evolution!$A$3:$A$731=$A310)*(Source_Evolution!$N$3:$N$731&gt;0))</f>
        <v/>
      </c>
      <c r="AE310" s="18">
        <f>SUMPRODUCT((Source_Evolution!$A$3:$A$731=$A310)*(Source_Evolution!$O$3:$O$731&gt;0))</f>
        <v/>
      </c>
      <c r="AF310" s="18">
        <f>SUMPRODUCT((Source_Evolution!$A$3:$A$731=$A310)*(Source_Evolution!$P$3:$P$731&gt;0))</f>
        <v/>
      </c>
      <c r="AG310" s="18">
        <f>SUMPRODUCT((Source_Evolution!$A$3:$A$731=$A310)*(Source_Evolution!$Q$3:$Q$731&gt;0))</f>
        <v/>
      </c>
    </row>
    <row r="311">
      <c r="A311" t="inlineStr">
        <is>
          <t>Company 41</t>
        </is>
      </c>
      <c r="B311" t="inlineStr">
        <is>
          <t>Operations</t>
        </is>
      </c>
      <c r="C311" t="inlineStr">
        <is>
          <t>UK</t>
        </is>
      </c>
      <c r="D311" t="n">
        <v>2017</v>
      </c>
      <c r="E311" s="17">
        <f>SUMIFS(Source_Evolution!$E$3:$E$731,Source_Evolution!$A$3:$A$731,$A311)</f>
        <v/>
      </c>
      <c r="F311" s="17">
        <f>SUMIFS(Source_Evolution!$F$3:$F$731,Source_Evolution!$A$3:$A$731,$A311)</f>
        <v/>
      </c>
      <c r="G311" s="17">
        <f>SUMIFS(Source_Evolution!$G$3:$G$731,Source_Evolution!$A$3:$A$731,$A311)</f>
        <v/>
      </c>
      <c r="H311" s="17">
        <f>SUMIFS(Source_Evolution!$H$3:$H$731,Source_Evolution!$A$3:$A$731,$A311)</f>
        <v/>
      </c>
      <c r="I311" s="17">
        <f>SUMIFS(Source_Evolution!$I$3:$I$731,Source_Evolution!$A$3:$A$731,$A311)</f>
        <v/>
      </c>
      <c r="J311" s="17">
        <f>SUMIFS(Source_Evolution!$J$3:$J$731,Source_Evolution!$A$3:$A$731,$A311)</f>
        <v/>
      </c>
      <c r="K311" s="17">
        <f>SUMIFS(Source_Evolution!$K$3:$K$731,Source_Evolution!$A$3:$A$731,$A311)</f>
        <v/>
      </c>
      <c r="L311" s="17">
        <f>SUMIFS(Source_Evolution!$L$3:$L$731,Source_Evolution!$A$3:$A$731,$A311)</f>
        <v/>
      </c>
      <c r="M311" s="17">
        <f>SUMIFS(Source_Evolution!$M$3:$M$731,Source_Evolution!$A$3:$A$731,$A311)</f>
        <v/>
      </c>
      <c r="N311" s="17">
        <f>SUMIFS(Source_Evolution!$N$3:$N$731,Source_Evolution!$A$3:$A$731,$A311)</f>
        <v/>
      </c>
      <c r="O311" s="17">
        <f>SUMIFS(Source_Evolution!$O$3:$O$731,Source_Evolution!$A$3:$A$731,$A311)</f>
        <v/>
      </c>
      <c r="P311" s="17">
        <f>SUMIFS(Source_Evolution!$P$3:$P$731,Source_Evolution!$A$3:$A$731,$A311)</f>
        <v/>
      </c>
      <c r="Q311" s="17">
        <f>SUMIFS(Source_Evolution!$Q$3:$Q$731,Source_Evolution!$A$3:$A$731,$A311)</f>
        <v/>
      </c>
      <c r="R311" s="17">
        <f>SUM(E311:Q311)</f>
        <v/>
      </c>
      <c r="S311" s="17">
        <f>Q311</f>
        <v/>
      </c>
      <c r="T311">
        <f>IF(B311="Software",1,0)</f>
        <v/>
      </c>
      <c r="U311" s="18">
        <f>SUMPRODUCT((Source_Evolution!$A$3:$A$731=$A311)*(Source_Evolution!$E$3:$E$731&gt;0))</f>
        <v/>
      </c>
      <c r="V311" s="18">
        <f>SUMPRODUCT((Source_Evolution!$A$3:$A$731=$A311)*(Source_Evolution!$F$3:$F$731&gt;0))</f>
        <v/>
      </c>
      <c r="W311" s="18">
        <f>SUMPRODUCT((Source_Evolution!$A$3:$A$731=$A311)*(Source_Evolution!$G$3:$G$731&gt;0))</f>
        <v/>
      </c>
      <c r="X311" s="18">
        <f>SUMPRODUCT((Source_Evolution!$A$3:$A$731=$A311)*(Source_Evolution!$H$3:$H$731&gt;0))</f>
        <v/>
      </c>
      <c r="Y311" s="18">
        <f>SUMPRODUCT((Source_Evolution!$A$3:$A$731=$A311)*(Source_Evolution!$I$3:$I$731&gt;0))</f>
        <v/>
      </c>
      <c r="Z311" s="18">
        <f>SUMPRODUCT((Source_Evolution!$A$3:$A$731=$A311)*(Source_Evolution!$J$3:$J$731&gt;0))</f>
        <v/>
      </c>
      <c r="AA311" s="18">
        <f>SUMPRODUCT((Source_Evolution!$A$3:$A$731=$A311)*(Source_Evolution!$K$3:$K$731&gt;0))</f>
        <v/>
      </c>
      <c r="AB311" s="18">
        <f>SUMPRODUCT((Source_Evolution!$A$3:$A$731=$A311)*(Source_Evolution!$L$3:$L$731&gt;0))</f>
        <v/>
      </c>
      <c r="AC311" s="18">
        <f>SUMPRODUCT((Source_Evolution!$A$3:$A$731=$A311)*(Source_Evolution!$M$3:$M$731&gt;0))</f>
        <v/>
      </c>
      <c r="AD311" s="18">
        <f>SUMPRODUCT((Source_Evolution!$A$3:$A$731=$A311)*(Source_Evolution!$N$3:$N$731&gt;0))</f>
        <v/>
      </c>
      <c r="AE311" s="18">
        <f>SUMPRODUCT((Source_Evolution!$A$3:$A$731=$A311)*(Source_Evolution!$O$3:$O$731&gt;0))</f>
        <v/>
      </c>
      <c r="AF311" s="18">
        <f>SUMPRODUCT((Source_Evolution!$A$3:$A$731=$A311)*(Source_Evolution!$P$3:$P$731&gt;0))</f>
        <v/>
      </c>
      <c r="AG311" s="18">
        <f>SUMPRODUCT((Source_Evolution!$A$3:$A$731=$A311)*(Source_Evolution!$Q$3:$Q$731&gt;0))</f>
        <v/>
      </c>
    </row>
    <row r="312">
      <c r="A312" t="inlineStr">
        <is>
          <t>Company 42</t>
        </is>
      </c>
      <c r="B312" t="inlineStr">
        <is>
          <t>Software</t>
        </is>
      </c>
      <c r="C312" t="inlineStr">
        <is>
          <t>Hungary</t>
        </is>
      </c>
      <c r="D312" t="n">
        <v>2017</v>
      </c>
      <c r="E312" s="17">
        <f>SUMIFS(Source_Evolution!$E$3:$E$731,Source_Evolution!$A$3:$A$731,$A312)</f>
        <v/>
      </c>
      <c r="F312" s="17">
        <f>SUMIFS(Source_Evolution!$F$3:$F$731,Source_Evolution!$A$3:$A$731,$A312)</f>
        <v/>
      </c>
      <c r="G312" s="17">
        <f>SUMIFS(Source_Evolution!$G$3:$G$731,Source_Evolution!$A$3:$A$731,$A312)</f>
        <v/>
      </c>
      <c r="H312" s="17">
        <f>SUMIFS(Source_Evolution!$H$3:$H$731,Source_Evolution!$A$3:$A$731,$A312)</f>
        <v/>
      </c>
      <c r="I312" s="17">
        <f>SUMIFS(Source_Evolution!$I$3:$I$731,Source_Evolution!$A$3:$A$731,$A312)</f>
        <v/>
      </c>
      <c r="J312" s="17">
        <f>SUMIFS(Source_Evolution!$J$3:$J$731,Source_Evolution!$A$3:$A$731,$A312)</f>
        <v/>
      </c>
      <c r="K312" s="17">
        <f>SUMIFS(Source_Evolution!$K$3:$K$731,Source_Evolution!$A$3:$A$731,$A312)</f>
        <v/>
      </c>
      <c r="L312" s="17">
        <f>SUMIFS(Source_Evolution!$L$3:$L$731,Source_Evolution!$A$3:$A$731,$A312)</f>
        <v/>
      </c>
      <c r="M312" s="17">
        <f>SUMIFS(Source_Evolution!$M$3:$M$731,Source_Evolution!$A$3:$A$731,$A312)</f>
        <v/>
      </c>
      <c r="N312" s="17">
        <f>SUMIFS(Source_Evolution!$N$3:$N$731,Source_Evolution!$A$3:$A$731,$A312)</f>
        <v/>
      </c>
      <c r="O312" s="17">
        <f>SUMIFS(Source_Evolution!$O$3:$O$731,Source_Evolution!$A$3:$A$731,$A312)</f>
        <v/>
      </c>
      <c r="P312" s="17">
        <f>SUMIFS(Source_Evolution!$P$3:$P$731,Source_Evolution!$A$3:$A$731,$A312)</f>
        <v/>
      </c>
      <c r="Q312" s="17">
        <f>SUMIFS(Source_Evolution!$Q$3:$Q$731,Source_Evolution!$A$3:$A$731,$A312)</f>
        <v/>
      </c>
      <c r="R312" s="17">
        <f>SUM(E312:Q312)</f>
        <v/>
      </c>
      <c r="S312" s="17">
        <f>Q312</f>
        <v/>
      </c>
      <c r="T312">
        <f>IF(B312="Software",1,0)</f>
        <v/>
      </c>
      <c r="U312" s="18">
        <f>SUMPRODUCT((Source_Evolution!$A$3:$A$731=$A312)*(Source_Evolution!$E$3:$E$731&gt;0))</f>
        <v/>
      </c>
      <c r="V312" s="18">
        <f>SUMPRODUCT((Source_Evolution!$A$3:$A$731=$A312)*(Source_Evolution!$F$3:$F$731&gt;0))</f>
        <v/>
      </c>
      <c r="W312" s="18">
        <f>SUMPRODUCT((Source_Evolution!$A$3:$A$731=$A312)*(Source_Evolution!$G$3:$G$731&gt;0))</f>
        <v/>
      </c>
      <c r="X312" s="18">
        <f>SUMPRODUCT((Source_Evolution!$A$3:$A$731=$A312)*(Source_Evolution!$H$3:$H$731&gt;0))</f>
        <v/>
      </c>
      <c r="Y312" s="18">
        <f>SUMPRODUCT((Source_Evolution!$A$3:$A$731=$A312)*(Source_Evolution!$I$3:$I$731&gt;0))</f>
        <v/>
      </c>
      <c r="Z312" s="18">
        <f>SUMPRODUCT((Source_Evolution!$A$3:$A$731=$A312)*(Source_Evolution!$J$3:$J$731&gt;0))</f>
        <v/>
      </c>
      <c r="AA312" s="18">
        <f>SUMPRODUCT((Source_Evolution!$A$3:$A$731=$A312)*(Source_Evolution!$K$3:$K$731&gt;0))</f>
        <v/>
      </c>
      <c r="AB312" s="18">
        <f>SUMPRODUCT((Source_Evolution!$A$3:$A$731=$A312)*(Source_Evolution!$L$3:$L$731&gt;0))</f>
        <v/>
      </c>
      <c r="AC312" s="18">
        <f>SUMPRODUCT((Source_Evolution!$A$3:$A$731=$A312)*(Source_Evolution!$M$3:$M$731&gt;0))</f>
        <v/>
      </c>
      <c r="AD312" s="18">
        <f>SUMPRODUCT((Source_Evolution!$A$3:$A$731=$A312)*(Source_Evolution!$N$3:$N$731&gt;0))</f>
        <v/>
      </c>
      <c r="AE312" s="18">
        <f>SUMPRODUCT((Source_Evolution!$A$3:$A$731=$A312)*(Source_Evolution!$O$3:$O$731&gt;0))</f>
        <v/>
      </c>
      <c r="AF312" s="18">
        <f>SUMPRODUCT((Source_Evolution!$A$3:$A$731=$A312)*(Source_Evolution!$P$3:$P$731&gt;0))</f>
        <v/>
      </c>
      <c r="AG312" s="18">
        <f>SUMPRODUCT((Source_Evolution!$A$3:$A$731=$A312)*(Source_Evolution!$Q$3:$Q$731&gt;0))</f>
        <v/>
      </c>
    </row>
    <row r="313">
      <c r="A313" t="inlineStr">
        <is>
          <t>Company 43</t>
        </is>
      </c>
      <c r="B313" t="inlineStr">
        <is>
          <t>Software</t>
        </is>
      </c>
      <c r="C313" t="inlineStr">
        <is>
          <t>Germany</t>
        </is>
      </c>
      <c r="D313" t="n">
        <v>2017</v>
      </c>
      <c r="E313" s="17">
        <f>SUMIFS(Source_Evolution!$E$3:$E$731,Source_Evolution!$A$3:$A$731,$A313)</f>
        <v/>
      </c>
      <c r="F313" s="17">
        <f>SUMIFS(Source_Evolution!$F$3:$F$731,Source_Evolution!$A$3:$A$731,$A313)</f>
        <v/>
      </c>
      <c r="G313" s="17">
        <f>SUMIFS(Source_Evolution!$G$3:$G$731,Source_Evolution!$A$3:$A$731,$A313)</f>
        <v/>
      </c>
      <c r="H313" s="17">
        <f>SUMIFS(Source_Evolution!$H$3:$H$731,Source_Evolution!$A$3:$A$731,$A313)</f>
        <v/>
      </c>
      <c r="I313" s="17">
        <f>SUMIFS(Source_Evolution!$I$3:$I$731,Source_Evolution!$A$3:$A$731,$A313)</f>
        <v/>
      </c>
      <c r="J313" s="17">
        <f>SUMIFS(Source_Evolution!$J$3:$J$731,Source_Evolution!$A$3:$A$731,$A313)</f>
        <v/>
      </c>
      <c r="K313" s="17">
        <f>SUMIFS(Source_Evolution!$K$3:$K$731,Source_Evolution!$A$3:$A$731,$A313)</f>
        <v/>
      </c>
      <c r="L313" s="17">
        <f>SUMIFS(Source_Evolution!$L$3:$L$731,Source_Evolution!$A$3:$A$731,$A313)</f>
        <v/>
      </c>
      <c r="M313" s="17">
        <f>SUMIFS(Source_Evolution!$M$3:$M$731,Source_Evolution!$A$3:$A$731,$A313)</f>
        <v/>
      </c>
      <c r="N313" s="17">
        <f>SUMIFS(Source_Evolution!$N$3:$N$731,Source_Evolution!$A$3:$A$731,$A313)</f>
        <v/>
      </c>
      <c r="O313" s="17">
        <f>SUMIFS(Source_Evolution!$O$3:$O$731,Source_Evolution!$A$3:$A$731,$A313)</f>
        <v/>
      </c>
      <c r="P313" s="17">
        <f>SUMIFS(Source_Evolution!$P$3:$P$731,Source_Evolution!$A$3:$A$731,$A313)</f>
        <v/>
      </c>
      <c r="Q313" s="17">
        <f>SUMIFS(Source_Evolution!$Q$3:$Q$731,Source_Evolution!$A$3:$A$731,$A313)</f>
        <v/>
      </c>
      <c r="R313" s="17">
        <f>SUM(E313:Q313)</f>
        <v/>
      </c>
      <c r="S313" s="17">
        <f>Q313</f>
        <v/>
      </c>
      <c r="T313">
        <f>IF(B313="Software",1,0)</f>
        <v/>
      </c>
      <c r="U313" s="18">
        <f>SUMPRODUCT((Source_Evolution!$A$3:$A$731=$A313)*(Source_Evolution!$E$3:$E$731&gt;0))</f>
        <v/>
      </c>
      <c r="V313" s="18">
        <f>SUMPRODUCT((Source_Evolution!$A$3:$A$731=$A313)*(Source_Evolution!$F$3:$F$731&gt;0))</f>
        <v/>
      </c>
      <c r="W313" s="18">
        <f>SUMPRODUCT((Source_Evolution!$A$3:$A$731=$A313)*(Source_Evolution!$G$3:$G$731&gt;0))</f>
        <v/>
      </c>
      <c r="X313" s="18">
        <f>SUMPRODUCT((Source_Evolution!$A$3:$A$731=$A313)*(Source_Evolution!$H$3:$H$731&gt;0))</f>
        <v/>
      </c>
      <c r="Y313" s="18">
        <f>SUMPRODUCT((Source_Evolution!$A$3:$A$731=$A313)*(Source_Evolution!$I$3:$I$731&gt;0))</f>
        <v/>
      </c>
      <c r="Z313" s="18">
        <f>SUMPRODUCT((Source_Evolution!$A$3:$A$731=$A313)*(Source_Evolution!$J$3:$J$731&gt;0))</f>
        <v/>
      </c>
      <c r="AA313" s="18">
        <f>SUMPRODUCT((Source_Evolution!$A$3:$A$731=$A313)*(Source_Evolution!$K$3:$K$731&gt;0))</f>
        <v/>
      </c>
      <c r="AB313" s="18">
        <f>SUMPRODUCT((Source_Evolution!$A$3:$A$731=$A313)*(Source_Evolution!$L$3:$L$731&gt;0))</f>
        <v/>
      </c>
      <c r="AC313" s="18">
        <f>SUMPRODUCT((Source_Evolution!$A$3:$A$731=$A313)*(Source_Evolution!$M$3:$M$731&gt;0))</f>
        <v/>
      </c>
      <c r="AD313" s="18">
        <f>SUMPRODUCT((Source_Evolution!$A$3:$A$731=$A313)*(Source_Evolution!$N$3:$N$731&gt;0))</f>
        <v/>
      </c>
      <c r="AE313" s="18">
        <f>SUMPRODUCT((Source_Evolution!$A$3:$A$731=$A313)*(Source_Evolution!$O$3:$O$731&gt;0))</f>
        <v/>
      </c>
      <c r="AF313" s="18">
        <f>SUMPRODUCT((Source_Evolution!$A$3:$A$731=$A313)*(Source_Evolution!$P$3:$P$731&gt;0))</f>
        <v/>
      </c>
      <c r="AG313" s="18">
        <f>SUMPRODUCT((Source_Evolution!$A$3:$A$731=$A313)*(Source_Evolution!$Q$3:$Q$731&gt;0))</f>
        <v/>
      </c>
    </row>
    <row r="314">
      <c r="A314" t="inlineStr">
        <is>
          <t>Company 44</t>
        </is>
      </c>
      <c r="B314" t="inlineStr">
        <is>
          <t>Operations</t>
        </is>
      </c>
      <c r="C314" t="inlineStr">
        <is>
          <t>Spain</t>
        </is>
      </c>
      <c r="D314" t="n">
        <v>2017</v>
      </c>
      <c r="E314" s="17">
        <f>SUMIFS(Source_Evolution!$E$3:$E$731,Source_Evolution!$A$3:$A$731,$A314)</f>
        <v/>
      </c>
      <c r="F314" s="17">
        <f>SUMIFS(Source_Evolution!$F$3:$F$731,Source_Evolution!$A$3:$A$731,$A314)</f>
        <v/>
      </c>
      <c r="G314" s="17">
        <f>SUMIFS(Source_Evolution!$G$3:$G$731,Source_Evolution!$A$3:$A$731,$A314)</f>
        <v/>
      </c>
      <c r="H314" s="17">
        <f>SUMIFS(Source_Evolution!$H$3:$H$731,Source_Evolution!$A$3:$A$731,$A314)</f>
        <v/>
      </c>
      <c r="I314" s="17">
        <f>SUMIFS(Source_Evolution!$I$3:$I$731,Source_Evolution!$A$3:$A$731,$A314)</f>
        <v/>
      </c>
      <c r="J314" s="17">
        <f>SUMIFS(Source_Evolution!$J$3:$J$731,Source_Evolution!$A$3:$A$731,$A314)</f>
        <v/>
      </c>
      <c r="K314" s="17">
        <f>SUMIFS(Source_Evolution!$K$3:$K$731,Source_Evolution!$A$3:$A$731,$A314)</f>
        <v/>
      </c>
      <c r="L314" s="17">
        <f>SUMIFS(Source_Evolution!$L$3:$L$731,Source_Evolution!$A$3:$A$731,$A314)</f>
        <v/>
      </c>
      <c r="M314" s="17">
        <f>SUMIFS(Source_Evolution!$M$3:$M$731,Source_Evolution!$A$3:$A$731,$A314)</f>
        <v/>
      </c>
      <c r="N314" s="17">
        <f>SUMIFS(Source_Evolution!$N$3:$N$731,Source_Evolution!$A$3:$A$731,$A314)</f>
        <v/>
      </c>
      <c r="O314" s="17">
        <f>SUMIFS(Source_Evolution!$O$3:$O$731,Source_Evolution!$A$3:$A$731,$A314)</f>
        <v/>
      </c>
      <c r="P314" s="17">
        <f>SUMIFS(Source_Evolution!$P$3:$P$731,Source_Evolution!$A$3:$A$731,$A314)</f>
        <v/>
      </c>
      <c r="Q314" s="17">
        <f>SUMIFS(Source_Evolution!$Q$3:$Q$731,Source_Evolution!$A$3:$A$731,$A314)</f>
        <v/>
      </c>
      <c r="R314" s="17">
        <f>SUM(E314:Q314)</f>
        <v/>
      </c>
      <c r="S314" s="17">
        <f>Q314</f>
        <v/>
      </c>
      <c r="T314">
        <f>IF(B314="Software",1,0)</f>
        <v/>
      </c>
      <c r="U314" s="18">
        <f>SUMPRODUCT((Source_Evolution!$A$3:$A$731=$A314)*(Source_Evolution!$E$3:$E$731&gt;0))</f>
        <v/>
      </c>
      <c r="V314" s="18">
        <f>SUMPRODUCT((Source_Evolution!$A$3:$A$731=$A314)*(Source_Evolution!$F$3:$F$731&gt;0))</f>
        <v/>
      </c>
      <c r="W314" s="18">
        <f>SUMPRODUCT((Source_Evolution!$A$3:$A$731=$A314)*(Source_Evolution!$G$3:$G$731&gt;0))</f>
        <v/>
      </c>
      <c r="X314" s="18">
        <f>SUMPRODUCT((Source_Evolution!$A$3:$A$731=$A314)*(Source_Evolution!$H$3:$H$731&gt;0))</f>
        <v/>
      </c>
      <c r="Y314" s="18">
        <f>SUMPRODUCT((Source_Evolution!$A$3:$A$731=$A314)*(Source_Evolution!$I$3:$I$731&gt;0))</f>
        <v/>
      </c>
      <c r="Z314" s="18">
        <f>SUMPRODUCT((Source_Evolution!$A$3:$A$731=$A314)*(Source_Evolution!$J$3:$J$731&gt;0))</f>
        <v/>
      </c>
      <c r="AA314" s="18">
        <f>SUMPRODUCT((Source_Evolution!$A$3:$A$731=$A314)*(Source_Evolution!$K$3:$K$731&gt;0))</f>
        <v/>
      </c>
      <c r="AB314" s="18">
        <f>SUMPRODUCT((Source_Evolution!$A$3:$A$731=$A314)*(Source_Evolution!$L$3:$L$731&gt;0))</f>
        <v/>
      </c>
      <c r="AC314" s="18">
        <f>SUMPRODUCT((Source_Evolution!$A$3:$A$731=$A314)*(Source_Evolution!$M$3:$M$731&gt;0))</f>
        <v/>
      </c>
      <c r="AD314" s="18">
        <f>SUMPRODUCT((Source_Evolution!$A$3:$A$731=$A314)*(Source_Evolution!$N$3:$N$731&gt;0))</f>
        <v/>
      </c>
      <c r="AE314" s="18">
        <f>SUMPRODUCT((Source_Evolution!$A$3:$A$731=$A314)*(Source_Evolution!$O$3:$O$731&gt;0))</f>
        <v/>
      </c>
      <c r="AF314" s="18">
        <f>SUMPRODUCT((Source_Evolution!$A$3:$A$731=$A314)*(Source_Evolution!$P$3:$P$731&gt;0))</f>
        <v/>
      </c>
      <c r="AG314" s="18">
        <f>SUMPRODUCT((Source_Evolution!$A$3:$A$731=$A314)*(Source_Evolution!$Q$3:$Q$731&gt;0))</f>
        <v/>
      </c>
    </row>
    <row r="315">
      <c r="A315" t="inlineStr">
        <is>
          <t>Company 45</t>
        </is>
      </c>
      <c r="B315" t="inlineStr">
        <is>
          <t>Software</t>
        </is>
      </c>
      <c r="C315" t="inlineStr">
        <is>
          <t>Ireland</t>
        </is>
      </c>
      <c r="D315" t="n">
        <v>2018</v>
      </c>
      <c r="E315" s="17">
        <f>SUMIFS(Source_Evolution!$E$3:$E$731,Source_Evolution!$A$3:$A$731,$A315)</f>
        <v/>
      </c>
      <c r="F315" s="17">
        <f>SUMIFS(Source_Evolution!$F$3:$F$731,Source_Evolution!$A$3:$A$731,$A315)</f>
        <v/>
      </c>
      <c r="G315" s="17">
        <f>SUMIFS(Source_Evolution!$G$3:$G$731,Source_Evolution!$A$3:$A$731,$A315)</f>
        <v/>
      </c>
      <c r="H315" s="17">
        <f>SUMIFS(Source_Evolution!$H$3:$H$731,Source_Evolution!$A$3:$A$731,$A315)</f>
        <v/>
      </c>
      <c r="I315" s="17">
        <f>SUMIFS(Source_Evolution!$I$3:$I$731,Source_Evolution!$A$3:$A$731,$A315)</f>
        <v/>
      </c>
      <c r="J315" s="17">
        <f>SUMIFS(Source_Evolution!$J$3:$J$731,Source_Evolution!$A$3:$A$731,$A315)</f>
        <v/>
      </c>
      <c r="K315" s="17">
        <f>SUMIFS(Source_Evolution!$K$3:$K$731,Source_Evolution!$A$3:$A$731,$A315)</f>
        <v/>
      </c>
      <c r="L315" s="17">
        <f>SUMIFS(Source_Evolution!$L$3:$L$731,Source_Evolution!$A$3:$A$731,$A315)</f>
        <v/>
      </c>
      <c r="M315" s="17">
        <f>SUMIFS(Source_Evolution!$M$3:$M$731,Source_Evolution!$A$3:$A$731,$A315)</f>
        <v/>
      </c>
      <c r="N315" s="17">
        <f>SUMIFS(Source_Evolution!$N$3:$N$731,Source_Evolution!$A$3:$A$731,$A315)</f>
        <v/>
      </c>
      <c r="O315" s="17">
        <f>SUMIFS(Source_Evolution!$O$3:$O$731,Source_Evolution!$A$3:$A$731,$A315)</f>
        <v/>
      </c>
      <c r="P315" s="17">
        <f>SUMIFS(Source_Evolution!$P$3:$P$731,Source_Evolution!$A$3:$A$731,$A315)</f>
        <v/>
      </c>
      <c r="Q315" s="17">
        <f>SUMIFS(Source_Evolution!$Q$3:$Q$731,Source_Evolution!$A$3:$A$731,$A315)</f>
        <v/>
      </c>
      <c r="R315" s="17">
        <f>SUM(E315:Q315)</f>
        <v/>
      </c>
      <c r="S315" s="17">
        <f>Q315</f>
        <v/>
      </c>
      <c r="T315">
        <f>IF(B315="Software",1,0)</f>
        <v/>
      </c>
      <c r="U315" s="18">
        <f>SUMPRODUCT((Source_Evolution!$A$3:$A$731=$A315)*(Source_Evolution!$E$3:$E$731&gt;0))</f>
        <v/>
      </c>
      <c r="V315" s="18">
        <f>SUMPRODUCT((Source_Evolution!$A$3:$A$731=$A315)*(Source_Evolution!$F$3:$F$731&gt;0))</f>
        <v/>
      </c>
      <c r="W315" s="18">
        <f>SUMPRODUCT((Source_Evolution!$A$3:$A$731=$A315)*(Source_Evolution!$G$3:$G$731&gt;0))</f>
        <v/>
      </c>
      <c r="X315" s="18">
        <f>SUMPRODUCT((Source_Evolution!$A$3:$A$731=$A315)*(Source_Evolution!$H$3:$H$731&gt;0))</f>
        <v/>
      </c>
      <c r="Y315" s="18">
        <f>SUMPRODUCT((Source_Evolution!$A$3:$A$731=$A315)*(Source_Evolution!$I$3:$I$731&gt;0))</f>
        <v/>
      </c>
      <c r="Z315" s="18">
        <f>SUMPRODUCT((Source_Evolution!$A$3:$A$731=$A315)*(Source_Evolution!$J$3:$J$731&gt;0))</f>
        <v/>
      </c>
      <c r="AA315" s="18">
        <f>SUMPRODUCT((Source_Evolution!$A$3:$A$731=$A315)*(Source_Evolution!$K$3:$K$731&gt;0))</f>
        <v/>
      </c>
      <c r="AB315" s="18">
        <f>SUMPRODUCT((Source_Evolution!$A$3:$A$731=$A315)*(Source_Evolution!$L$3:$L$731&gt;0))</f>
        <v/>
      </c>
      <c r="AC315" s="18">
        <f>SUMPRODUCT((Source_Evolution!$A$3:$A$731=$A315)*(Source_Evolution!$M$3:$M$731&gt;0))</f>
        <v/>
      </c>
      <c r="AD315" s="18">
        <f>SUMPRODUCT((Source_Evolution!$A$3:$A$731=$A315)*(Source_Evolution!$N$3:$N$731&gt;0))</f>
        <v/>
      </c>
      <c r="AE315" s="18">
        <f>SUMPRODUCT((Source_Evolution!$A$3:$A$731=$A315)*(Source_Evolution!$O$3:$O$731&gt;0))</f>
        <v/>
      </c>
      <c r="AF315" s="18">
        <f>SUMPRODUCT((Source_Evolution!$A$3:$A$731=$A315)*(Source_Evolution!$P$3:$P$731&gt;0))</f>
        <v/>
      </c>
      <c r="AG315" s="18">
        <f>SUMPRODUCT((Source_Evolution!$A$3:$A$731=$A315)*(Source_Evolution!$Q$3:$Q$731&gt;0))</f>
        <v/>
      </c>
    </row>
    <row r="316">
      <c r="A316" t="inlineStr">
        <is>
          <t>Company 46</t>
        </is>
      </c>
      <c r="B316" t="inlineStr">
        <is>
          <t>Software</t>
        </is>
      </c>
      <c r="C316" t="inlineStr">
        <is>
          <t>UK</t>
        </is>
      </c>
      <c r="D316" t="n">
        <v>2018</v>
      </c>
      <c r="E316" s="17">
        <f>SUMIFS(Source_Evolution!$E$3:$E$731,Source_Evolution!$A$3:$A$731,$A316)</f>
        <v/>
      </c>
      <c r="F316" s="17">
        <f>SUMIFS(Source_Evolution!$F$3:$F$731,Source_Evolution!$A$3:$A$731,$A316)</f>
        <v/>
      </c>
      <c r="G316" s="17">
        <f>SUMIFS(Source_Evolution!$G$3:$G$731,Source_Evolution!$A$3:$A$731,$A316)</f>
        <v/>
      </c>
      <c r="H316" s="17">
        <f>SUMIFS(Source_Evolution!$H$3:$H$731,Source_Evolution!$A$3:$A$731,$A316)</f>
        <v/>
      </c>
      <c r="I316" s="17">
        <f>SUMIFS(Source_Evolution!$I$3:$I$731,Source_Evolution!$A$3:$A$731,$A316)</f>
        <v/>
      </c>
      <c r="J316" s="17">
        <f>SUMIFS(Source_Evolution!$J$3:$J$731,Source_Evolution!$A$3:$A$731,$A316)</f>
        <v/>
      </c>
      <c r="K316" s="17">
        <f>SUMIFS(Source_Evolution!$K$3:$K$731,Source_Evolution!$A$3:$A$731,$A316)</f>
        <v/>
      </c>
      <c r="L316" s="17">
        <f>SUMIFS(Source_Evolution!$L$3:$L$731,Source_Evolution!$A$3:$A$731,$A316)</f>
        <v/>
      </c>
      <c r="M316" s="17">
        <f>SUMIFS(Source_Evolution!$M$3:$M$731,Source_Evolution!$A$3:$A$731,$A316)</f>
        <v/>
      </c>
      <c r="N316" s="17">
        <f>SUMIFS(Source_Evolution!$N$3:$N$731,Source_Evolution!$A$3:$A$731,$A316)</f>
        <v/>
      </c>
      <c r="O316" s="17">
        <f>SUMIFS(Source_Evolution!$O$3:$O$731,Source_Evolution!$A$3:$A$731,$A316)</f>
        <v/>
      </c>
      <c r="P316" s="17">
        <f>SUMIFS(Source_Evolution!$P$3:$P$731,Source_Evolution!$A$3:$A$731,$A316)</f>
        <v/>
      </c>
      <c r="Q316" s="17">
        <f>SUMIFS(Source_Evolution!$Q$3:$Q$731,Source_Evolution!$A$3:$A$731,$A316)</f>
        <v/>
      </c>
      <c r="R316" s="17">
        <f>SUM(E316:Q316)</f>
        <v/>
      </c>
      <c r="S316" s="17">
        <f>Q316</f>
        <v/>
      </c>
      <c r="T316">
        <f>IF(B316="Software",1,0)</f>
        <v/>
      </c>
      <c r="U316" s="18">
        <f>SUMPRODUCT((Source_Evolution!$A$3:$A$731=$A316)*(Source_Evolution!$E$3:$E$731&gt;0))</f>
        <v/>
      </c>
      <c r="V316" s="18">
        <f>SUMPRODUCT((Source_Evolution!$A$3:$A$731=$A316)*(Source_Evolution!$F$3:$F$731&gt;0))</f>
        <v/>
      </c>
      <c r="W316" s="18">
        <f>SUMPRODUCT((Source_Evolution!$A$3:$A$731=$A316)*(Source_Evolution!$G$3:$G$731&gt;0))</f>
        <v/>
      </c>
      <c r="X316" s="18">
        <f>SUMPRODUCT((Source_Evolution!$A$3:$A$731=$A316)*(Source_Evolution!$H$3:$H$731&gt;0))</f>
        <v/>
      </c>
      <c r="Y316" s="18">
        <f>SUMPRODUCT((Source_Evolution!$A$3:$A$731=$A316)*(Source_Evolution!$I$3:$I$731&gt;0))</f>
        <v/>
      </c>
      <c r="Z316" s="18">
        <f>SUMPRODUCT((Source_Evolution!$A$3:$A$731=$A316)*(Source_Evolution!$J$3:$J$731&gt;0))</f>
        <v/>
      </c>
      <c r="AA316" s="18">
        <f>SUMPRODUCT((Source_Evolution!$A$3:$A$731=$A316)*(Source_Evolution!$K$3:$K$731&gt;0))</f>
        <v/>
      </c>
      <c r="AB316" s="18">
        <f>SUMPRODUCT((Source_Evolution!$A$3:$A$731=$A316)*(Source_Evolution!$L$3:$L$731&gt;0))</f>
        <v/>
      </c>
      <c r="AC316" s="18">
        <f>SUMPRODUCT((Source_Evolution!$A$3:$A$731=$A316)*(Source_Evolution!$M$3:$M$731&gt;0))</f>
        <v/>
      </c>
      <c r="AD316" s="18">
        <f>SUMPRODUCT((Source_Evolution!$A$3:$A$731=$A316)*(Source_Evolution!$N$3:$N$731&gt;0))</f>
        <v/>
      </c>
      <c r="AE316" s="18">
        <f>SUMPRODUCT((Source_Evolution!$A$3:$A$731=$A316)*(Source_Evolution!$O$3:$O$731&gt;0))</f>
        <v/>
      </c>
      <c r="AF316" s="18">
        <f>SUMPRODUCT((Source_Evolution!$A$3:$A$731=$A316)*(Source_Evolution!$P$3:$P$731&gt;0))</f>
        <v/>
      </c>
      <c r="AG316" s="18">
        <f>SUMPRODUCT((Source_Evolution!$A$3:$A$731=$A316)*(Source_Evolution!$Q$3:$Q$731&gt;0))</f>
        <v/>
      </c>
    </row>
    <row r="317">
      <c r="A317" t="inlineStr">
        <is>
          <t>Company 47</t>
        </is>
      </c>
      <c r="B317" t="inlineStr">
        <is>
          <t>Software</t>
        </is>
      </c>
      <c r="C317" t="inlineStr">
        <is>
          <t>UK</t>
        </is>
      </c>
      <c r="D317" t="n">
        <v>2018</v>
      </c>
      <c r="E317" s="17">
        <f>SUMIFS(Source_Evolution!$E$3:$E$731,Source_Evolution!$A$3:$A$731,$A317)</f>
        <v/>
      </c>
      <c r="F317" s="17">
        <f>SUMIFS(Source_Evolution!$F$3:$F$731,Source_Evolution!$A$3:$A$731,$A317)</f>
        <v/>
      </c>
      <c r="G317" s="17">
        <f>SUMIFS(Source_Evolution!$G$3:$G$731,Source_Evolution!$A$3:$A$731,$A317)</f>
        <v/>
      </c>
      <c r="H317" s="17">
        <f>SUMIFS(Source_Evolution!$H$3:$H$731,Source_Evolution!$A$3:$A$731,$A317)</f>
        <v/>
      </c>
      <c r="I317" s="17">
        <f>SUMIFS(Source_Evolution!$I$3:$I$731,Source_Evolution!$A$3:$A$731,$A317)</f>
        <v/>
      </c>
      <c r="J317" s="17">
        <f>SUMIFS(Source_Evolution!$J$3:$J$731,Source_Evolution!$A$3:$A$731,$A317)</f>
        <v/>
      </c>
      <c r="K317" s="17">
        <f>SUMIFS(Source_Evolution!$K$3:$K$731,Source_Evolution!$A$3:$A$731,$A317)</f>
        <v/>
      </c>
      <c r="L317" s="17">
        <f>SUMIFS(Source_Evolution!$L$3:$L$731,Source_Evolution!$A$3:$A$731,$A317)</f>
        <v/>
      </c>
      <c r="M317" s="17">
        <f>SUMIFS(Source_Evolution!$M$3:$M$731,Source_Evolution!$A$3:$A$731,$A317)</f>
        <v/>
      </c>
      <c r="N317" s="17">
        <f>SUMIFS(Source_Evolution!$N$3:$N$731,Source_Evolution!$A$3:$A$731,$A317)</f>
        <v/>
      </c>
      <c r="O317" s="17">
        <f>SUMIFS(Source_Evolution!$O$3:$O$731,Source_Evolution!$A$3:$A$731,$A317)</f>
        <v/>
      </c>
      <c r="P317" s="17">
        <f>SUMIFS(Source_Evolution!$P$3:$P$731,Source_Evolution!$A$3:$A$731,$A317)</f>
        <v/>
      </c>
      <c r="Q317" s="17">
        <f>SUMIFS(Source_Evolution!$Q$3:$Q$731,Source_Evolution!$A$3:$A$731,$A317)</f>
        <v/>
      </c>
      <c r="R317" s="17">
        <f>SUM(E317:Q317)</f>
        <v/>
      </c>
      <c r="S317" s="17">
        <f>Q317</f>
        <v/>
      </c>
      <c r="T317">
        <f>IF(B317="Software",1,0)</f>
        <v/>
      </c>
      <c r="U317" s="18">
        <f>SUMPRODUCT((Source_Evolution!$A$3:$A$731=$A317)*(Source_Evolution!$E$3:$E$731&gt;0))</f>
        <v/>
      </c>
      <c r="V317" s="18">
        <f>SUMPRODUCT((Source_Evolution!$A$3:$A$731=$A317)*(Source_Evolution!$F$3:$F$731&gt;0))</f>
        <v/>
      </c>
      <c r="W317" s="18">
        <f>SUMPRODUCT((Source_Evolution!$A$3:$A$731=$A317)*(Source_Evolution!$G$3:$G$731&gt;0))</f>
        <v/>
      </c>
      <c r="X317" s="18">
        <f>SUMPRODUCT((Source_Evolution!$A$3:$A$731=$A317)*(Source_Evolution!$H$3:$H$731&gt;0))</f>
        <v/>
      </c>
      <c r="Y317" s="18">
        <f>SUMPRODUCT((Source_Evolution!$A$3:$A$731=$A317)*(Source_Evolution!$I$3:$I$731&gt;0))</f>
        <v/>
      </c>
      <c r="Z317" s="18">
        <f>SUMPRODUCT((Source_Evolution!$A$3:$A$731=$A317)*(Source_Evolution!$J$3:$J$731&gt;0))</f>
        <v/>
      </c>
      <c r="AA317" s="18">
        <f>SUMPRODUCT((Source_Evolution!$A$3:$A$731=$A317)*(Source_Evolution!$K$3:$K$731&gt;0))</f>
        <v/>
      </c>
      <c r="AB317" s="18">
        <f>SUMPRODUCT((Source_Evolution!$A$3:$A$731=$A317)*(Source_Evolution!$L$3:$L$731&gt;0))</f>
        <v/>
      </c>
      <c r="AC317" s="18">
        <f>SUMPRODUCT((Source_Evolution!$A$3:$A$731=$A317)*(Source_Evolution!$M$3:$M$731&gt;0))</f>
        <v/>
      </c>
      <c r="AD317" s="18">
        <f>SUMPRODUCT((Source_Evolution!$A$3:$A$731=$A317)*(Source_Evolution!$N$3:$N$731&gt;0))</f>
        <v/>
      </c>
      <c r="AE317" s="18">
        <f>SUMPRODUCT((Source_Evolution!$A$3:$A$731=$A317)*(Source_Evolution!$O$3:$O$731&gt;0))</f>
        <v/>
      </c>
      <c r="AF317" s="18">
        <f>SUMPRODUCT((Source_Evolution!$A$3:$A$731=$A317)*(Source_Evolution!$P$3:$P$731&gt;0))</f>
        <v/>
      </c>
      <c r="AG317" s="18">
        <f>SUMPRODUCT((Source_Evolution!$A$3:$A$731=$A317)*(Source_Evolution!$Q$3:$Q$731&gt;0))</f>
        <v/>
      </c>
    </row>
    <row r="318">
      <c r="A318" t="inlineStr">
        <is>
          <t>Company 48</t>
        </is>
      </c>
      <c r="B318" t="inlineStr">
        <is>
          <t>Operations</t>
        </is>
      </c>
      <c r="C318" t="inlineStr">
        <is>
          <t>Singapore</t>
        </is>
      </c>
      <c r="D318" t="n">
        <v>2018</v>
      </c>
      <c r="E318" s="17">
        <f>SUMIFS(Source_Evolution!$E$3:$E$731,Source_Evolution!$A$3:$A$731,$A318)</f>
        <v/>
      </c>
      <c r="F318" s="17">
        <f>SUMIFS(Source_Evolution!$F$3:$F$731,Source_Evolution!$A$3:$A$731,$A318)</f>
        <v/>
      </c>
      <c r="G318" s="17">
        <f>SUMIFS(Source_Evolution!$G$3:$G$731,Source_Evolution!$A$3:$A$731,$A318)</f>
        <v/>
      </c>
      <c r="H318" s="17">
        <f>SUMIFS(Source_Evolution!$H$3:$H$731,Source_Evolution!$A$3:$A$731,$A318)</f>
        <v/>
      </c>
      <c r="I318" s="17">
        <f>SUMIFS(Source_Evolution!$I$3:$I$731,Source_Evolution!$A$3:$A$731,$A318)</f>
        <v/>
      </c>
      <c r="J318" s="17">
        <f>SUMIFS(Source_Evolution!$J$3:$J$731,Source_Evolution!$A$3:$A$731,$A318)</f>
        <v/>
      </c>
      <c r="K318" s="17">
        <f>SUMIFS(Source_Evolution!$K$3:$K$731,Source_Evolution!$A$3:$A$731,$A318)</f>
        <v/>
      </c>
      <c r="L318" s="17">
        <f>SUMIFS(Source_Evolution!$L$3:$L$731,Source_Evolution!$A$3:$A$731,$A318)</f>
        <v/>
      </c>
      <c r="M318" s="17">
        <f>SUMIFS(Source_Evolution!$M$3:$M$731,Source_Evolution!$A$3:$A$731,$A318)</f>
        <v/>
      </c>
      <c r="N318" s="17">
        <f>SUMIFS(Source_Evolution!$N$3:$N$731,Source_Evolution!$A$3:$A$731,$A318)</f>
        <v/>
      </c>
      <c r="O318" s="17">
        <f>SUMIFS(Source_Evolution!$O$3:$O$731,Source_Evolution!$A$3:$A$731,$A318)</f>
        <v/>
      </c>
      <c r="P318" s="17">
        <f>SUMIFS(Source_Evolution!$P$3:$P$731,Source_Evolution!$A$3:$A$731,$A318)</f>
        <v/>
      </c>
      <c r="Q318" s="17">
        <f>SUMIFS(Source_Evolution!$Q$3:$Q$731,Source_Evolution!$A$3:$A$731,$A318)</f>
        <v/>
      </c>
      <c r="R318" s="17">
        <f>SUM(E318:Q318)</f>
        <v/>
      </c>
      <c r="S318" s="17">
        <f>Q318</f>
        <v/>
      </c>
      <c r="T318">
        <f>IF(B318="Software",1,0)</f>
        <v/>
      </c>
      <c r="U318" s="18">
        <f>SUMPRODUCT((Source_Evolution!$A$3:$A$731=$A318)*(Source_Evolution!$E$3:$E$731&gt;0))</f>
        <v/>
      </c>
      <c r="V318" s="18">
        <f>SUMPRODUCT((Source_Evolution!$A$3:$A$731=$A318)*(Source_Evolution!$F$3:$F$731&gt;0))</f>
        <v/>
      </c>
      <c r="W318" s="18">
        <f>SUMPRODUCT((Source_Evolution!$A$3:$A$731=$A318)*(Source_Evolution!$G$3:$G$731&gt;0))</f>
        <v/>
      </c>
      <c r="X318" s="18">
        <f>SUMPRODUCT((Source_Evolution!$A$3:$A$731=$A318)*(Source_Evolution!$H$3:$H$731&gt;0))</f>
        <v/>
      </c>
      <c r="Y318" s="18">
        <f>SUMPRODUCT((Source_Evolution!$A$3:$A$731=$A318)*(Source_Evolution!$I$3:$I$731&gt;0))</f>
        <v/>
      </c>
      <c r="Z318" s="18">
        <f>SUMPRODUCT((Source_Evolution!$A$3:$A$731=$A318)*(Source_Evolution!$J$3:$J$731&gt;0))</f>
        <v/>
      </c>
      <c r="AA318" s="18">
        <f>SUMPRODUCT((Source_Evolution!$A$3:$A$731=$A318)*(Source_Evolution!$K$3:$K$731&gt;0))</f>
        <v/>
      </c>
      <c r="AB318" s="18">
        <f>SUMPRODUCT((Source_Evolution!$A$3:$A$731=$A318)*(Source_Evolution!$L$3:$L$731&gt;0))</f>
        <v/>
      </c>
      <c r="AC318" s="18">
        <f>SUMPRODUCT((Source_Evolution!$A$3:$A$731=$A318)*(Source_Evolution!$M$3:$M$731&gt;0))</f>
        <v/>
      </c>
      <c r="AD318" s="18">
        <f>SUMPRODUCT((Source_Evolution!$A$3:$A$731=$A318)*(Source_Evolution!$N$3:$N$731&gt;0))</f>
        <v/>
      </c>
      <c r="AE318" s="18">
        <f>SUMPRODUCT((Source_Evolution!$A$3:$A$731=$A318)*(Source_Evolution!$O$3:$O$731&gt;0))</f>
        <v/>
      </c>
      <c r="AF318" s="18">
        <f>SUMPRODUCT((Source_Evolution!$A$3:$A$731=$A318)*(Source_Evolution!$P$3:$P$731&gt;0))</f>
        <v/>
      </c>
      <c r="AG318" s="18">
        <f>SUMPRODUCT((Source_Evolution!$A$3:$A$731=$A318)*(Source_Evolution!$Q$3:$Q$731&gt;0))</f>
        <v/>
      </c>
    </row>
    <row r="319">
      <c r="A319" t="inlineStr">
        <is>
          <t>Company 49</t>
        </is>
      </c>
      <c r="B319" t="inlineStr">
        <is>
          <t>Operations</t>
        </is>
      </c>
      <c r="C319" t="inlineStr">
        <is>
          <t>Ireland</t>
        </is>
      </c>
      <c r="D319" t="n">
        <v>2018</v>
      </c>
      <c r="E319" s="17">
        <f>SUMIFS(Source_Evolution!$E$3:$E$731,Source_Evolution!$A$3:$A$731,$A319)</f>
        <v/>
      </c>
      <c r="F319" s="17">
        <f>SUMIFS(Source_Evolution!$F$3:$F$731,Source_Evolution!$A$3:$A$731,$A319)</f>
        <v/>
      </c>
      <c r="G319" s="17">
        <f>SUMIFS(Source_Evolution!$G$3:$G$731,Source_Evolution!$A$3:$A$731,$A319)</f>
        <v/>
      </c>
      <c r="H319" s="17">
        <f>SUMIFS(Source_Evolution!$H$3:$H$731,Source_Evolution!$A$3:$A$731,$A319)</f>
        <v/>
      </c>
      <c r="I319" s="17">
        <f>SUMIFS(Source_Evolution!$I$3:$I$731,Source_Evolution!$A$3:$A$731,$A319)</f>
        <v/>
      </c>
      <c r="J319" s="17">
        <f>SUMIFS(Source_Evolution!$J$3:$J$731,Source_Evolution!$A$3:$A$731,$A319)</f>
        <v/>
      </c>
      <c r="K319" s="17">
        <f>SUMIFS(Source_Evolution!$K$3:$K$731,Source_Evolution!$A$3:$A$731,$A319)</f>
        <v/>
      </c>
      <c r="L319" s="17">
        <f>SUMIFS(Source_Evolution!$L$3:$L$731,Source_Evolution!$A$3:$A$731,$A319)</f>
        <v/>
      </c>
      <c r="M319" s="17">
        <f>SUMIFS(Source_Evolution!$M$3:$M$731,Source_Evolution!$A$3:$A$731,$A319)</f>
        <v/>
      </c>
      <c r="N319" s="17">
        <f>SUMIFS(Source_Evolution!$N$3:$N$731,Source_Evolution!$A$3:$A$731,$A319)</f>
        <v/>
      </c>
      <c r="O319" s="17">
        <f>SUMIFS(Source_Evolution!$O$3:$O$731,Source_Evolution!$A$3:$A$731,$A319)</f>
        <v/>
      </c>
      <c r="P319" s="17">
        <f>SUMIFS(Source_Evolution!$P$3:$P$731,Source_Evolution!$A$3:$A$731,$A319)</f>
        <v/>
      </c>
      <c r="Q319" s="17">
        <f>SUMIFS(Source_Evolution!$Q$3:$Q$731,Source_Evolution!$A$3:$A$731,$A319)</f>
        <v/>
      </c>
      <c r="R319" s="17">
        <f>SUM(E319:Q319)</f>
        <v/>
      </c>
      <c r="S319" s="17">
        <f>Q319</f>
        <v/>
      </c>
      <c r="T319">
        <f>IF(B319="Software",1,0)</f>
        <v/>
      </c>
      <c r="U319" s="18">
        <f>SUMPRODUCT((Source_Evolution!$A$3:$A$731=$A319)*(Source_Evolution!$E$3:$E$731&gt;0))</f>
        <v/>
      </c>
      <c r="V319" s="18">
        <f>SUMPRODUCT((Source_Evolution!$A$3:$A$731=$A319)*(Source_Evolution!$F$3:$F$731&gt;0))</f>
        <v/>
      </c>
      <c r="W319" s="18">
        <f>SUMPRODUCT((Source_Evolution!$A$3:$A$731=$A319)*(Source_Evolution!$G$3:$G$731&gt;0))</f>
        <v/>
      </c>
      <c r="X319" s="18">
        <f>SUMPRODUCT((Source_Evolution!$A$3:$A$731=$A319)*(Source_Evolution!$H$3:$H$731&gt;0))</f>
        <v/>
      </c>
      <c r="Y319" s="18">
        <f>SUMPRODUCT((Source_Evolution!$A$3:$A$731=$A319)*(Source_Evolution!$I$3:$I$731&gt;0))</f>
        <v/>
      </c>
      <c r="Z319" s="18">
        <f>SUMPRODUCT((Source_Evolution!$A$3:$A$731=$A319)*(Source_Evolution!$J$3:$J$731&gt;0))</f>
        <v/>
      </c>
      <c r="AA319" s="18">
        <f>SUMPRODUCT((Source_Evolution!$A$3:$A$731=$A319)*(Source_Evolution!$K$3:$K$731&gt;0))</f>
        <v/>
      </c>
      <c r="AB319" s="18">
        <f>SUMPRODUCT((Source_Evolution!$A$3:$A$731=$A319)*(Source_Evolution!$L$3:$L$731&gt;0))</f>
        <v/>
      </c>
      <c r="AC319" s="18">
        <f>SUMPRODUCT((Source_Evolution!$A$3:$A$731=$A319)*(Source_Evolution!$M$3:$M$731&gt;0))</f>
        <v/>
      </c>
      <c r="AD319" s="18">
        <f>SUMPRODUCT((Source_Evolution!$A$3:$A$731=$A319)*(Source_Evolution!$N$3:$N$731&gt;0))</f>
        <v/>
      </c>
      <c r="AE319" s="18">
        <f>SUMPRODUCT((Source_Evolution!$A$3:$A$731=$A319)*(Source_Evolution!$O$3:$O$731&gt;0))</f>
        <v/>
      </c>
      <c r="AF319" s="18">
        <f>SUMPRODUCT((Source_Evolution!$A$3:$A$731=$A319)*(Source_Evolution!$P$3:$P$731&gt;0))</f>
        <v/>
      </c>
      <c r="AG319" s="18">
        <f>SUMPRODUCT((Source_Evolution!$A$3:$A$731=$A319)*(Source_Evolution!$Q$3:$Q$731&gt;0))</f>
        <v/>
      </c>
    </row>
    <row r="320">
      <c r="A320" t="inlineStr">
        <is>
          <t>Company 5</t>
        </is>
      </c>
      <c r="B320" t="inlineStr">
        <is>
          <t>Software</t>
        </is>
      </c>
      <c r="C320" t="inlineStr">
        <is>
          <t>UK</t>
        </is>
      </c>
      <c r="D320" t="n">
        <v>2019</v>
      </c>
      <c r="E320" s="17">
        <f>SUMIFS(Source_Evolution!$E$3:$E$731,Source_Evolution!$A$3:$A$731,$A320)</f>
        <v/>
      </c>
      <c r="F320" s="17">
        <f>SUMIFS(Source_Evolution!$F$3:$F$731,Source_Evolution!$A$3:$A$731,$A320)</f>
        <v/>
      </c>
      <c r="G320" s="17">
        <f>SUMIFS(Source_Evolution!$G$3:$G$731,Source_Evolution!$A$3:$A$731,$A320)</f>
        <v/>
      </c>
      <c r="H320" s="17">
        <f>SUMIFS(Source_Evolution!$H$3:$H$731,Source_Evolution!$A$3:$A$731,$A320)</f>
        <v/>
      </c>
      <c r="I320" s="17">
        <f>SUMIFS(Source_Evolution!$I$3:$I$731,Source_Evolution!$A$3:$A$731,$A320)</f>
        <v/>
      </c>
      <c r="J320" s="17">
        <f>SUMIFS(Source_Evolution!$J$3:$J$731,Source_Evolution!$A$3:$A$731,$A320)</f>
        <v/>
      </c>
      <c r="K320" s="17">
        <f>SUMIFS(Source_Evolution!$K$3:$K$731,Source_Evolution!$A$3:$A$731,$A320)</f>
        <v/>
      </c>
      <c r="L320" s="17">
        <f>SUMIFS(Source_Evolution!$L$3:$L$731,Source_Evolution!$A$3:$A$731,$A320)</f>
        <v/>
      </c>
      <c r="M320" s="17">
        <f>SUMIFS(Source_Evolution!$M$3:$M$731,Source_Evolution!$A$3:$A$731,$A320)</f>
        <v/>
      </c>
      <c r="N320" s="17">
        <f>SUMIFS(Source_Evolution!$N$3:$N$731,Source_Evolution!$A$3:$A$731,$A320)</f>
        <v/>
      </c>
      <c r="O320" s="17">
        <f>SUMIFS(Source_Evolution!$O$3:$O$731,Source_Evolution!$A$3:$A$731,$A320)</f>
        <v/>
      </c>
      <c r="P320" s="17">
        <f>SUMIFS(Source_Evolution!$P$3:$P$731,Source_Evolution!$A$3:$A$731,$A320)</f>
        <v/>
      </c>
      <c r="Q320" s="17">
        <f>SUMIFS(Source_Evolution!$Q$3:$Q$731,Source_Evolution!$A$3:$A$731,$A320)</f>
        <v/>
      </c>
      <c r="R320" s="17">
        <f>SUM(E320:Q320)</f>
        <v/>
      </c>
      <c r="S320" s="17">
        <f>Q320</f>
        <v/>
      </c>
      <c r="T320">
        <f>IF(B320="Software",1,0)</f>
        <v/>
      </c>
      <c r="U320" s="18">
        <f>SUMPRODUCT((Source_Evolution!$A$3:$A$731=$A320)*(Source_Evolution!$E$3:$E$731&gt;0))</f>
        <v/>
      </c>
      <c r="V320" s="18">
        <f>SUMPRODUCT((Source_Evolution!$A$3:$A$731=$A320)*(Source_Evolution!$F$3:$F$731&gt;0))</f>
        <v/>
      </c>
      <c r="W320" s="18">
        <f>SUMPRODUCT((Source_Evolution!$A$3:$A$731=$A320)*(Source_Evolution!$G$3:$G$731&gt;0))</f>
        <v/>
      </c>
      <c r="X320" s="18">
        <f>SUMPRODUCT((Source_Evolution!$A$3:$A$731=$A320)*(Source_Evolution!$H$3:$H$731&gt;0))</f>
        <v/>
      </c>
      <c r="Y320" s="18">
        <f>SUMPRODUCT((Source_Evolution!$A$3:$A$731=$A320)*(Source_Evolution!$I$3:$I$731&gt;0))</f>
        <v/>
      </c>
      <c r="Z320" s="18">
        <f>SUMPRODUCT((Source_Evolution!$A$3:$A$731=$A320)*(Source_Evolution!$J$3:$J$731&gt;0))</f>
        <v/>
      </c>
      <c r="AA320" s="18">
        <f>SUMPRODUCT((Source_Evolution!$A$3:$A$731=$A320)*(Source_Evolution!$K$3:$K$731&gt;0))</f>
        <v/>
      </c>
      <c r="AB320" s="18">
        <f>SUMPRODUCT((Source_Evolution!$A$3:$A$731=$A320)*(Source_Evolution!$L$3:$L$731&gt;0))</f>
        <v/>
      </c>
      <c r="AC320" s="18">
        <f>SUMPRODUCT((Source_Evolution!$A$3:$A$731=$A320)*(Source_Evolution!$M$3:$M$731&gt;0))</f>
        <v/>
      </c>
      <c r="AD320" s="18">
        <f>SUMPRODUCT((Source_Evolution!$A$3:$A$731=$A320)*(Source_Evolution!$N$3:$N$731&gt;0))</f>
        <v/>
      </c>
      <c r="AE320" s="18">
        <f>SUMPRODUCT((Source_Evolution!$A$3:$A$731=$A320)*(Source_Evolution!$O$3:$O$731&gt;0))</f>
        <v/>
      </c>
      <c r="AF320" s="18">
        <f>SUMPRODUCT((Source_Evolution!$A$3:$A$731=$A320)*(Source_Evolution!$P$3:$P$731&gt;0))</f>
        <v/>
      </c>
      <c r="AG320" s="18">
        <f>SUMPRODUCT((Source_Evolution!$A$3:$A$731=$A320)*(Source_Evolution!$Q$3:$Q$731&gt;0))</f>
        <v/>
      </c>
    </row>
    <row r="321">
      <c r="A321" t="inlineStr">
        <is>
          <t>Company 50</t>
        </is>
      </c>
      <c r="B321" t="inlineStr">
        <is>
          <t>Operations</t>
        </is>
      </c>
      <c r="C321" t="inlineStr">
        <is>
          <t>USA</t>
        </is>
      </c>
      <c r="D321" t="n">
        <v>2018</v>
      </c>
      <c r="E321" s="17">
        <f>SUMIFS(Source_Evolution!$E$3:$E$731,Source_Evolution!$A$3:$A$731,$A321)</f>
        <v/>
      </c>
      <c r="F321" s="17">
        <f>SUMIFS(Source_Evolution!$F$3:$F$731,Source_Evolution!$A$3:$A$731,$A321)</f>
        <v/>
      </c>
      <c r="G321" s="17">
        <f>SUMIFS(Source_Evolution!$G$3:$G$731,Source_Evolution!$A$3:$A$731,$A321)</f>
        <v/>
      </c>
      <c r="H321" s="17">
        <f>SUMIFS(Source_Evolution!$H$3:$H$731,Source_Evolution!$A$3:$A$731,$A321)</f>
        <v/>
      </c>
      <c r="I321" s="17">
        <f>SUMIFS(Source_Evolution!$I$3:$I$731,Source_Evolution!$A$3:$A$731,$A321)</f>
        <v/>
      </c>
      <c r="J321" s="17">
        <f>SUMIFS(Source_Evolution!$J$3:$J$731,Source_Evolution!$A$3:$A$731,$A321)</f>
        <v/>
      </c>
      <c r="K321" s="17">
        <f>SUMIFS(Source_Evolution!$K$3:$K$731,Source_Evolution!$A$3:$A$731,$A321)</f>
        <v/>
      </c>
      <c r="L321" s="17">
        <f>SUMIFS(Source_Evolution!$L$3:$L$731,Source_Evolution!$A$3:$A$731,$A321)</f>
        <v/>
      </c>
      <c r="M321" s="17">
        <f>SUMIFS(Source_Evolution!$M$3:$M$731,Source_Evolution!$A$3:$A$731,$A321)</f>
        <v/>
      </c>
      <c r="N321" s="17">
        <f>SUMIFS(Source_Evolution!$N$3:$N$731,Source_Evolution!$A$3:$A$731,$A321)</f>
        <v/>
      </c>
      <c r="O321" s="17">
        <f>SUMIFS(Source_Evolution!$O$3:$O$731,Source_Evolution!$A$3:$A$731,$A321)</f>
        <v/>
      </c>
      <c r="P321" s="17">
        <f>SUMIFS(Source_Evolution!$P$3:$P$731,Source_Evolution!$A$3:$A$731,$A321)</f>
        <v/>
      </c>
      <c r="Q321" s="17">
        <f>SUMIFS(Source_Evolution!$Q$3:$Q$731,Source_Evolution!$A$3:$A$731,$A321)</f>
        <v/>
      </c>
      <c r="R321" s="17">
        <f>SUM(E321:Q321)</f>
        <v/>
      </c>
      <c r="S321" s="17">
        <f>Q321</f>
        <v/>
      </c>
      <c r="T321">
        <f>IF(B321="Software",1,0)</f>
        <v/>
      </c>
      <c r="U321" s="18">
        <f>SUMPRODUCT((Source_Evolution!$A$3:$A$731=$A321)*(Source_Evolution!$E$3:$E$731&gt;0))</f>
        <v/>
      </c>
      <c r="V321" s="18">
        <f>SUMPRODUCT((Source_Evolution!$A$3:$A$731=$A321)*(Source_Evolution!$F$3:$F$731&gt;0))</f>
        <v/>
      </c>
      <c r="W321" s="18">
        <f>SUMPRODUCT((Source_Evolution!$A$3:$A$731=$A321)*(Source_Evolution!$G$3:$G$731&gt;0))</f>
        <v/>
      </c>
      <c r="X321" s="18">
        <f>SUMPRODUCT((Source_Evolution!$A$3:$A$731=$A321)*(Source_Evolution!$H$3:$H$731&gt;0))</f>
        <v/>
      </c>
      <c r="Y321" s="18">
        <f>SUMPRODUCT((Source_Evolution!$A$3:$A$731=$A321)*(Source_Evolution!$I$3:$I$731&gt;0))</f>
        <v/>
      </c>
      <c r="Z321" s="18">
        <f>SUMPRODUCT((Source_Evolution!$A$3:$A$731=$A321)*(Source_Evolution!$J$3:$J$731&gt;0))</f>
        <v/>
      </c>
      <c r="AA321" s="18">
        <f>SUMPRODUCT((Source_Evolution!$A$3:$A$731=$A321)*(Source_Evolution!$K$3:$K$731&gt;0))</f>
        <v/>
      </c>
      <c r="AB321" s="18">
        <f>SUMPRODUCT((Source_Evolution!$A$3:$A$731=$A321)*(Source_Evolution!$L$3:$L$731&gt;0))</f>
        <v/>
      </c>
      <c r="AC321" s="18">
        <f>SUMPRODUCT((Source_Evolution!$A$3:$A$731=$A321)*(Source_Evolution!$M$3:$M$731&gt;0))</f>
        <v/>
      </c>
      <c r="AD321" s="18">
        <f>SUMPRODUCT((Source_Evolution!$A$3:$A$731=$A321)*(Source_Evolution!$N$3:$N$731&gt;0))</f>
        <v/>
      </c>
      <c r="AE321" s="18">
        <f>SUMPRODUCT((Source_Evolution!$A$3:$A$731=$A321)*(Source_Evolution!$O$3:$O$731&gt;0))</f>
        <v/>
      </c>
      <c r="AF321" s="18">
        <f>SUMPRODUCT((Source_Evolution!$A$3:$A$731=$A321)*(Source_Evolution!$P$3:$P$731&gt;0))</f>
        <v/>
      </c>
      <c r="AG321" s="18">
        <f>SUMPRODUCT((Source_Evolution!$A$3:$A$731=$A321)*(Source_Evolution!$Q$3:$Q$731&gt;0))</f>
        <v/>
      </c>
    </row>
    <row r="322">
      <c r="A322" t="inlineStr">
        <is>
          <t>Company 51</t>
        </is>
      </c>
      <c r="B322" t="inlineStr">
        <is>
          <t>Software</t>
        </is>
      </c>
      <c r="C322" t="inlineStr">
        <is>
          <t>Ireland</t>
        </is>
      </c>
      <c r="D322" t="n">
        <v>2019</v>
      </c>
      <c r="E322" s="17">
        <f>SUMIFS(Source_Evolution!$E$3:$E$731,Source_Evolution!$A$3:$A$731,$A322)</f>
        <v/>
      </c>
      <c r="F322" s="17">
        <f>SUMIFS(Source_Evolution!$F$3:$F$731,Source_Evolution!$A$3:$A$731,$A322)</f>
        <v/>
      </c>
      <c r="G322" s="17">
        <f>SUMIFS(Source_Evolution!$G$3:$G$731,Source_Evolution!$A$3:$A$731,$A322)</f>
        <v/>
      </c>
      <c r="H322" s="17">
        <f>SUMIFS(Source_Evolution!$H$3:$H$731,Source_Evolution!$A$3:$A$731,$A322)</f>
        <v/>
      </c>
      <c r="I322" s="17">
        <f>SUMIFS(Source_Evolution!$I$3:$I$731,Source_Evolution!$A$3:$A$731,$A322)</f>
        <v/>
      </c>
      <c r="J322" s="17">
        <f>SUMIFS(Source_Evolution!$J$3:$J$731,Source_Evolution!$A$3:$A$731,$A322)</f>
        <v/>
      </c>
      <c r="K322" s="17">
        <f>SUMIFS(Source_Evolution!$K$3:$K$731,Source_Evolution!$A$3:$A$731,$A322)</f>
        <v/>
      </c>
      <c r="L322" s="17">
        <f>SUMIFS(Source_Evolution!$L$3:$L$731,Source_Evolution!$A$3:$A$731,$A322)</f>
        <v/>
      </c>
      <c r="M322" s="17">
        <f>SUMIFS(Source_Evolution!$M$3:$M$731,Source_Evolution!$A$3:$A$731,$A322)</f>
        <v/>
      </c>
      <c r="N322" s="17">
        <f>SUMIFS(Source_Evolution!$N$3:$N$731,Source_Evolution!$A$3:$A$731,$A322)</f>
        <v/>
      </c>
      <c r="O322" s="17">
        <f>SUMIFS(Source_Evolution!$O$3:$O$731,Source_Evolution!$A$3:$A$731,$A322)</f>
        <v/>
      </c>
      <c r="P322" s="17">
        <f>SUMIFS(Source_Evolution!$P$3:$P$731,Source_Evolution!$A$3:$A$731,$A322)</f>
        <v/>
      </c>
      <c r="Q322" s="17">
        <f>SUMIFS(Source_Evolution!$Q$3:$Q$731,Source_Evolution!$A$3:$A$731,$A322)</f>
        <v/>
      </c>
      <c r="R322" s="17">
        <f>SUM(E322:Q322)</f>
        <v/>
      </c>
      <c r="S322" s="17">
        <f>Q322</f>
        <v/>
      </c>
      <c r="T322">
        <f>IF(B322="Software",1,0)</f>
        <v/>
      </c>
      <c r="U322" s="18">
        <f>SUMPRODUCT((Source_Evolution!$A$3:$A$731=$A322)*(Source_Evolution!$E$3:$E$731&gt;0))</f>
        <v/>
      </c>
      <c r="V322" s="18">
        <f>SUMPRODUCT((Source_Evolution!$A$3:$A$731=$A322)*(Source_Evolution!$F$3:$F$731&gt;0))</f>
        <v/>
      </c>
      <c r="W322" s="18">
        <f>SUMPRODUCT((Source_Evolution!$A$3:$A$731=$A322)*(Source_Evolution!$G$3:$G$731&gt;0))</f>
        <v/>
      </c>
      <c r="X322" s="18">
        <f>SUMPRODUCT((Source_Evolution!$A$3:$A$731=$A322)*(Source_Evolution!$H$3:$H$731&gt;0))</f>
        <v/>
      </c>
      <c r="Y322" s="18">
        <f>SUMPRODUCT((Source_Evolution!$A$3:$A$731=$A322)*(Source_Evolution!$I$3:$I$731&gt;0))</f>
        <v/>
      </c>
      <c r="Z322" s="18">
        <f>SUMPRODUCT((Source_Evolution!$A$3:$A$731=$A322)*(Source_Evolution!$J$3:$J$731&gt;0))</f>
        <v/>
      </c>
      <c r="AA322" s="18">
        <f>SUMPRODUCT((Source_Evolution!$A$3:$A$731=$A322)*(Source_Evolution!$K$3:$K$731&gt;0))</f>
        <v/>
      </c>
      <c r="AB322" s="18">
        <f>SUMPRODUCT((Source_Evolution!$A$3:$A$731=$A322)*(Source_Evolution!$L$3:$L$731&gt;0))</f>
        <v/>
      </c>
      <c r="AC322" s="18">
        <f>SUMPRODUCT((Source_Evolution!$A$3:$A$731=$A322)*(Source_Evolution!$M$3:$M$731&gt;0))</f>
        <v/>
      </c>
      <c r="AD322" s="18">
        <f>SUMPRODUCT((Source_Evolution!$A$3:$A$731=$A322)*(Source_Evolution!$N$3:$N$731&gt;0))</f>
        <v/>
      </c>
      <c r="AE322" s="18">
        <f>SUMPRODUCT((Source_Evolution!$A$3:$A$731=$A322)*(Source_Evolution!$O$3:$O$731&gt;0))</f>
        <v/>
      </c>
      <c r="AF322" s="18">
        <f>SUMPRODUCT((Source_Evolution!$A$3:$A$731=$A322)*(Source_Evolution!$P$3:$P$731&gt;0))</f>
        <v/>
      </c>
      <c r="AG322" s="18">
        <f>SUMPRODUCT((Source_Evolution!$A$3:$A$731=$A322)*(Source_Evolution!$Q$3:$Q$731&gt;0))</f>
        <v/>
      </c>
    </row>
    <row r="323">
      <c r="A323" t="inlineStr">
        <is>
          <t>Company 52</t>
        </is>
      </c>
      <c r="B323" t="inlineStr">
        <is>
          <t>Software</t>
        </is>
      </c>
      <c r="C323" t="inlineStr">
        <is>
          <t>UK</t>
        </is>
      </c>
      <c r="D323" t="n">
        <v>2019</v>
      </c>
      <c r="E323" s="17">
        <f>SUMIFS(Source_Evolution!$E$3:$E$731,Source_Evolution!$A$3:$A$731,$A323)</f>
        <v/>
      </c>
      <c r="F323" s="17">
        <f>SUMIFS(Source_Evolution!$F$3:$F$731,Source_Evolution!$A$3:$A$731,$A323)</f>
        <v/>
      </c>
      <c r="G323" s="17">
        <f>SUMIFS(Source_Evolution!$G$3:$G$731,Source_Evolution!$A$3:$A$731,$A323)</f>
        <v/>
      </c>
      <c r="H323" s="17">
        <f>SUMIFS(Source_Evolution!$H$3:$H$731,Source_Evolution!$A$3:$A$731,$A323)</f>
        <v/>
      </c>
      <c r="I323" s="17">
        <f>SUMIFS(Source_Evolution!$I$3:$I$731,Source_Evolution!$A$3:$A$731,$A323)</f>
        <v/>
      </c>
      <c r="J323" s="17">
        <f>SUMIFS(Source_Evolution!$J$3:$J$731,Source_Evolution!$A$3:$A$731,$A323)</f>
        <v/>
      </c>
      <c r="K323" s="17">
        <f>SUMIFS(Source_Evolution!$K$3:$K$731,Source_Evolution!$A$3:$A$731,$A323)</f>
        <v/>
      </c>
      <c r="L323" s="17">
        <f>SUMIFS(Source_Evolution!$L$3:$L$731,Source_Evolution!$A$3:$A$731,$A323)</f>
        <v/>
      </c>
      <c r="M323" s="17">
        <f>SUMIFS(Source_Evolution!$M$3:$M$731,Source_Evolution!$A$3:$A$731,$A323)</f>
        <v/>
      </c>
      <c r="N323" s="17">
        <f>SUMIFS(Source_Evolution!$N$3:$N$731,Source_Evolution!$A$3:$A$731,$A323)</f>
        <v/>
      </c>
      <c r="O323" s="17">
        <f>SUMIFS(Source_Evolution!$O$3:$O$731,Source_Evolution!$A$3:$A$731,$A323)</f>
        <v/>
      </c>
      <c r="P323" s="17">
        <f>SUMIFS(Source_Evolution!$P$3:$P$731,Source_Evolution!$A$3:$A$731,$A323)</f>
        <v/>
      </c>
      <c r="Q323" s="17">
        <f>SUMIFS(Source_Evolution!$Q$3:$Q$731,Source_Evolution!$A$3:$A$731,$A323)</f>
        <v/>
      </c>
      <c r="R323" s="17">
        <f>SUM(E323:Q323)</f>
        <v/>
      </c>
      <c r="S323" s="17">
        <f>Q323</f>
        <v/>
      </c>
      <c r="T323">
        <f>IF(B323="Software",1,0)</f>
        <v/>
      </c>
      <c r="U323" s="18">
        <f>SUMPRODUCT((Source_Evolution!$A$3:$A$731=$A323)*(Source_Evolution!$E$3:$E$731&gt;0))</f>
        <v/>
      </c>
      <c r="V323" s="18">
        <f>SUMPRODUCT((Source_Evolution!$A$3:$A$731=$A323)*(Source_Evolution!$F$3:$F$731&gt;0))</f>
        <v/>
      </c>
      <c r="W323" s="18">
        <f>SUMPRODUCT((Source_Evolution!$A$3:$A$731=$A323)*(Source_Evolution!$G$3:$G$731&gt;0))</f>
        <v/>
      </c>
      <c r="X323" s="18">
        <f>SUMPRODUCT((Source_Evolution!$A$3:$A$731=$A323)*(Source_Evolution!$H$3:$H$731&gt;0))</f>
        <v/>
      </c>
      <c r="Y323" s="18">
        <f>SUMPRODUCT((Source_Evolution!$A$3:$A$731=$A323)*(Source_Evolution!$I$3:$I$731&gt;0))</f>
        <v/>
      </c>
      <c r="Z323" s="18">
        <f>SUMPRODUCT((Source_Evolution!$A$3:$A$731=$A323)*(Source_Evolution!$J$3:$J$731&gt;0))</f>
        <v/>
      </c>
      <c r="AA323" s="18">
        <f>SUMPRODUCT((Source_Evolution!$A$3:$A$731=$A323)*(Source_Evolution!$K$3:$K$731&gt;0))</f>
        <v/>
      </c>
      <c r="AB323" s="18">
        <f>SUMPRODUCT((Source_Evolution!$A$3:$A$731=$A323)*(Source_Evolution!$L$3:$L$731&gt;0))</f>
        <v/>
      </c>
      <c r="AC323" s="18">
        <f>SUMPRODUCT((Source_Evolution!$A$3:$A$731=$A323)*(Source_Evolution!$M$3:$M$731&gt;0))</f>
        <v/>
      </c>
      <c r="AD323" s="18">
        <f>SUMPRODUCT((Source_Evolution!$A$3:$A$731=$A323)*(Source_Evolution!$N$3:$N$731&gt;0))</f>
        <v/>
      </c>
      <c r="AE323" s="18">
        <f>SUMPRODUCT((Source_Evolution!$A$3:$A$731=$A323)*(Source_Evolution!$O$3:$O$731&gt;0))</f>
        <v/>
      </c>
      <c r="AF323" s="18">
        <f>SUMPRODUCT((Source_Evolution!$A$3:$A$731=$A323)*(Source_Evolution!$P$3:$P$731&gt;0))</f>
        <v/>
      </c>
      <c r="AG323" s="18">
        <f>SUMPRODUCT((Source_Evolution!$A$3:$A$731=$A323)*(Source_Evolution!$Q$3:$Q$731&gt;0))</f>
        <v/>
      </c>
    </row>
    <row r="324">
      <c r="A324" t="inlineStr">
        <is>
          <t>Company 53</t>
        </is>
      </c>
      <c r="B324" t="inlineStr">
        <is>
          <t>Software</t>
        </is>
      </c>
      <c r="C324" t="inlineStr">
        <is>
          <t>Netherlands</t>
        </is>
      </c>
      <c r="D324" t="n">
        <v>2014</v>
      </c>
      <c r="E324" s="17">
        <f>SUMIFS(Source_Evolution!$E$3:$E$731,Source_Evolution!$A$3:$A$731,$A324)</f>
        <v/>
      </c>
      <c r="F324" s="17">
        <f>SUMIFS(Source_Evolution!$F$3:$F$731,Source_Evolution!$A$3:$A$731,$A324)</f>
        <v/>
      </c>
      <c r="G324" s="17">
        <f>SUMIFS(Source_Evolution!$G$3:$G$731,Source_Evolution!$A$3:$A$731,$A324)</f>
        <v/>
      </c>
      <c r="H324" s="17">
        <f>SUMIFS(Source_Evolution!$H$3:$H$731,Source_Evolution!$A$3:$A$731,$A324)</f>
        <v/>
      </c>
      <c r="I324" s="17">
        <f>SUMIFS(Source_Evolution!$I$3:$I$731,Source_Evolution!$A$3:$A$731,$A324)</f>
        <v/>
      </c>
      <c r="J324" s="17">
        <f>SUMIFS(Source_Evolution!$J$3:$J$731,Source_Evolution!$A$3:$A$731,$A324)</f>
        <v/>
      </c>
      <c r="K324" s="17">
        <f>SUMIFS(Source_Evolution!$K$3:$K$731,Source_Evolution!$A$3:$A$731,$A324)</f>
        <v/>
      </c>
      <c r="L324" s="17">
        <f>SUMIFS(Source_Evolution!$L$3:$L$731,Source_Evolution!$A$3:$A$731,$A324)</f>
        <v/>
      </c>
      <c r="M324" s="17">
        <f>SUMIFS(Source_Evolution!$M$3:$M$731,Source_Evolution!$A$3:$A$731,$A324)</f>
        <v/>
      </c>
      <c r="N324" s="17">
        <f>SUMIFS(Source_Evolution!$N$3:$N$731,Source_Evolution!$A$3:$A$731,$A324)</f>
        <v/>
      </c>
      <c r="O324" s="17">
        <f>SUMIFS(Source_Evolution!$O$3:$O$731,Source_Evolution!$A$3:$A$731,$A324)</f>
        <v/>
      </c>
      <c r="P324" s="17">
        <f>SUMIFS(Source_Evolution!$P$3:$P$731,Source_Evolution!$A$3:$A$731,$A324)</f>
        <v/>
      </c>
      <c r="Q324" s="17">
        <f>SUMIFS(Source_Evolution!$Q$3:$Q$731,Source_Evolution!$A$3:$A$731,$A324)</f>
        <v/>
      </c>
      <c r="R324" s="17">
        <f>SUM(E324:Q324)</f>
        <v/>
      </c>
      <c r="S324" s="17">
        <f>Q324</f>
        <v/>
      </c>
      <c r="T324">
        <f>IF(B324="Software",1,0)</f>
        <v/>
      </c>
      <c r="U324" s="18">
        <f>SUMPRODUCT((Source_Evolution!$A$3:$A$731=$A324)*(Source_Evolution!$E$3:$E$731&gt;0))</f>
        <v/>
      </c>
      <c r="V324" s="18">
        <f>SUMPRODUCT((Source_Evolution!$A$3:$A$731=$A324)*(Source_Evolution!$F$3:$F$731&gt;0))</f>
        <v/>
      </c>
      <c r="W324" s="18">
        <f>SUMPRODUCT((Source_Evolution!$A$3:$A$731=$A324)*(Source_Evolution!$G$3:$G$731&gt;0))</f>
        <v/>
      </c>
      <c r="X324" s="18">
        <f>SUMPRODUCT((Source_Evolution!$A$3:$A$731=$A324)*(Source_Evolution!$H$3:$H$731&gt;0))</f>
        <v/>
      </c>
      <c r="Y324" s="18">
        <f>SUMPRODUCT((Source_Evolution!$A$3:$A$731=$A324)*(Source_Evolution!$I$3:$I$731&gt;0))</f>
        <v/>
      </c>
      <c r="Z324" s="18">
        <f>SUMPRODUCT((Source_Evolution!$A$3:$A$731=$A324)*(Source_Evolution!$J$3:$J$731&gt;0))</f>
        <v/>
      </c>
      <c r="AA324" s="18">
        <f>SUMPRODUCT((Source_Evolution!$A$3:$A$731=$A324)*(Source_Evolution!$K$3:$K$731&gt;0))</f>
        <v/>
      </c>
      <c r="AB324" s="18">
        <f>SUMPRODUCT((Source_Evolution!$A$3:$A$731=$A324)*(Source_Evolution!$L$3:$L$731&gt;0))</f>
        <v/>
      </c>
      <c r="AC324" s="18">
        <f>SUMPRODUCT((Source_Evolution!$A$3:$A$731=$A324)*(Source_Evolution!$M$3:$M$731&gt;0))</f>
        <v/>
      </c>
      <c r="AD324" s="18">
        <f>SUMPRODUCT((Source_Evolution!$A$3:$A$731=$A324)*(Source_Evolution!$N$3:$N$731&gt;0))</f>
        <v/>
      </c>
      <c r="AE324" s="18">
        <f>SUMPRODUCT((Source_Evolution!$A$3:$A$731=$A324)*(Source_Evolution!$O$3:$O$731&gt;0))</f>
        <v/>
      </c>
      <c r="AF324" s="18">
        <f>SUMPRODUCT((Source_Evolution!$A$3:$A$731=$A324)*(Source_Evolution!$P$3:$P$731&gt;0))</f>
        <v/>
      </c>
      <c r="AG324" s="18">
        <f>SUMPRODUCT((Source_Evolution!$A$3:$A$731=$A324)*(Source_Evolution!$Q$3:$Q$731&gt;0))</f>
        <v/>
      </c>
    </row>
    <row r="325">
      <c r="A325" t="inlineStr">
        <is>
          <t>Company 54</t>
        </is>
      </c>
      <c r="B325" t="inlineStr">
        <is>
          <t>Software</t>
        </is>
      </c>
      <c r="C325" t="inlineStr">
        <is>
          <t>UK</t>
        </is>
      </c>
      <c r="D325" t="n">
        <v>2014</v>
      </c>
      <c r="E325" s="17">
        <f>SUMIFS(Source_Evolution!$E$3:$E$731,Source_Evolution!$A$3:$A$731,$A325)</f>
        <v/>
      </c>
      <c r="F325" s="17">
        <f>SUMIFS(Source_Evolution!$F$3:$F$731,Source_Evolution!$A$3:$A$731,$A325)</f>
        <v/>
      </c>
      <c r="G325" s="17">
        <f>SUMIFS(Source_Evolution!$G$3:$G$731,Source_Evolution!$A$3:$A$731,$A325)</f>
        <v/>
      </c>
      <c r="H325" s="17">
        <f>SUMIFS(Source_Evolution!$H$3:$H$731,Source_Evolution!$A$3:$A$731,$A325)</f>
        <v/>
      </c>
      <c r="I325" s="17">
        <f>SUMIFS(Source_Evolution!$I$3:$I$731,Source_Evolution!$A$3:$A$731,$A325)</f>
        <v/>
      </c>
      <c r="J325" s="17">
        <f>SUMIFS(Source_Evolution!$J$3:$J$731,Source_Evolution!$A$3:$A$731,$A325)</f>
        <v/>
      </c>
      <c r="K325" s="17">
        <f>SUMIFS(Source_Evolution!$K$3:$K$731,Source_Evolution!$A$3:$A$731,$A325)</f>
        <v/>
      </c>
      <c r="L325" s="17">
        <f>SUMIFS(Source_Evolution!$L$3:$L$731,Source_Evolution!$A$3:$A$731,$A325)</f>
        <v/>
      </c>
      <c r="M325" s="17">
        <f>SUMIFS(Source_Evolution!$M$3:$M$731,Source_Evolution!$A$3:$A$731,$A325)</f>
        <v/>
      </c>
      <c r="N325" s="17">
        <f>SUMIFS(Source_Evolution!$N$3:$N$731,Source_Evolution!$A$3:$A$731,$A325)</f>
        <v/>
      </c>
      <c r="O325" s="17">
        <f>SUMIFS(Source_Evolution!$O$3:$O$731,Source_Evolution!$A$3:$A$731,$A325)</f>
        <v/>
      </c>
      <c r="P325" s="17">
        <f>SUMIFS(Source_Evolution!$P$3:$P$731,Source_Evolution!$A$3:$A$731,$A325)</f>
        <v/>
      </c>
      <c r="Q325" s="17">
        <f>SUMIFS(Source_Evolution!$Q$3:$Q$731,Source_Evolution!$A$3:$A$731,$A325)</f>
        <v/>
      </c>
      <c r="R325" s="17">
        <f>SUM(E325:Q325)</f>
        <v/>
      </c>
      <c r="S325" s="17">
        <f>Q325</f>
        <v/>
      </c>
      <c r="T325">
        <f>IF(B325="Software",1,0)</f>
        <v/>
      </c>
      <c r="U325" s="18">
        <f>SUMPRODUCT((Source_Evolution!$A$3:$A$731=$A325)*(Source_Evolution!$E$3:$E$731&gt;0))</f>
        <v/>
      </c>
      <c r="V325" s="18">
        <f>SUMPRODUCT((Source_Evolution!$A$3:$A$731=$A325)*(Source_Evolution!$F$3:$F$731&gt;0))</f>
        <v/>
      </c>
      <c r="W325" s="18">
        <f>SUMPRODUCT((Source_Evolution!$A$3:$A$731=$A325)*(Source_Evolution!$G$3:$G$731&gt;0))</f>
        <v/>
      </c>
      <c r="X325" s="18">
        <f>SUMPRODUCT((Source_Evolution!$A$3:$A$731=$A325)*(Source_Evolution!$H$3:$H$731&gt;0))</f>
        <v/>
      </c>
      <c r="Y325" s="18">
        <f>SUMPRODUCT((Source_Evolution!$A$3:$A$731=$A325)*(Source_Evolution!$I$3:$I$731&gt;0))</f>
        <v/>
      </c>
      <c r="Z325" s="18">
        <f>SUMPRODUCT((Source_Evolution!$A$3:$A$731=$A325)*(Source_Evolution!$J$3:$J$731&gt;0))</f>
        <v/>
      </c>
      <c r="AA325" s="18">
        <f>SUMPRODUCT((Source_Evolution!$A$3:$A$731=$A325)*(Source_Evolution!$K$3:$K$731&gt;0))</f>
        <v/>
      </c>
      <c r="AB325" s="18">
        <f>SUMPRODUCT((Source_Evolution!$A$3:$A$731=$A325)*(Source_Evolution!$L$3:$L$731&gt;0))</f>
        <v/>
      </c>
      <c r="AC325" s="18">
        <f>SUMPRODUCT((Source_Evolution!$A$3:$A$731=$A325)*(Source_Evolution!$M$3:$M$731&gt;0))</f>
        <v/>
      </c>
      <c r="AD325" s="18">
        <f>SUMPRODUCT((Source_Evolution!$A$3:$A$731=$A325)*(Source_Evolution!$N$3:$N$731&gt;0))</f>
        <v/>
      </c>
      <c r="AE325" s="18">
        <f>SUMPRODUCT((Source_Evolution!$A$3:$A$731=$A325)*(Source_Evolution!$O$3:$O$731&gt;0))</f>
        <v/>
      </c>
      <c r="AF325" s="18">
        <f>SUMPRODUCT((Source_Evolution!$A$3:$A$731=$A325)*(Source_Evolution!$P$3:$P$731&gt;0))</f>
        <v/>
      </c>
      <c r="AG325" s="18">
        <f>SUMPRODUCT((Source_Evolution!$A$3:$A$731=$A325)*(Source_Evolution!$Q$3:$Q$731&gt;0))</f>
        <v/>
      </c>
    </row>
    <row r="326">
      <c r="A326" t="inlineStr">
        <is>
          <t>Company 55</t>
        </is>
      </c>
      <c r="B326" t="inlineStr">
        <is>
          <t>Software</t>
        </is>
      </c>
      <c r="C326" t="inlineStr">
        <is>
          <t>UK</t>
        </is>
      </c>
      <c r="D326" t="n">
        <v>2014</v>
      </c>
      <c r="E326" s="17">
        <f>SUMIFS(Source_Evolution!$E$3:$E$731,Source_Evolution!$A$3:$A$731,$A326)</f>
        <v/>
      </c>
      <c r="F326" s="17">
        <f>SUMIFS(Source_Evolution!$F$3:$F$731,Source_Evolution!$A$3:$A$731,$A326)</f>
        <v/>
      </c>
      <c r="G326" s="17">
        <f>SUMIFS(Source_Evolution!$G$3:$G$731,Source_Evolution!$A$3:$A$731,$A326)</f>
        <v/>
      </c>
      <c r="H326" s="17">
        <f>SUMIFS(Source_Evolution!$H$3:$H$731,Source_Evolution!$A$3:$A$731,$A326)</f>
        <v/>
      </c>
      <c r="I326" s="17">
        <f>SUMIFS(Source_Evolution!$I$3:$I$731,Source_Evolution!$A$3:$A$731,$A326)</f>
        <v/>
      </c>
      <c r="J326" s="17">
        <f>SUMIFS(Source_Evolution!$J$3:$J$731,Source_Evolution!$A$3:$A$731,$A326)</f>
        <v/>
      </c>
      <c r="K326" s="17">
        <f>SUMIFS(Source_Evolution!$K$3:$K$731,Source_Evolution!$A$3:$A$731,$A326)</f>
        <v/>
      </c>
      <c r="L326" s="17">
        <f>SUMIFS(Source_Evolution!$L$3:$L$731,Source_Evolution!$A$3:$A$731,$A326)</f>
        <v/>
      </c>
      <c r="M326" s="17">
        <f>SUMIFS(Source_Evolution!$M$3:$M$731,Source_Evolution!$A$3:$A$731,$A326)</f>
        <v/>
      </c>
      <c r="N326" s="17">
        <f>SUMIFS(Source_Evolution!$N$3:$N$731,Source_Evolution!$A$3:$A$731,$A326)</f>
        <v/>
      </c>
      <c r="O326" s="17">
        <f>SUMIFS(Source_Evolution!$O$3:$O$731,Source_Evolution!$A$3:$A$731,$A326)</f>
        <v/>
      </c>
      <c r="P326" s="17">
        <f>SUMIFS(Source_Evolution!$P$3:$P$731,Source_Evolution!$A$3:$A$731,$A326)</f>
        <v/>
      </c>
      <c r="Q326" s="17">
        <f>SUMIFS(Source_Evolution!$Q$3:$Q$731,Source_Evolution!$A$3:$A$731,$A326)</f>
        <v/>
      </c>
      <c r="R326" s="17">
        <f>SUM(E326:Q326)</f>
        <v/>
      </c>
      <c r="S326" s="17">
        <f>Q326</f>
        <v/>
      </c>
      <c r="T326">
        <f>IF(B326="Software",1,0)</f>
        <v/>
      </c>
      <c r="U326" s="18">
        <f>SUMPRODUCT((Source_Evolution!$A$3:$A$731=$A326)*(Source_Evolution!$E$3:$E$731&gt;0))</f>
        <v/>
      </c>
      <c r="V326" s="18">
        <f>SUMPRODUCT((Source_Evolution!$A$3:$A$731=$A326)*(Source_Evolution!$F$3:$F$731&gt;0))</f>
        <v/>
      </c>
      <c r="W326" s="18">
        <f>SUMPRODUCT((Source_Evolution!$A$3:$A$731=$A326)*(Source_Evolution!$G$3:$G$731&gt;0))</f>
        <v/>
      </c>
      <c r="X326" s="18">
        <f>SUMPRODUCT((Source_Evolution!$A$3:$A$731=$A326)*(Source_Evolution!$H$3:$H$731&gt;0))</f>
        <v/>
      </c>
      <c r="Y326" s="18">
        <f>SUMPRODUCT((Source_Evolution!$A$3:$A$731=$A326)*(Source_Evolution!$I$3:$I$731&gt;0))</f>
        <v/>
      </c>
      <c r="Z326" s="18">
        <f>SUMPRODUCT((Source_Evolution!$A$3:$A$731=$A326)*(Source_Evolution!$J$3:$J$731&gt;0))</f>
        <v/>
      </c>
      <c r="AA326" s="18">
        <f>SUMPRODUCT((Source_Evolution!$A$3:$A$731=$A326)*(Source_Evolution!$K$3:$K$731&gt;0))</f>
        <v/>
      </c>
      <c r="AB326" s="18">
        <f>SUMPRODUCT((Source_Evolution!$A$3:$A$731=$A326)*(Source_Evolution!$L$3:$L$731&gt;0))</f>
        <v/>
      </c>
      <c r="AC326" s="18">
        <f>SUMPRODUCT((Source_Evolution!$A$3:$A$731=$A326)*(Source_Evolution!$M$3:$M$731&gt;0))</f>
        <v/>
      </c>
      <c r="AD326" s="18">
        <f>SUMPRODUCT((Source_Evolution!$A$3:$A$731=$A326)*(Source_Evolution!$N$3:$N$731&gt;0))</f>
        <v/>
      </c>
      <c r="AE326" s="18">
        <f>SUMPRODUCT((Source_Evolution!$A$3:$A$731=$A326)*(Source_Evolution!$O$3:$O$731&gt;0))</f>
        <v/>
      </c>
      <c r="AF326" s="18">
        <f>SUMPRODUCT((Source_Evolution!$A$3:$A$731=$A326)*(Source_Evolution!$P$3:$P$731&gt;0))</f>
        <v/>
      </c>
      <c r="AG326" s="18">
        <f>SUMPRODUCT((Source_Evolution!$A$3:$A$731=$A326)*(Source_Evolution!$Q$3:$Q$731&gt;0))</f>
        <v/>
      </c>
    </row>
    <row r="327">
      <c r="A327" t="inlineStr">
        <is>
          <t>Company 56</t>
        </is>
      </c>
      <c r="B327" t="inlineStr">
        <is>
          <t>Software</t>
        </is>
      </c>
      <c r="C327" t="inlineStr">
        <is>
          <t>UK</t>
        </is>
      </c>
      <c r="D327" t="n">
        <v>2023</v>
      </c>
      <c r="E327" s="17">
        <f>SUMIFS(Source_Evolution!$E$3:$E$731,Source_Evolution!$A$3:$A$731,$A327)</f>
        <v/>
      </c>
      <c r="F327" s="17">
        <f>SUMIFS(Source_Evolution!$F$3:$F$731,Source_Evolution!$A$3:$A$731,$A327)</f>
        <v/>
      </c>
      <c r="G327" s="17">
        <f>SUMIFS(Source_Evolution!$G$3:$G$731,Source_Evolution!$A$3:$A$731,$A327)</f>
        <v/>
      </c>
      <c r="H327" s="17">
        <f>SUMIFS(Source_Evolution!$H$3:$H$731,Source_Evolution!$A$3:$A$731,$A327)</f>
        <v/>
      </c>
      <c r="I327" s="17">
        <f>SUMIFS(Source_Evolution!$I$3:$I$731,Source_Evolution!$A$3:$A$731,$A327)</f>
        <v/>
      </c>
      <c r="J327" s="17">
        <f>SUMIFS(Source_Evolution!$J$3:$J$731,Source_Evolution!$A$3:$A$731,$A327)</f>
        <v/>
      </c>
      <c r="K327" s="17">
        <f>SUMIFS(Source_Evolution!$K$3:$K$731,Source_Evolution!$A$3:$A$731,$A327)</f>
        <v/>
      </c>
      <c r="L327" s="17">
        <f>SUMIFS(Source_Evolution!$L$3:$L$731,Source_Evolution!$A$3:$A$731,$A327)</f>
        <v/>
      </c>
      <c r="M327" s="17">
        <f>SUMIFS(Source_Evolution!$M$3:$M$731,Source_Evolution!$A$3:$A$731,$A327)</f>
        <v/>
      </c>
      <c r="N327" s="17">
        <f>SUMIFS(Source_Evolution!$N$3:$N$731,Source_Evolution!$A$3:$A$731,$A327)</f>
        <v/>
      </c>
      <c r="O327" s="17">
        <f>SUMIFS(Source_Evolution!$O$3:$O$731,Source_Evolution!$A$3:$A$731,$A327)</f>
        <v/>
      </c>
      <c r="P327" s="17">
        <f>SUMIFS(Source_Evolution!$P$3:$P$731,Source_Evolution!$A$3:$A$731,$A327)</f>
        <v/>
      </c>
      <c r="Q327" s="17">
        <f>SUMIFS(Source_Evolution!$Q$3:$Q$731,Source_Evolution!$A$3:$A$731,$A327)</f>
        <v/>
      </c>
      <c r="R327" s="17">
        <f>SUM(E327:Q327)</f>
        <v/>
      </c>
      <c r="S327" s="17">
        <f>Q327</f>
        <v/>
      </c>
      <c r="T327">
        <f>IF(B327="Software",1,0)</f>
        <v/>
      </c>
      <c r="U327" s="18">
        <f>SUMPRODUCT((Source_Evolution!$A$3:$A$731=$A327)*(Source_Evolution!$E$3:$E$731&gt;0))</f>
        <v/>
      </c>
      <c r="V327" s="18">
        <f>SUMPRODUCT((Source_Evolution!$A$3:$A$731=$A327)*(Source_Evolution!$F$3:$F$731&gt;0))</f>
        <v/>
      </c>
      <c r="W327" s="18">
        <f>SUMPRODUCT((Source_Evolution!$A$3:$A$731=$A327)*(Source_Evolution!$G$3:$G$731&gt;0))</f>
        <v/>
      </c>
      <c r="X327" s="18">
        <f>SUMPRODUCT((Source_Evolution!$A$3:$A$731=$A327)*(Source_Evolution!$H$3:$H$731&gt;0))</f>
        <v/>
      </c>
      <c r="Y327" s="18">
        <f>SUMPRODUCT((Source_Evolution!$A$3:$A$731=$A327)*(Source_Evolution!$I$3:$I$731&gt;0))</f>
        <v/>
      </c>
      <c r="Z327" s="18">
        <f>SUMPRODUCT((Source_Evolution!$A$3:$A$731=$A327)*(Source_Evolution!$J$3:$J$731&gt;0))</f>
        <v/>
      </c>
      <c r="AA327" s="18">
        <f>SUMPRODUCT((Source_Evolution!$A$3:$A$731=$A327)*(Source_Evolution!$K$3:$K$731&gt;0))</f>
        <v/>
      </c>
      <c r="AB327" s="18">
        <f>SUMPRODUCT((Source_Evolution!$A$3:$A$731=$A327)*(Source_Evolution!$L$3:$L$731&gt;0))</f>
        <v/>
      </c>
      <c r="AC327" s="18">
        <f>SUMPRODUCT((Source_Evolution!$A$3:$A$731=$A327)*(Source_Evolution!$M$3:$M$731&gt;0))</f>
        <v/>
      </c>
      <c r="AD327" s="18">
        <f>SUMPRODUCT((Source_Evolution!$A$3:$A$731=$A327)*(Source_Evolution!$N$3:$N$731&gt;0))</f>
        <v/>
      </c>
      <c r="AE327" s="18">
        <f>SUMPRODUCT((Source_Evolution!$A$3:$A$731=$A327)*(Source_Evolution!$O$3:$O$731&gt;0))</f>
        <v/>
      </c>
      <c r="AF327" s="18">
        <f>SUMPRODUCT((Source_Evolution!$A$3:$A$731=$A327)*(Source_Evolution!$P$3:$P$731&gt;0))</f>
        <v/>
      </c>
      <c r="AG327" s="18">
        <f>SUMPRODUCT((Source_Evolution!$A$3:$A$731=$A327)*(Source_Evolution!$Q$3:$Q$731&gt;0))</f>
        <v/>
      </c>
    </row>
    <row r="328">
      <c r="A328" t="inlineStr">
        <is>
          <t>Company 57</t>
        </is>
      </c>
      <c r="B328" t="inlineStr">
        <is>
          <t>Software</t>
        </is>
      </c>
      <c r="C328" t="inlineStr">
        <is>
          <t>UK</t>
        </is>
      </c>
      <c r="D328" t="n">
        <v>2014</v>
      </c>
      <c r="E328" s="17">
        <f>SUMIFS(Source_Evolution!$E$3:$E$731,Source_Evolution!$A$3:$A$731,$A328)</f>
        <v/>
      </c>
      <c r="F328" s="17">
        <f>SUMIFS(Source_Evolution!$F$3:$F$731,Source_Evolution!$A$3:$A$731,$A328)</f>
        <v/>
      </c>
      <c r="G328" s="17">
        <f>SUMIFS(Source_Evolution!$G$3:$G$731,Source_Evolution!$A$3:$A$731,$A328)</f>
        <v/>
      </c>
      <c r="H328" s="17">
        <f>SUMIFS(Source_Evolution!$H$3:$H$731,Source_Evolution!$A$3:$A$731,$A328)</f>
        <v/>
      </c>
      <c r="I328" s="17">
        <f>SUMIFS(Source_Evolution!$I$3:$I$731,Source_Evolution!$A$3:$A$731,$A328)</f>
        <v/>
      </c>
      <c r="J328" s="17">
        <f>SUMIFS(Source_Evolution!$J$3:$J$731,Source_Evolution!$A$3:$A$731,$A328)</f>
        <v/>
      </c>
      <c r="K328" s="17">
        <f>SUMIFS(Source_Evolution!$K$3:$K$731,Source_Evolution!$A$3:$A$731,$A328)</f>
        <v/>
      </c>
      <c r="L328" s="17">
        <f>SUMIFS(Source_Evolution!$L$3:$L$731,Source_Evolution!$A$3:$A$731,$A328)</f>
        <v/>
      </c>
      <c r="M328" s="17">
        <f>SUMIFS(Source_Evolution!$M$3:$M$731,Source_Evolution!$A$3:$A$731,$A328)</f>
        <v/>
      </c>
      <c r="N328" s="17">
        <f>SUMIFS(Source_Evolution!$N$3:$N$731,Source_Evolution!$A$3:$A$731,$A328)</f>
        <v/>
      </c>
      <c r="O328" s="17">
        <f>SUMIFS(Source_Evolution!$O$3:$O$731,Source_Evolution!$A$3:$A$731,$A328)</f>
        <v/>
      </c>
      <c r="P328" s="17">
        <f>SUMIFS(Source_Evolution!$P$3:$P$731,Source_Evolution!$A$3:$A$731,$A328)</f>
        <v/>
      </c>
      <c r="Q328" s="17">
        <f>SUMIFS(Source_Evolution!$Q$3:$Q$731,Source_Evolution!$A$3:$A$731,$A328)</f>
        <v/>
      </c>
      <c r="R328" s="17">
        <f>SUM(E328:Q328)</f>
        <v/>
      </c>
      <c r="S328" s="17">
        <f>Q328</f>
        <v/>
      </c>
      <c r="T328">
        <f>IF(B328="Software",1,0)</f>
        <v/>
      </c>
      <c r="U328" s="18">
        <f>SUMPRODUCT((Source_Evolution!$A$3:$A$731=$A328)*(Source_Evolution!$E$3:$E$731&gt;0))</f>
        <v/>
      </c>
      <c r="V328" s="18">
        <f>SUMPRODUCT((Source_Evolution!$A$3:$A$731=$A328)*(Source_Evolution!$F$3:$F$731&gt;0))</f>
        <v/>
      </c>
      <c r="W328" s="18">
        <f>SUMPRODUCT((Source_Evolution!$A$3:$A$731=$A328)*(Source_Evolution!$G$3:$G$731&gt;0))</f>
        <v/>
      </c>
      <c r="X328" s="18">
        <f>SUMPRODUCT((Source_Evolution!$A$3:$A$731=$A328)*(Source_Evolution!$H$3:$H$731&gt;0))</f>
        <v/>
      </c>
      <c r="Y328" s="18">
        <f>SUMPRODUCT((Source_Evolution!$A$3:$A$731=$A328)*(Source_Evolution!$I$3:$I$731&gt;0))</f>
        <v/>
      </c>
      <c r="Z328" s="18">
        <f>SUMPRODUCT((Source_Evolution!$A$3:$A$731=$A328)*(Source_Evolution!$J$3:$J$731&gt;0))</f>
        <v/>
      </c>
      <c r="AA328" s="18">
        <f>SUMPRODUCT((Source_Evolution!$A$3:$A$731=$A328)*(Source_Evolution!$K$3:$K$731&gt;0))</f>
        <v/>
      </c>
      <c r="AB328" s="18">
        <f>SUMPRODUCT((Source_Evolution!$A$3:$A$731=$A328)*(Source_Evolution!$L$3:$L$731&gt;0))</f>
        <v/>
      </c>
      <c r="AC328" s="18">
        <f>SUMPRODUCT((Source_Evolution!$A$3:$A$731=$A328)*(Source_Evolution!$M$3:$M$731&gt;0))</f>
        <v/>
      </c>
      <c r="AD328" s="18">
        <f>SUMPRODUCT((Source_Evolution!$A$3:$A$731=$A328)*(Source_Evolution!$N$3:$N$731&gt;0))</f>
        <v/>
      </c>
      <c r="AE328" s="18">
        <f>SUMPRODUCT((Source_Evolution!$A$3:$A$731=$A328)*(Source_Evolution!$O$3:$O$731&gt;0))</f>
        <v/>
      </c>
      <c r="AF328" s="18">
        <f>SUMPRODUCT((Source_Evolution!$A$3:$A$731=$A328)*(Source_Evolution!$P$3:$P$731&gt;0))</f>
        <v/>
      </c>
      <c r="AG328" s="18">
        <f>SUMPRODUCT((Source_Evolution!$A$3:$A$731=$A328)*(Source_Evolution!$Q$3:$Q$731&gt;0))</f>
        <v/>
      </c>
    </row>
    <row r="329">
      <c r="A329" t="inlineStr">
        <is>
          <t>Company 58</t>
        </is>
      </c>
      <c r="B329" t="inlineStr">
        <is>
          <t>Operations</t>
        </is>
      </c>
      <c r="C329" t="inlineStr">
        <is>
          <t>UK</t>
        </is>
      </c>
      <c r="D329" t="n">
        <v>2014</v>
      </c>
      <c r="E329" s="17">
        <f>SUMIFS(Source_Evolution!$E$3:$E$731,Source_Evolution!$A$3:$A$731,$A329)</f>
        <v/>
      </c>
      <c r="F329" s="17">
        <f>SUMIFS(Source_Evolution!$F$3:$F$731,Source_Evolution!$A$3:$A$731,$A329)</f>
        <v/>
      </c>
      <c r="G329" s="17">
        <f>SUMIFS(Source_Evolution!$G$3:$G$731,Source_Evolution!$A$3:$A$731,$A329)</f>
        <v/>
      </c>
      <c r="H329" s="17">
        <f>SUMIFS(Source_Evolution!$H$3:$H$731,Source_Evolution!$A$3:$A$731,$A329)</f>
        <v/>
      </c>
      <c r="I329" s="17">
        <f>SUMIFS(Source_Evolution!$I$3:$I$731,Source_Evolution!$A$3:$A$731,$A329)</f>
        <v/>
      </c>
      <c r="J329" s="17">
        <f>SUMIFS(Source_Evolution!$J$3:$J$731,Source_Evolution!$A$3:$A$731,$A329)</f>
        <v/>
      </c>
      <c r="K329" s="17">
        <f>SUMIFS(Source_Evolution!$K$3:$K$731,Source_Evolution!$A$3:$A$731,$A329)</f>
        <v/>
      </c>
      <c r="L329" s="17">
        <f>SUMIFS(Source_Evolution!$L$3:$L$731,Source_Evolution!$A$3:$A$731,$A329)</f>
        <v/>
      </c>
      <c r="M329" s="17">
        <f>SUMIFS(Source_Evolution!$M$3:$M$731,Source_Evolution!$A$3:$A$731,$A329)</f>
        <v/>
      </c>
      <c r="N329" s="17">
        <f>SUMIFS(Source_Evolution!$N$3:$N$731,Source_Evolution!$A$3:$A$731,$A329)</f>
        <v/>
      </c>
      <c r="O329" s="17">
        <f>SUMIFS(Source_Evolution!$O$3:$O$731,Source_Evolution!$A$3:$A$731,$A329)</f>
        <v/>
      </c>
      <c r="P329" s="17">
        <f>SUMIFS(Source_Evolution!$P$3:$P$731,Source_Evolution!$A$3:$A$731,$A329)</f>
        <v/>
      </c>
      <c r="Q329" s="17">
        <f>SUMIFS(Source_Evolution!$Q$3:$Q$731,Source_Evolution!$A$3:$A$731,$A329)</f>
        <v/>
      </c>
      <c r="R329" s="17">
        <f>SUM(E329:Q329)</f>
        <v/>
      </c>
      <c r="S329" s="17">
        <f>Q329</f>
        <v/>
      </c>
      <c r="T329">
        <f>IF(B329="Software",1,0)</f>
        <v/>
      </c>
      <c r="U329" s="18">
        <f>SUMPRODUCT((Source_Evolution!$A$3:$A$731=$A329)*(Source_Evolution!$E$3:$E$731&gt;0))</f>
        <v/>
      </c>
      <c r="V329" s="18">
        <f>SUMPRODUCT((Source_Evolution!$A$3:$A$731=$A329)*(Source_Evolution!$F$3:$F$731&gt;0))</f>
        <v/>
      </c>
      <c r="W329" s="18">
        <f>SUMPRODUCT((Source_Evolution!$A$3:$A$731=$A329)*(Source_Evolution!$G$3:$G$731&gt;0))</f>
        <v/>
      </c>
      <c r="X329" s="18">
        <f>SUMPRODUCT((Source_Evolution!$A$3:$A$731=$A329)*(Source_Evolution!$H$3:$H$731&gt;0))</f>
        <v/>
      </c>
      <c r="Y329" s="18">
        <f>SUMPRODUCT((Source_Evolution!$A$3:$A$731=$A329)*(Source_Evolution!$I$3:$I$731&gt;0))</f>
        <v/>
      </c>
      <c r="Z329" s="18">
        <f>SUMPRODUCT((Source_Evolution!$A$3:$A$731=$A329)*(Source_Evolution!$J$3:$J$731&gt;0))</f>
        <v/>
      </c>
      <c r="AA329" s="18">
        <f>SUMPRODUCT((Source_Evolution!$A$3:$A$731=$A329)*(Source_Evolution!$K$3:$K$731&gt;0))</f>
        <v/>
      </c>
      <c r="AB329" s="18">
        <f>SUMPRODUCT((Source_Evolution!$A$3:$A$731=$A329)*(Source_Evolution!$L$3:$L$731&gt;0))</f>
        <v/>
      </c>
      <c r="AC329" s="18">
        <f>SUMPRODUCT((Source_Evolution!$A$3:$A$731=$A329)*(Source_Evolution!$M$3:$M$731&gt;0))</f>
        <v/>
      </c>
      <c r="AD329" s="18">
        <f>SUMPRODUCT((Source_Evolution!$A$3:$A$731=$A329)*(Source_Evolution!$N$3:$N$731&gt;0))</f>
        <v/>
      </c>
      <c r="AE329" s="18">
        <f>SUMPRODUCT((Source_Evolution!$A$3:$A$731=$A329)*(Source_Evolution!$O$3:$O$731&gt;0))</f>
        <v/>
      </c>
      <c r="AF329" s="18">
        <f>SUMPRODUCT((Source_Evolution!$A$3:$A$731=$A329)*(Source_Evolution!$P$3:$P$731&gt;0))</f>
        <v/>
      </c>
      <c r="AG329" s="18">
        <f>SUMPRODUCT((Source_Evolution!$A$3:$A$731=$A329)*(Source_Evolution!$Q$3:$Q$731&gt;0))</f>
        <v/>
      </c>
    </row>
    <row r="330">
      <c r="A330" t="inlineStr">
        <is>
          <t>Company 59</t>
        </is>
      </c>
      <c r="B330" t="inlineStr">
        <is>
          <t>Software</t>
        </is>
      </c>
      <c r="C330" t="inlineStr">
        <is>
          <t>Belgium</t>
        </is>
      </c>
      <c r="D330" t="n">
        <v>2025</v>
      </c>
      <c r="E330" s="17">
        <f>SUMIFS(Source_Evolution!$E$3:$E$731,Source_Evolution!$A$3:$A$731,$A330)</f>
        <v/>
      </c>
      <c r="F330" s="17">
        <f>SUMIFS(Source_Evolution!$F$3:$F$731,Source_Evolution!$A$3:$A$731,$A330)</f>
        <v/>
      </c>
      <c r="G330" s="17">
        <f>SUMIFS(Source_Evolution!$G$3:$G$731,Source_Evolution!$A$3:$A$731,$A330)</f>
        <v/>
      </c>
      <c r="H330" s="17">
        <f>SUMIFS(Source_Evolution!$H$3:$H$731,Source_Evolution!$A$3:$A$731,$A330)</f>
        <v/>
      </c>
      <c r="I330" s="17">
        <f>SUMIFS(Source_Evolution!$I$3:$I$731,Source_Evolution!$A$3:$A$731,$A330)</f>
        <v/>
      </c>
      <c r="J330" s="17">
        <f>SUMIFS(Source_Evolution!$J$3:$J$731,Source_Evolution!$A$3:$A$731,$A330)</f>
        <v/>
      </c>
      <c r="K330" s="17">
        <f>SUMIFS(Source_Evolution!$K$3:$K$731,Source_Evolution!$A$3:$A$731,$A330)</f>
        <v/>
      </c>
      <c r="L330" s="17">
        <f>SUMIFS(Source_Evolution!$L$3:$L$731,Source_Evolution!$A$3:$A$731,$A330)</f>
        <v/>
      </c>
      <c r="M330" s="17">
        <f>SUMIFS(Source_Evolution!$M$3:$M$731,Source_Evolution!$A$3:$A$731,$A330)</f>
        <v/>
      </c>
      <c r="N330" s="17">
        <f>SUMIFS(Source_Evolution!$N$3:$N$731,Source_Evolution!$A$3:$A$731,$A330)</f>
        <v/>
      </c>
      <c r="O330" s="17">
        <f>SUMIFS(Source_Evolution!$O$3:$O$731,Source_Evolution!$A$3:$A$731,$A330)</f>
        <v/>
      </c>
      <c r="P330" s="17">
        <f>SUMIFS(Source_Evolution!$P$3:$P$731,Source_Evolution!$A$3:$A$731,$A330)</f>
        <v/>
      </c>
      <c r="Q330" s="17">
        <f>SUMIFS(Source_Evolution!$Q$3:$Q$731,Source_Evolution!$A$3:$A$731,$A330)</f>
        <v/>
      </c>
      <c r="R330" s="17">
        <f>SUM(E330:Q330)</f>
        <v/>
      </c>
      <c r="S330" s="17">
        <f>Q330</f>
        <v/>
      </c>
      <c r="T330">
        <f>IF(B330="Software",1,0)</f>
        <v/>
      </c>
      <c r="U330" s="18">
        <f>SUMPRODUCT((Source_Evolution!$A$3:$A$731=$A330)*(Source_Evolution!$E$3:$E$731&gt;0))</f>
        <v/>
      </c>
      <c r="V330" s="18">
        <f>SUMPRODUCT((Source_Evolution!$A$3:$A$731=$A330)*(Source_Evolution!$F$3:$F$731&gt;0))</f>
        <v/>
      </c>
      <c r="W330" s="18">
        <f>SUMPRODUCT((Source_Evolution!$A$3:$A$731=$A330)*(Source_Evolution!$G$3:$G$731&gt;0))</f>
        <v/>
      </c>
      <c r="X330" s="18">
        <f>SUMPRODUCT((Source_Evolution!$A$3:$A$731=$A330)*(Source_Evolution!$H$3:$H$731&gt;0))</f>
        <v/>
      </c>
      <c r="Y330" s="18">
        <f>SUMPRODUCT((Source_Evolution!$A$3:$A$731=$A330)*(Source_Evolution!$I$3:$I$731&gt;0))</f>
        <v/>
      </c>
      <c r="Z330" s="18">
        <f>SUMPRODUCT((Source_Evolution!$A$3:$A$731=$A330)*(Source_Evolution!$J$3:$J$731&gt;0))</f>
        <v/>
      </c>
      <c r="AA330" s="18">
        <f>SUMPRODUCT((Source_Evolution!$A$3:$A$731=$A330)*(Source_Evolution!$K$3:$K$731&gt;0))</f>
        <v/>
      </c>
      <c r="AB330" s="18">
        <f>SUMPRODUCT((Source_Evolution!$A$3:$A$731=$A330)*(Source_Evolution!$L$3:$L$731&gt;0))</f>
        <v/>
      </c>
      <c r="AC330" s="18">
        <f>SUMPRODUCT((Source_Evolution!$A$3:$A$731=$A330)*(Source_Evolution!$M$3:$M$731&gt;0))</f>
        <v/>
      </c>
      <c r="AD330" s="18">
        <f>SUMPRODUCT((Source_Evolution!$A$3:$A$731=$A330)*(Source_Evolution!$N$3:$N$731&gt;0))</f>
        <v/>
      </c>
      <c r="AE330" s="18">
        <f>SUMPRODUCT((Source_Evolution!$A$3:$A$731=$A330)*(Source_Evolution!$O$3:$O$731&gt;0))</f>
        <v/>
      </c>
      <c r="AF330" s="18">
        <f>SUMPRODUCT((Source_Evolution!$A$3:$A$731=$A330)*(Source_Evolution!$P$3:$P$731&gt;0))</f>
        <v/>
      </c>
      <c r="AG330" s="18">
        <f>SUMPRODUCT((Source_Evolution!$A$3:$A$731=$A330)*(Source_Evolution!$Q$3:$Q$731&gt;0))</f>
        <v/>
      </c>
    </row>
    <row r="331">
      <c r="A331" t="inlineStr">
        <is>
          <t>Company 6</t>
        </is>
      </c>
      <c r="B331" t="inlineStr">
        <is>
          <t>Operations</t>
        </is>
      </c>
      <c r="C331" t="inlineStr">
        <is>
          <t>UK</t>
        </is>
      </c>
      <c r="D331" t="n">
        <v>2014</v>
      </c>
      <c r="E331" s="17">
        <f>SUMIFS(Source_Evolution!$E$3:$E$731,Source_Evolution!$A$3:$A$731,$A331)</f>
        <v/>
      </c>
      <c r="F331" s="17">
        <f>SUMIFS(Source_Evolution!$F$3:$F$731,Source_Evolution!$A$3:$A$731,$A331)</f>
        <v/>
      </c>
      <c r="G331" s="17">
        <f>SUMIFS(Source_Evolution!$G$3:$G$731,Source_Evolution!$A$3:$A$731,$A331)</f>
        <v/>
      </c>
      <c r="H331" s="17">
        <f>SUMIFS(Source_Evolution!$H$3:$H$731,Source_Evolution!$A$3:$A$731,$A331)</f>
        <v/>
      </c>
      <c r="I331" s="17">
        <f>SUMIFS(Source_Evolution!$I$3:$I$731,Source_Evolution!$A$3:$A$731,$A331)</f>
        <v/>
      </c>
      <c r="J331" s="17">
        <f>SUMIFS(Source_Evolution!$J$3:$J$731,Source_Evolution!$A$3:$A$731,$A331)</f>
        <v/>
      </c>
      <c r="K331" s="17">
        <f>SUMIFS(Source_Evolution!$K$3:$K$731,Source_Evolution!$A$3:$A$731,$A331)</f>
        <v/>
      </c>
      <c r="L331" s="17">
        <f>SUMIFS(Source_Evolution!$L$3:$L$731,Source_Evolution!$A$3:$A$731,$A331)</f>
        <v/>
      </c>
      <c r="M331" s="17">
        <f>SUMIFS(Source_Evolution!$M$3:$M$731,Source_Evolution!$A$3:$A$731,$A331)</f>
        <v/>
      </c>
      <c r="N331" s="17">
        <f>SUMIFS(Source_Evolution!$N$3:$N$731,Source_Evolution!$A$3:$A$731,$A331)</f>
        <v/>
      </c>
      <c r="O331" s="17">
        <f>SUMIFS(Source_Evolution!$O$3:$O$731,Source_Evolution!$A$3:$A$731,$A331)</f>
        <v/>
      </c>
      <c r="P331" s="17">
        <f>SUMIFS(Source_Evolution!$P$3:$P$731,Source_Evolution!$A$3:$A$731,$A331)</f>
        <v/>
      </c>
      <c r="Q331" s="17">
        <f>SUMIFS(Source_Evolution!$Q$3:$Q$731,Source_Evolution!$A$3:$A$731,$A331)</f>
        <v/>
      </c>
      <c r="R331" s="17">
        <f>SUM(E331:Q331)</f>
        <v/>
      </c>
      <c r="S331" s="17">
        <f>Q331</f>
        <v/>
      </c>
      <c r="T331">
        <f>IF(B331="Software",1,0)</f>
        <v/>
      </c>
      <c r="U331" s="18">
        <f>SUMPRODUCT((Source_Evolution!$A$3:$A$731=$A331)*(Source_Evolution!$E$3:$E$731&gt;0))</f>
        <v/>
      </c>
      <c r="V331" s="18">
        <f>SUMPRODUCT((Source_Evolution!$A$3:$A$731=$A331)*(Source_Evolution!$F$3:$F$731&gt;0))</f>
        <v/>
      </c>
      <c r="W331" s="18">
        <f>SUMPRODUCT((Source_Evolution!$A$3:$A$731=$A331)*(Source_Evolution!$G$3:$G$731&gt;0))</f>
        <v/>
      </c>
      <c r="X331" s="18">
        <f>SUMPRODUCT((Source_Evolution!$A$3:$A$731=$A331)*(Source_Evolution!$H$3:$H$731&gt;0))</f>
        <v/>
      </c>
      <c r="Y331" s="18">
        <f>SUMPRODUCT((Source_Evolution!$A$3:$A$731=$A331)*(Source_Evolution!$I$3:$I$731&gt;0))</f>
        <v/>
      </c>
      <c r="Z331" s="18">
        <f>SUMPRODUCT((Source_Evolution!$A$3:$A$731=$A331)*(Source_Evolution!$J$3:$J$731&gt;0))</f>
        <v/>
      </c>
      <c r="AA331" s="18">
        <f>SUMPRODUCT((Source_Evolution!$A$3:$A$731=$A331)*(Source_Evolution!$K$3:$K$731&gt;0))</f>
        <v/>
      </c>
      <c r="AB331" s="18">
        <f>SUMPRODUCT((Source_Evolution!$A$3:$A$731=$A331)*(Source_Evolution!$L$3:$L$731&gt;0))</f>
        <v/>
      </c>
      <c r="AC331" s="18">
        <f>SUMPRODUCT((Source_Evolution!$A$3:$A$731=$A331)*(Source_Evolution!$M$3:$M$731&gt;0))</f>
        <v/>
      </c>
      <c r="AD331" s="18">
        <f>SUMPRODUCT((Source_Evolution!$A$3:$A$731=$A331)*(Source_Evolution!$N$3:$N$731&gt;0))</f>
        <v/>
      </c>
      <c r="AE331" s="18">
        <f>SUMPRODUCT((Source_Evolution!$A$3:$A$731=$A331)*(Source_Evolution!$O$3:$O$731&gt;0))</f>
        <v/>
      </c>
      <c r="AF331" s="18">
        <f>SUMPRODUCT((Source_Evolution!$A$3:$A$731=$A331)*(Source_Evolution!$P$3:$P$731&gt;0))</f>
        <v/>
      </c>
      <c r="AG331" s="18">
        <f>SUMPRODUCT((Source_Evolution!$A$3:$A$731=$A331)*(Source_Evolution!$Q$3:$Q$731&gt;0))</f>
        <v/>
      </c>
    </row>
    <row r="332">
      <c r="A332" t="inlineStr">
        <is>
          <t>Company 60</t>
        </is>
      </c>
      <c r="B332" t="inlineStr">
        <is>
          <t>Operations</t>
        </is>
      </c>
      <c r="C332" t="inlineStr">
        <is>
          <t>UK</t>
        </is>
      </c>
      <c r="D332" t="n">
        <v>2014</v>
      </c>
      <c r="E332" s="17">
        <f>SUMIFS(Source_Evolution!$E$3:$E$731,Source_Evolution!$A$3:$A$731,$A332)</f>
        <v/>
      </c>
      <c r="F332" s="17">
        <f>SUMIFS(Source_Evolution!$F$3:$F$731,Source_Evolution!$A$3:$A$731,$A332)</f>
        <v/>
      </c>
      <c r="G332" s="17">
        <f>SUMIFS(Source_Evolution!$G$3:$G$731,Source_Evolution!$A$3:$A$731,$A332)</f>
        <v/>
      </c>
      <c r="H332" s="17">
        <f>SUMIFS(Source_Evolution!$H$3:$H$731,Source_Evolution!$A$3:$A$731,$A332)</f>
        <v/>
      </c>
      <c r="I332" s="17">
        <f>SUMIFS(Source_Evolution!$I$3:$I$731,Source_Evolution!$A$3:$A$731,$A332)</f>
        <v/>
      </c>
      <c r="J332" s="17">
        <f>SUMIFS(Source_Evolution!$J$3:$J$731,Source_Evolution!$A$3:$A$731,$A332)</f>
        <v/>
      </c>
      <c r="K332" s="17">
        <f>SUMIFS(Source_Evolution!$K$3:$K$731,Source_Evolution!$A$3:$A$731,$A332)</f>
        <v/>
      </c>
      <c r="L332" s="17">
        <f>SUMIFS(Source_Evolution!$L$3:$L$731,Source_Evolution!$A$3:$A$731,$A332)</f>
        <v/>
      </c>
      <c r="M332" s="17">
        <f>SUMIFS(Source_Evolution!$M$3:$M$731,Source_Evolution!$A$3:$A$731,$A332)</f>
        <v/>
      </c>
      <c r="N332" s="17">
        <f>SUMIFS(Source_Evolution!$N$3:$N$731,Source_Evolution!$A$3:$A$731,$A332)</f>
        <v/>
      </c>
      <c r="O332" s="17">
        <f>SUMIFS(Source_Evolution!$O$3:$O$731,Source_Evolution!$A$3:$A$731,$A332)</f>
        <v/>
      </c>
      <c r="P332" s="17">
        <f>SUMIFS(Source_Evolution!$P$3:$P$731,Source_Evolution!$A$3:$A$731,$A332)</f>
        <v/>
      </c>
      <c r="Q332" s="17">
        <f>SUMIFS(Source_Evolution!$Q$3:$Q$731,Source_Evolution!$A$3:$A$731,$A332)</f>
        <v/>
      </c>
      <c r="R332" s="17">
        <f>SUM(E332:Q332)</f>
        <v/>
      </c>
      <c r="S332" s="17">
        <f>Q332</f>
        <v/>
      </c>
      <c r="T332">
        <f>IF(B332="Software",1,0)</f>
        <v/>
      </c>
      <c r="U332" s="18">
        <f>SUMPRODUCT((Source_Evolution!$A$3:$A$731=$A332)*(Source_Evolution!$E$3:$E$731&gt;0))</f>
        <v/>
      </c>
      <c r="V332" s="18">
        <f>SUMPRODUCT((Source_Evolution!$A$3:$A$731=$A332)*(Source_Evolution!$F$3:$F$731&gt;0))</f>
        <v/>
      </c>
      <c r="W332" s="18">
        <f>SUMPRODUCT((Source_Evolution!$A$3:$A$731=$A332)*(Source_Evolution!$G$3:$G$731&gt;0))</f>
        <v/>
      </c>
      <c r="X332" s="18">
        <f>SUMPRODUCT((Source_Evolution!$A$3:$A$731=$A332)*(Source_Evolution!$H$3:$H$731&gt;0))</f>
        <v/>
      </c>
      <c r="Y332" s="18">
        <f>SUMPRODUCT((Source_Evolution!$A$3:$A$731=$A332)*(Source_Evolution!$I$3:$I$731&gt;0))</f>
        <v/>
      </c>
      <c r="Z332" s="18">
        <f>SUMPRODUCT((Source_Evolution!$A$3:$A$731=$A332)*(Source_Evolution!$J$3:$J$731&gt;0))</f>
        <v/>
      </c>
      <c r="AA332" s="18">
        <f>SUMPRODUCT((Source_Evolution!$A$3:$A$731=$A332)*(Source_Evolution!$K$3:$K$731&gt;0))</f>
        <v/>
      </c>
      <c r="AB332" s="18">
        <f>SUMPRODUCT((Source_Evolution!$A$3:$A$731=$A332)*(Source_Evolution!$L$3:$L$731&gt;0))</f>
        <v/>
      </c>
      <c r="AC332" s="18">
        <f>SUMPRODUCT((Source_Evolution!$A$3:$A$731=$A332)*(Source_Evolution!$M$3:$M$731&gt;0))</f>
        <v/>
      </c>
      <c r="AD332" s="18">
        <f>SUMPRODUCT((Source_Evolution!$A$3:$A$731=$A332)*(Source_Evolution!$N$3:$N$731&gt;0))</f>
        <v/>
      </c>
      <c r="AE332" s="18">
        <f>SUMPRODUCT((Source_Evolution!$A$3:$A$731=$A332)*(Source_Evolution!$O$3:$O$731&gt;0))</f>
        <v/>
      </c>
      <c r="AF332" s="18">
        <f>SUMPRODUCT((Source_Evolution!$A$3:$A$731=$A332)*(Source_Evolution!$P$3:$P$731&gt;0))</f>
        <v/>
      </c>
      <c r="AG332" s="18">
        <f>SUMPRODUCT((Source_Evolution!$A$3:$A$731=$A332)*(Source_Evolution!$Q$3:$Q$731&gt;0))</f>
        <v/>
      </c>
    </row>
    <row r="333">
      <c r="A333" t="inlineStr">
        <is>
          <t>Company 61</t>
        </is>
      </c>
      <c r="B333" t="inlineStr">
        <is>
          <t>Software</t>
        </is>
      </c>
      <c r="C333" t="inlineStr">
        <is>
          <t>France</t>
        </is>
      </c>
      <c r="D333" t="n">
        <v>2014</v>
      </c>
      <c r="E333" s="17">
        <f>SUMIFS(Source_Evolution!$E$3:$E$731,Source_Evolution!$A$3:$A$731,$A333)</f>
        <v/>
      </c>
      <c r="F333" s="17">
        <f>SUMIFS(Source_Evolution!$F$3:$F$731,Source_Evolution!$A$3:$A$731,$A333)</f>
        <v/>
      </c>
      <c r="G333" s="17">
        <f>SUMIFS(Source_Evolution!$G$3:$G$731,Source_Evolution!$A$3:$A$731,$A333)</f>
        <v/>
      </c>
      <c r="H333" s="17">
        <f>SUMIFS(Source_Evolution!$H$3:$H$731,Source_Evolution!$A$3:$A$731,$A333)</f>
        <v/>
      </c>
      <c r="I333" s="17">
        <f>SUMIFS(Source_Evolution!$I$3:$I$731,Source_Evolution!$A$3:$A$731,$A333)</f>
        <v/>
      </c>
      <c r="J333" s="17">
        <f>SUMIFS(Source_Evolution!$J$3:$J$731,Source_Evolution!$A$3:$A$731,$A333)</f>
        <v/>
      </c>
      <c r="K333" s="17">
        <f>SUMIFS(Source_Evolution!$K$3:$K$731,Source_Evolution!$A$3:$A$731,$A333)</f>
        <v/>
      </c>
      <c r="L333" s="17">
        <f>SUMIFS(Source_Evolution!$L$3:$L$731,Source_Evolution!$A$3:$A$731,$A333)</f>
        <v/>
      </c>
      <c r="M333" s="17">
        <f>SUMIFS(Source_Evolution!$M$3:$M$731,Source_Evolution!$A$3:$A$731,$A333)</f>
        <v/>
      </c>
      <c r="N333" s="17">
        <f>SUMIFS(Source_Evolution!$N$3:$N$731,Source_Evolution!$A$3:$A$731,$A333)</f>
        <v/>
      </c>
      <c r="O333" s="17">
        <f>SUMIFS(Source_Evolution!$O$3:$O$731,Source_Evolution!$A$3:$A$731,$A333)</f>
        <v/>
      </c>
      <c r="P333" s="17">
        <f>SUMIFS(Source_Evolution!$P$3:$P$731,Source_Evolution!$A$3:$A$731,$A333)</f>
        <v/>
      </c>
      <c r="Q333" s="17">
        <f>SUMIFS(Source_Evolution!$Q$3:$Q$731,Source_Evolution!$A$3:$A$731,$A333)</f>
        <v/>
      </c>
      <c r="R333" s="17">
        <f>SUM(E333:Q333)</f>
        <v/>
      </c>
      <c r="S333" s="17">
        <f>Q333</f>
        <v/>
      </c>
      <c r="T333">
        <f>IF(B333="Software",1,0)</f>
        <v/>
      </c>
      <c r="U333" s="18">
        <f>SUMPRODUCT((Source_Evolution!$A$3:$A$731=$A333)*(Source_Evolution!$E$3:$E$731&gt;0))</f>
        <v/>
      </c>
      <c r="V333" s="18">
        <f>SUMPRODUCT((Source_Evolution!$A$3:$A$731=$A333)*(Source_Evolution!$F$3:$F$731&gt;0))</f>
        <v/>
      </c>
      <c r="W333" s="18">
        <f>SUMPRODUCT((Source_Evolution!$A$3:$A$731=$A333)*(Source_Evolution!$G$3:$G$731&gt;0))</f>
        <v/>
      </c>
      <c r="X333" s="18">
        <f>SUMPRODUCT((Source_Evolution!$A$3:$A$731=$A333)*(Source_Evolution!$H$3:$H$731&gt;0))</f>
        <v/>
      </c>
      <c r="Y333" s="18">
        <f>SUMPRODUCT((Source_Evolution!$A$3:$A$731=$A333)*(Source_Evolution!$I$3:$I$731&gt;0))</f>
        <v/>
      </c>
      <c r="Z333" s="18">
        <f>SUMPRODUCT((Source_Evolution!$A$3:$A$731=$A333)*(Source_Evolution!$J$3:$J$731&gt;0))</f>
        <v/>
      </c>
      <c r="AA333" s="18">
        <f>SUMPRODUCT((Source_Evolution!$A$3:$A$731=$A333)*(Source_Evolution!$K$3:$K$731&gt;0))</f>
        <v/>
      </c>
      <c r="AB333" s="18">
        <f>SUMPRODUCT((Source_Evolution!$A$3:$A$731=$A333)*(Source_Evolution!$L$3:$L$731&gt;0))</f>
        <v/>
      </c>
      <c r="AC333" s="18">
        <f>SUMPRODUCT((Source_Evolution!$A$3:$A$731=$A333)*(Source_Evolution!$M$3:$M$731&gt;0))</f>
        <v/>
      </c>
      <c r="AD333" s="18">
        <f>SUMPRODUCT((Source_Evolution!$A$3:$A$731=$A333)*(Source_Evolution!$N$3:$N$731&gt;0))</f>
        <v/>
      </c>
      <c r="AE333" s="18">
        <f>SUMPRODUCT((Source_Evolution!$A$3:$A$731=$A333)*(Source_Evolution!$O$3:$O$731&gt;0))</f>
        <v/>
      </c>
      <c r="AF333" s="18">
        <f>SUMPRODUCT((Source_Evolution!$A$3:$A$731=$A333)*(Source_Evolution!$P$3:$P$731&gt;0))</f>
        <v/>
      </c>
      <c r="AG333" s="18">
        <f>SUMPRODUCT((Source_Evolution!$A$3:$A$731=$A333)*(Source_Evolution!$Q$3:$Q$731&gt;0))</f>
        <v/>
      </c>
    </row>
    <row r="334">
      <c r="A334" t="inlineStr">
        <is>
          <t>Company 62</t>
        </is>
      </c>
      <c r="B334" t="inlineStr">
        <is>
          <t>Software</t>
        </is>
      </c>
      <c r="C334" t="inlineStr">
        <is>
          <t>France</t>
        </is>
      </c>
      <c r="D334" t="n">
        <v>2014</v>
      </c>
      <c r="E334" s="17">
        <f>SUMIFS(Source_Evolution!$E$3:$E$731,Source_Evolution!$A$3:$A$731,$A334)</f>
        <v/>
      </c>
      <c r="F334" s="17">
        <f>SUMIFS(Source_Evolution!$F$3:$F$731,Source_Evolution!$A$3:$A$731,$A334)</f>
        <v/>
      </c>
      <c r="G334" s="17">
        <f>SUMIFS(Source_Evolution!$G$3:$G$731,Source_Evolution!$A$3:$A$731,$A334)</f>
        <v/>
      </c>
      <c r="H334" s="17">
        <f>SUMIFS(Source_Evolution!$H$3:$H$731,Source_Evolution!$A$3:$A$731,$A334)</f>
        <v/>
      </c>
      <c r="I334" s="17">
        <f>SUMIFS(Source_Evolution!$I$3:$I$731,Source_Evolution!$A$3:$A$731,$A334)</f>
        <v/>
      </c>
      <c r="J334" s="17">
        <f>SUMIFS(Source_Evolution!$J$3:$J$731,Source_Evolution!$A$3:$A$731,$A334)</f>
        <v/>
      </c>
      <c r="K334" s="17">
        <f>SUMIFS(Source_Evolution!$K$3:$K$731,Source_Evolution!$A$3:$A$731,$A334)</f>
        <v/>
      </c>
      <c r="L334" s="17">
        <f>SUMIFS(Source_Evolution!$L$3:$L$731,Source_Evolution!$A$3:$A$731,$A334)</f>
        <v/>
      </c>
      <c r="M334" s="17">
        <f>SUMIFS(Source_Evolution!$M$3:$M$731,Source_Evolution!$A$3:$A$731,$A334)</f>
        <v/>
      </c>
      <c r="N334" s="17">
        <f>SUMIFS(Source_Evolution!$N$3:$N$731,Source_Evolution!$A$3:$A$731,$A334)</f>
        <v/>
      </c>
      <c r="O334" s="17">
        <f>SUMIFS(Source_Evolution!$O$3:$O$731,Source_Evolution!$A$3:$A$731,$A334)</f>
        <v/>
      </c>
      <c r="P334" s="17">
        <f>SUMIFS(Source_Evolution!$P$3:$P$731,Source_Evolution!$A$3:$A$731,$A334)</f>
        <v/>
      </c>
      <c r="Q334" s="17">
        <f>SUMIFS(Source_Evolution!$Q$3:$Q$731,Source_Evolution!$A$3:$A$731,$A334)</f>
        <v/>
      </c>
      <c r="R334" s="17">
        <f>SUM(E334:Q334)</f>
        <v/>
      </c>
      <c r="S334" s="17">
        <f>Q334</f>
        <v/>
      </c>
      <c r="T334">
        <f>IF(B334="Software",1,0)</f>
        <v/>
      </c>
      <c r="U334" s="18">
        <f>SUMPRODUCT((Source_Evolution!$A$3:$A$731=$A334)*(Source_Evolution!$E$3:$E$731&gt;0))</f>
        <v/>
      </c>
      <c r="V334" s="18">
        <f>SUMPRODUCT((Source_Evolution!$A$3:$A$731=$A334)*(Source_Evolution!$F$3:$F$731&gt;0))</f>
        <v/>
      </c>
      <c r="W334" s="18">
        <f>SUMPRODUCT((Source_Evolution!$A$3:$A$731=$A334)*(Source_Evolution!$G$3:$G$731&gt;0))</f>
        <v/>
      </c>
      <c r="X334" s="18">
        <f>SUMPRODUCT((Source_Evolution!$A$3:$A$731=$A334)*(Source_Evolution!$H$3:$H$731&gt;0))</f>
        <v/>
      </c>
      <c r="Y334" s="18">
        <f>SUMPRODUCT((Source_Evolution!$A$3:$A$731=$A334)*(Source_Evolution!$I$3:$I$731&gt;0))</f>
        <v/>
      </c>
      <c r="Z334" s="18">
        <f>SUMPRODUCT((Source_Evolution!$A$3:$A$731=$A334)*(Source_Evolution!$J$3:$J$731&gt;0))</f>
        <v/>
      </c>
      <c r="AA334" s="18">
        <f>SUMPRODUCT((Source_Evolution!$A$3:$A$731=$A334)*(Source_Evolution!$K$3:$K$731&gt;0))</f>
        <v/>
      </c>
      <c r="AB334" s="18">
        <f>SUMPRODUCT((Source_Evolution!$A$3:$A$731=$A334)*(Source_Evolution!$L$3:$L$731&gt;0))</f>
        <v/>
      </c>
      <c r="AC334" s="18">
        <f>SUMPRODUCT((Source_Evolution!$A$3:$A$731=$A334)*(Source_Evolution!$M$3:$M$731&gt;0))</f>
        <v/>
      </c>
      <c r="AD334" s="18">
        <f>SUMPRODUCT((Source_Evolution!$A$3:$A$731=$A334)*(Source_Evolution!$N$3:$N$731&gt;0))</f>
        <v/>
      </c>
      <c r="AE334" s="18">
        <f>SUMPRODUCT((Source_Evolution!$A$3:$A$731=$A334)*(Source_Evolution!$O$3:$O$731&gt;0))</f>
        <v/>
      </c>
      <c r="AF334" s="18">
        <f>SUMPRODUCT((Source_Evolution!$A$3:$A$731=$A334)*(Source_Evolution!$P$3:$P$731&gt;0))</f>
        <v/>
      </c>
      <c r="AG334" s="18">
        <f>SUMPRODUCT((Source_Evolution!$A$3:$A$731=$A334)*(Source_Evolution!$Q$3:$Q$731&gt;0))</f>
        <v/>
      </c>
    </row>
    <row r="335">
      <c r="A335" t="inlineStr">
        <is>
          <t>Company 63</t>
        </is>
      </c>
      <c r="B335" t="inlineStr">
        <is>
          <t>Operations</t>
        </is>
      </c>
      <c r="C335" t="inlineStr">
        <is>
          <t>UK</t>
        </is>
      </c>
      <c r="D335" t="n">
        <v>2014</v>
      </c>
      <c r="E335" s="17">
        <f>SUMIFS(Source_Evolution!$E$3:$E$731,Source_Evolution!$A$3:$A$731,$A335)</f>
        <v/>
      </c>
      <c r="F335" s="17">
        <f>SUMIFS(Source_Evolution!$F$3:$F$731,Source_Evolution!$A$3:$A$731,$A335)</f>
        <v/>
      </c>
      <c r="G335" s="17">
        <f>SUMIFS(Source_Evolution!$G$3:$G$731,Source_Evolution!$A$3:$A$731,$A335)</f>
        <v/>
      </c>
      <c r="H335" s="17">
        <f>SUMIFS(Source_Evolution!$H$3:$H$731,Source_Evolution!$A$3:$A$731,$A335)</f>
        <v/>
      </c>
      <c r="I335" s="17">
        <f>SUMIFS(Source_Evolution!$I$3:$I$731,Source_Evolution!$A$3:$A$731,$A335)</f>
        <v/>
      </c>
      <c r="J335" s="17">
        <f>SUMIFS(Source_Evolution!$J$3:$J$731,Source_Evolution!$A$3:$A$731,$A335)</f>
        <v/>
      </c>
      <c r="K335" s="17">
        <f>SUMIFS(Source_Evolution!$K$3:$K$731,Source_Evolution!$A$3:$A$731,$A335)</f>
        <v/>
      </c>
      <c r="L335" s="17">
        <f>SUMIFS(Source_Evolution!$L$3:$L$731,Source_Evolution!$A$3:$A$731,$A335)</f>
        <v/>
      </c>
      <c r="M335" s="17">
        <f>SUMIFS(Source_Evolution!$M$3:$M$731,Source_Evolution!$A$3:$A$731,$A335)</f>
        <v/>
      </c>
      <c r="N335" s="17">
        <f>SUMIFS(Source_Evolution!$N$3:$N$731,Source_Evolution!$A$3:$A$731,$A335)</f>
        <v/>
      </c>
      <c r="O335" s="17">
        <f>SUMIFS(Source_Evolution!$O$3:$O$731,Source_Evolution!$A$3:$A$731,$A335)</f>
        <v/>
      </c>
      <c r="P335" s="17">
        <f>SUMIFS(Source_Evolution!$P$3:$P$731,Source_Evolution!$A$3:$A$731,$A335)</f>
        <v/>
      </c>
      <c r="Q335" s="17">
        <f>SUMIFS(Source_Evolution!$Q$3:$Q$731,Source_Evolution!$A$3:$A$731,$A335)</f>
        <v/>
      </c>
      <c r="R335" s="17">
        <f>SUM(E335:Q335)</f>
        <v/>
      </c>
      <c r="S335" s="17">
        <f>Q335</f>
        <v/>
      </c>
      <c r="T335">
        <f>IF(B335="Software",1,0)</f>
        <v/>
      </c>
      <c r="U335" s="18">
        <f>SUMPRODUCT((Source_Evolution!$A$3:$A$731=$A335)*(Source_Evolution!$E$3:$E$731&gt;0))</f>
        <v/>
      </c>
      <c r="V335" s="18">
        <f>SUMPRODUCT((Source_Evolution!$A$3:$A$731=$A335)*(Source_Evolution!$F$3:$F$731&gt;0))</f>
        <v/>
      </c>
      <c r="W335" s="18">
        <f>SUMPRODUCT((Source_Evolution!$A$3:$A$731=$A335)*(Source_Evolution!$G$3:$G$731&gt;0))</f>
        <v/>
      </c>
      <c r="X335" s="18">
        <f>SUMPRODUCT((Source_Evolution!$A$3:$A$731=$A335)*(Source_Evolution!$H$3:$H$731&gt;0))</f>
        <v/>
      </c>
      <c r="Y335" s="18">
        <f>SUMPRODUCT((Source_Evolution!$A$3:$A$731=$A335)*(Source_Evolution!$I$3:$I$731&gt;0))</f>
        <v/>
      </c>
      <c r="Z335" s="18">
        <f>SUMPRODUCT((Source_Evolution!$A$3:$A$731=$A335)*(Source_Evolution!$J$3:$J$731&gt;0))</f>
        <v/>
      </c>
      <c r="AA335" s="18">
        <f>SUMPRODUCT((Source_Evolution!$A$3:$A$731=$A335)*(Source_Evolution!$K$3:$K$731&gt;0))</f>
        <v/>
      </c>
      <c r="AB335" s="18">
        <f>SUMPRODUCT((Source_Evolution!$A$3:$A$731=$A335)*(Source_Evolution!$L$3:$L$731&gt;0))</f>
        <v/>
      </c>
      <c r="AC335" s="18">
        <f>SUMPRODUCT((Source_Evolution!$A$3:$A$731=$A335)*(Source_Evolution!$M$3:$M$731&gt;0))</f>
        <v/>
      </c>
      <c r="AD335" s="18">
        <f>SUMPRODUCT((Source_Evolution!$A$3:$A$731=$A335)*(Source_Evolution!$N$3:$N$731&gt;0))</f>
        <v/>
      </c>
      <c r="AE335" s="18">
        <f>SUMPRODUCT((Source_Evolution!$A$3:$A$731=$A335)*(Source_Evolution!$O$3:$O$731&gt;0))</f>
        <v/>
      </c>
      <c r="AF335" s="18">
        <f>SUMPRODUCT((Source_Evolution!$A$3:$A$731=$A335)*(Source_Evolution!$P$3:$P$731&gt;0))</f>
        <v/>
      </c>
      <c r="AG335" s="18">
        <f>SUMPRODUCT((Source_Evolution!$A$3:$A$731=$A335)*(Source_Evolution!$Q$3:$Q$731&gt;0))</f>
        <v/>
      </c>
    </row>
    <row r="336">
      <c r="A336" t="inlineStr">
        <is>
          <t>Company 64</t>
        </is>
      </c>
      <c r="B336" t="inlineStr">
        <is>
          <t>Operations</t>
        </is>
      </c>
      <c r="C336" t="inlineStr">
        <is>
          <t>USA</t>
        </is>
      </c>
      <c r="D336" t="n">
        <v>2015</v>
      </c>
      <c r="E336" s="17">
        <f>SUMIFS(Source_Evolution!$E$3:$E$731,Source_Evolution!$A$3:$A$731,$A336)</f>
        <v/>
      </c>
      <c r="F336" s="17">
        <f>SUMIFS(Source_Evolution!$F$3:$F$731,Source_Evolution!$A$3:$A$731,$A336)</f>
        <v/>
      </c>
      <c r="G336" s="17">
        <f>SUMIFS(Source_Evolution!$G$3:$G$731,Source_Evolution!$A$3:$A$731,$A336)</f>
        <v/>
      </c>
      <c r="H336" s="17">
        <f>SUMIFS(Source_Evolution!$H$3:$H$731,Source_Evolution!$A$3:$A$731,$A336)</f>
        <v/>
      </c>
      <c r="I336" s="17">
        <f>SUMIFS(Source_Evolution!$I$3:$I$731,Source_Evolution!$A$3:$A$731,$A336)</f>
        <v/>
      </c>
      <c r="J336" s="17">
        <f>SUMIFS(Source_Evolution!$J$3:$J$731,Source_Evolution!$A$3:$A$731,$A336)</f>
        <v/>
      </c>
      <c r="K336" s="17">
        <f>SUMIFS(Source_Evolution!$K$3:$K$731,Source_Evolution!$A$3:$A$731,$A336)</f>
        <v/>
      </c>
      <c r="L336" s="17">
        <f>SUMIFS(Source_Evolution!$L$3:$L$731,Source_Evolution!$A$3:$A$731,$A336)</f>
        <v/>
      </c>
      <c r="M336" s="17">
        <f>SUMIFS(Source_Evolution!$M$3:$M$731,Source_Evolution!$A$3:$A$731,$A336)</f>
        <v/>
      </c>
      <c r="N336" s="17">
        <f>SUMIFS(Source_Evolution!$N$3:$N$731,Source_Evolution!$A$3:$A$731,$A336)</f>
        <v/>
      </c>
      <c r="O336" s="17">
        <f>SUMIFS(Source_Evolution!$O$3:$O$731,Source_Evolution!$A$3:$A$731,$A336)</f>
        <v/>
      </c>
      <c r="P336" s="17">
        <f>SUMIFS(Source_Evolution!$P$3:$P$731,Source_Evolution!$A$3:$A$731,$A336)</f>
        <v/>
      </c>
      <c r="Q336" s="17">
        <f>SUMIFS(Source_Evolution!$Q$3:$Q$731,Source_Evolution!$A$3:$A$731,$A336)</f>
        <v/>
      </c>
      <c r="R336" s="17">
        <f>SUM(E336:Q336)</f>
        <v/>
      </c>
      <c r="S336" s="17">
        <f>Q336</f>
        <v/>
      </c>
      <c r="T336">
        <f>IF(B336="Software",1,0)</f>
        <v/>
      </c>
      <c r="U336" s="18">
        <f>SUMPRODUCT((Source_Evolution!$A$3:$A$731=$A336)*(Source_Evolution!$E$3:$E$731&gt;0))</f>
        <v/>
      </c>
      <c r="V336" s="18">
        <f>SUMPRODUCT((Source_Evolution!$A$3:$A$731=$A336)*(Source_Evolution!$F$3:$F$731&gt;0))</f>
        <v/>
      </c>
      <c r="W336" s="18">
        <f>SUMPRODUCT((Source_Evolution!$A$3:$A$731=$A336)*(Source_Evolution!$G$3:$G$731&gt;0))</f>
        <v/>
      </c>
      <c r="X336" s="18">
        <f>SUMPRODUCT((Source_Evolution!$A$3:$A$731=$A336)*(Source_Evolution!$H$3:$H$731&gt;0))</f>
        <v/>
      </c>
      <c r="Y336" s="18">
        <f>SUMPRODUCT((Source_Evolution!$A$3:$A$731=$A336)*(Source_Evolution!$I$3:$I$731&gt;0))</f>
        <v/>
      </c>
      <c r="Z336" s="18">
        <f>SUMPRODUCT((Source_Evolution!$A$3:$A$731=$A336)*(Source_Evolution!$J$3:$J$731&gt;0))</f>
        <v/>
      </c>
      <c r="AA336" s="18">
        <f>SUMPRODUCT((Source_Evolution!$A$3:$A$731=$A336)*(Source_Evolution!$K$3:$K$731&gt;0))</f>
        <v/>
      </c>
      <c r="AB336" s="18">
        <f>SUMPRODUCT((Source_Evolution!$A$3:$A$731=$A336)*(Source_Evolution!$L$3:$L$731&gt;0))</f>
        <v/>
      </c>
      <c r="AC336" s="18">
        <f>SUMPRODUCT((Source_Evolution!$A$3:$A$731=$A336)*(Source_Evolution!$M$3:$M$731&gt;0))</f>
        <v/>
      </c>
      <c r="AD336" s="18">
        <f>SUMPRODUCT((Source_Evolution!$A$3:$A$731=$A336)*(Source_Evolution!$N$3:$N$731&gt;0))</f>
        <v/>
      </c>
      <c r="AE336" s="18">
        <f>SUMPRODUCT((Source_Evolution!$A$3:$A$731=$A336)*(Source_Evolution!$O$3:$O$731&gt;0))</f>
        <v/>
      </c>
      <c r="AF336" s="18">
        <f>SUMPRODUCT((Source_Evolution!$A$3:$A$731=$A336)*(Source_Evolution!$P$3:$P$731&gt;0))</f>
        <v/>
      </c>
      <c r="AG336" s="18">
        <f>SUMPRODUCT((Source_Evolution!$A$3:$A$731=$A336)*(Source_Evolution!$Q$3:$Q$731&gt;0))</f>
        <v/>
      </c>
    </row>
    <row r="337">
      <c r="A337" t="inlineStr">
        <is>
          <t>Company 65</t>
        </is>
      </c>
      <c r="B337" t="inlineStr">
        <is>
          <t>Software</t>
        </is>
      </c>
      <c r="C337" t="inlineStr">
        <is>
          <t>Germany</t>
        </is>
      </c>
      <c r="D337" t="n">
        <v>2024</v>
      </c>
      <c r="E337" s="17">
        <f>SUMIFS(Source_Evolution!$E$3:$E$731,Source_Evolution!$A$3:$A$731,$A337)</f>
        <v/>
      </c>
      <c r="F337" s="17">
        <f>SUMIFS(Source_Evolution!$F$3:$F$731,Source_Evolution!$A$3:$A$731,$A337)</f>
        <v/>
      </c>
      <c r="G337" s="17">
        <f>SUMIFS(Source_Evolution!$G$3:$G$731,Source_Evolution!$A$3:$A$731,$A337)</f>
        <v/>
      </c>
      <c r="H337" s="17">
        <f>SUMIFS(Source_Evolution!$H$3:$H$731,Source_Evolution!$A$3:$A$731,$A337)</f>
        <v/>
      </c>
      <c r="I337" s="17">
        <f>SUMIFS(Source_Evolution!$I$3:$I$731,Source_Evolution!$A$3:$A$731,$A337)</f>
        <v/>
      </c>
      <c r="J337" s="17">
        <f>SUMIFS(Source_Evolution!$J$3:$J$731,Source_Evolution!$A$3:$A$731,$A337)</f>
        <v/>
      </c>
      <c r="K337" s="17">
        <f>SUMIFS(Source_Evolution!$K$3:$K$731,Source_Evolution!$A$3:$A$731,$A337)</f>
        <v/>
      </c>
      <c r="L337" s="17">
        <f>SUMIFS(Source_Evolution!$L$3:$L$731,Source_Evolution!$A$3:$A$731,$A337)</f>
        <v/>
      </c>
      <c r="M337" s="17">
        <f>SUMIFS(Source_Evolution!$M$3:$M$731,Source_Evolution!$A$3:$A$731,$A337)</f>
        <v/>
      </c>
      <c r="N337" s="17">
        <f>SUMIFS(Source_Evolution!$N$3:$N$731,Source_Evolution!$A$3:$A$731,$A337)</f>
        <v/>
      </c>
      <c r="O337" s="17">
        <f>SUMIFS(Source_Evolution!$O$3:$O$731,Source_Evolution!$A$3:$A$731,$A337)</f>
        <v/>
      </c>
      <c r="P337" s="17">
        <f>SUMIFS(Source_Evolution!$P$3:$P$731,Source_Evolution!$A$3:$A$731,$A337)</f>
        <v/>
      </c>
      <c r="Q337" s="17">
        <f>SUMIFS(Source_Evolution!$Q$3:$Q$731,Source_Evolution!$A$3:$A$731,$A337)</f>
        <v/>
      </c>
      <c r="R337" s="17">
        <f>SUM(E337:Q337)</f>
        <v/>
      </c>
      <c r="S337" s="17">
        <f>Q337</f>
        <v/>
      </c>
      <c r="T337">
        <f>IF(B337="Software",1,0)</f>
        <v/>
      </c>
      <c r="U337" s="18">
        <f>SUMPRODUCT((Source_Evolution!$A$3:$A$731=$A337)*(Source_Evolution!$E$3:$E$731&gt;0))</f>
        <v/>
      </c>
      <c r="V337" s="18">
        <f>SUMPRODUCT((Source_Evolution!$A$3:$A$731=$A337)*(Source_Evolution!$F$3:$F$731&gt;0))</f>
        <v/>
      </c>
      <c r="W337" s="18">
        <f>SUMPRODUCT((Source_Evolution!$A$3:$A$731=$A337)*(Source_Evolution!$G$3:$G$731&gt;0))</f>
        <v/>
      </c>
      <c r="X337" s="18">
        <f>SUMPRODUCT((Source_Evolution!$A$3:$A$731=$A337)*(Source_Evolution!$H$3:$H$731&gt;0))</f>
        <v/>
      </c>
      <c r="Y337" s="18">
        <f>SUMPRODUCT((Source_Evolution!$A$3:$A$731=$A337)*(Source_Evolution!$I$3:$I$731&gt;0))</f>
        <v/>
      </c>
      <c r="Z337" s="18">
        <f>SUMPRODUCT((Source_Evolution!$A$3:$A$731=$A337)*(Source_Evolution!$J$3:$J$731&gt;0))</f>
        <v/>
      </c>
      <c r="AA337" s="18">
        <f>SUMPRODUCT((Source_Evolution!$A$3:$A$731=$A337)*(Source_Evolution!$K$3:$K$731&gt;0))</f>
        <v/>
      </c>
      <c r="AB337" s="18">
        <f>SUMPRODUCT((Source_Evolution!$A$3:$A$731=$A337)*(Source_Evolution!$L$3:$L$731&gt;0))</f>
        <v/>
      </c>
      <c r="AC337" s="18">
        <f>SUMPRODUCT((Source_Evolution!$A$3:$A$731=$A337)*(Source_Evolution!$M$3:$M$731&gt;0))</f>
        <v/>
      </c>
      <c r="AD337" s="18">
        <f>SUMPRODUCT((Source_Evolution!$A$3:$A$731=$A337)*(Source_Evolution!$N$3:$N$731&gt;0))</f>
        <v/>
      </c>
      <c r="AE337" s="18">
        <f>SUMPRODUCT((Source_Evolution!$A$3:$A$731=$A337)*(Source_Evolution!$O$3:$O$731&gt;0))</f>
        <v/>
      </c>
      <c r="AF337" s="18">
        <f>SUMPRODUCT((Source_Evolution!$A$3:$A$731=$A337)*(Source_Evolution!$P$3:$P$731&gt;0))</f>
        <v/>
      </c>
      <c r="AG337" s="18">
        <f>SUMPRODUCT((Source_Evolution!$A$3:$A$731=$A337)*(Source_Evolution!$Q$3:$Q$731&gt;0))</f>
        <v/>
      </c>
    </row>
    <row r="338">
      <c r="A338" t="inlineStr">
        <is>
          <t>Company 66</t>
        </is>
      </c>
      <c r="B338" t="inlineStr">
        <is>
          <t>Operations</t>
        </is>
      </c>
      <c r="C338" t="inlineStr">
        <is>
          <t>Italy</t>
        </is>
      </c>
      <c r="D338" t="n">
        <v>2014</v>
      </c>
      <c r="E338" s="17">
        <f>SUMIFS(Source_Evolution!$E$3:$E$731,Source_Evolution!$A$3:$A$731,$A338)</f>
        <v/>
      </c>
      <c r="F338" s="17">
        <f>SUMIFS(Source_Evolution!$F$3:$F$731,Source_Evolution!$A$3:$A$731,$A338)</f>
        <v/>
      </c>
      <c r="G338" s="17">
        <f>SUMIFS(Source_Evolution!$G$3:$G$731,Source_Evolution!$A$3:$A$731,$A338)</f>
        <v/>
      </c>
      <c r="H338" s="17">
        <f>SUMIFS(Source_Evolution!$H$3:$H$731,Source_Evolution!$A$3:$A$731,$A338)</f>
        <v/>
      </c>
      <c r="I338" s="17">
        <f>SUMIFS(Source_Evolution!$I$3:$I$731,Source_Evolution!$A$3:$A$731,$A338)</f>
        <v/>
      </c>
      <c r="J338" s="17">
        <f>SUMIFS(Source_Evolution!$J$3:$J$731,Source_Evolution!$A$3:$A$731,$A338)</f>
        <v/>
      </c>
      <c r="K338" s="17">
        <f>SUMIFS(Source_Evolution!$K$3:$K$731,Source_Evolution!$A$3:$A$731,$A338)</f>
        <v/>
      </c>
      <c r="L338" s="17">
        <f>SUMIFS(Source_Evolution!$L$3:$L$731,Source_Evolution!$A$3:$A$731,$A338)</f>
        <v/>
      </c>
      <c r="M338" s="17">
        <f>SUMIFS(Source_Evolution!$M$3:$M$731,Source_Evolution!$A$3:$A$731,$A338)</f>
        <v/>
      </c>
      <c r="N338" s="17">
        <f>SUMIFS(Source_Evolution!$N$3:$N$731,Source_Evolution!$A$3:$A$731,$A338)</f>
        <v/>
      </c>
      <c r="O338" s="17">
        <f>SUMIFS(Source_Evolution!$O$3:$O$731,Source_Evolution!$A$3:$A$731,$A338)</f>
        <v/>
      </c>
      <c r="P338" s="17">
        <f>SUMIFS(Source_Evolution!$P$3:$P$731,Source_Evolution!$A$3:$A$731,$A338)</f>
        <v/>
      </c>
      <c r="Q338" s="17">
        <f>SUMIFS(Source_Evolution!$Q$3:$Q$731,Source_Evolution!$A$3:$A$731,$A338)</f>
        <v/>
      </c>
      <c r="R338" s="17">
        <f>SUM(E338:Q338)</f>
        <v/>
      </c>
      <c r="S338" s="17">
        <f>Q338</f>
        <v/>
      </c>
      <c r="T338">
        <f>IF(B338="Software",1,0)</f>
        <v/>
      </c>
      <c r="U338" s="18">
        <f>SUMPRODUCT((Source_Evolution!$A$3:$A$731=$A338)*(Source_Evolution!$E$3:$E$731&gt;0))</f>
        <v/>
      </c>
      <c r="V338" s="18">
        <f>SUMPRODUCT((Source_Evolution!$A$3:$A$731=$A338)*(Source_Evolution!$F$3:$F$731&gt;0))</f>
        <v/>
      </c>
      <c r="W338" s="18">
        <f>SUMPRODUCT((Source_Evolution!$A$3:$A$731=$A338)*(Source_Evolution!$G$3:$G$731&gt;0))</f>
        <v/>
      </c>
      <c r="X338" s="18">
        <f>SUMPRODUCT((Source_Evolution!$A$3:$A$731=$A338)*(Source_Evolution!$H$3:$H$731&gt;0))</f>
        <v/>
      </c>
      <c r="Y338" s="18">
        <f>SUMPRODUCT((Source_Evolution!$A$3:$A$731=$A338)*(Source_Evolution!$I$3:$I$731&gt;0))</f>
        <v/>
      </c>
      <c r="Z338" s="18">
        <f>SUMPRODUCT((Source_Evolution!$A$3:$A$731=$A338)*(Source_Evolution!$J$3:$J$731&gt;0))</f>
        <v/>
      </c>
      <c r="AA338" s="18">
        <f>SUMPRODUCT((Source_Evolution!$A$3:$A$731=$A338)*(Source_Evolution!$K$3:$K$731&gt;0))</f>
        <v/>
      </c>
      <c r="AB338" s="18">
        <f>SUMPRODUCT((Source_Evolution!$A$3:$A$731=$A338)*(Source_Evolution!$L$3:$L$731&gt;0))</f>
        <v/>
      </c>
      <c r="AC338" s="18">
        <f>SUMPRODUCT((Source_Evolution!$A$3:$A$731=$A338)*(Source_Evolution!$M$3:$M$731&gt;0))</f>
        <v/>
      </c>
      <c r="AD338" s="18">
        <f>SUMPRODUCT((Source_Evolution!$A$3:$A$731=$A338)*(Source_Evolution!$N$3:$N$731&gt;0))</f>
        <v/>
      </c>
      <c r="AE338" s="18">
        <f>SUMPRODUCT((Source_Evolution!$A$3:$A$731=$A338)*(Source_Evolution!$O$3:$O$731&gt;0))</f>
        <v/>
      </c>
      <c r="AF338" s="18">
        <f>SUMPRODUCT((Source_Evolution!$A$3:$A$731=$A338)*(Source_Evolution!$P$3:$P$731&gt;0))</f>
        <v/>
      </c>
      <c r="AG338" s="18">
        <f>SUMPRODUCT((Source_Evolution!$A$3:$A$731=$A338)*(Source_Evolution!$Q$3:$Q$731&gt;0))</f>
        <v/>
      </c>
    </row>
    <row r="339">
      <c r="A339" t="inlineStr">
        <is>
          <t>Company 67</t>
        </is>
      </c>
      <c r="B339" t="inlineStr">
        <is>
          <t>Software</t>
        </is>
      </c>
      <c r="C339" t="inlineStr">
        <is>
          <t>UK</t>
        </is>
      </c>
      <c r="D339" t="n">
        <v>2014</v>
      </c>
      <c r="E339" s="17">
        <f>SUMIFS(Source_Evolution!$E$3:$E$731,Source_Evolution!$A$3:$A$731,$A339)</f>
        <v/>
      </c>
      <c r="F339" s="17">
        <f>SUMIFS(Source_Evolution!$F$3:$F$731,Source_Evolution!$A$3:$A$731,$A339)</f>
        <v/>
      </c>
      <c r="G339" s="17">
        <f>SUMIFS(Source_Evolution!$G$3:$G$731,Source_Evolution!$A$3:$A$731,$A339)</f>
        <v/>
      </c>
      <c r="H339" s="17">
        <f>SUMIFS(Source_Evolution!$H$3:$H$731,Source_Evolution!$A$3:$A$731,$A339)</f>
        <v/>
      </c>
      <c r="I339" s="17">
        <f>SUMIFS(Source_Evolution!$I$3:$I$731,Source_Evolution!$A$3:$A$731,$A339)</f>
        <v/>
      </c>
      <c r="J339" s="17">
        <f>SUMIFS(Source_Evolution!$J$3:$J$731,Source_Evolution!$A$3:$A$731,$A339)</f>
        <v/>
      </c>
      <c r="K339" s="17">
        <f>SUMIFS(Source_Evolution!$K$3:$K$731,Source_Evolution!$A$3:$A$731,$A339)</f>
        <v/>
      </c>
      <c r="L339" s="17">
        <f>SUMIFS(Source_Evolution!$L$3:$L$731,Source_Evolution!$A$3:$A$731,$A339)</f>
        <v/>
      </c>
      <c r="M339" s="17">
        <f>SUMIFS(Source_Evolution!$M$3:$M$731,Source_Evolution!$A$3:$A$731,$A339)</f>
        <v/>
      </c>
      <c r="N339" s="17">
        <f>SUMIFS(Source_Evolution!$N$3:$N$731,Source_Evolution!$A$3:$A$731,$A339)</f>
        <v/>
      </c>
      <c r="O339" s="17">
        <f>SUMIFS(Source_Evolution!$O$3:$O$731,Source_Evolution!$A$3:$A$731,$A339)</f>
        <v/>
      </c>
      <c r="P339" s="17">
        <f>SUMIFS(Source_Evolution!$P$3:$P$731,Source_Evolution!$A$3:$A$731,$A339)</f>
        <v/>
      </c>
      <c r="Q339" s="17">
        <f>SUMIFS(Source_Evolution!$Q$3:$Q$731,Source_Evolution!$A$3:$A$731,$A339)</f>
        <v/>
      </c>
      <c r="R339" s="17">
        <f>SUM(E339:Q339)</f>
        <v/>
      </c>
      <c r="S339" s="17">
        <f>Q339</f>
        <v/>
      </c>
      <c r="T339">
        <f>IF(B339="Software",1,0)</f>
        <v/>
      </c>
      <c r="U339" s="18">
        <f>SUMPRODUCT((Source_Evolution!$A$3:$A$731=$A339)*(Source_Evolution!$E$3:$E$731&gt;0))</f>
        <v/>
      </c>
      <c r="V339" s="18">
        <f>SUMPRODUCT((Source_Evolution!$A$3:$A$731=$A339)*(Source_Evolution!$F$3:$F$731&gt;0))</f>
        <v/>
      </c>
      <c r="W339" s="18">
        <f>SUMPRODUCT((Source_Evolution!$A$3:$A$731=$A339)*(Source_Evolution!$G$3:$G$731&gt;0))</f>
        <v/>
      </c>
      <c r="X339" s="18">
        <f>SUMPRODUCT((Source_Evolution!$A$3:$A$731=$A339)*(Source_Evolution!$H$3:$H$731&gt;0))</f>
        <v/>
      </c>
      <c r="Y339" s="18">
        <f>SUMPRODUCT((Source_Evolution!$A$3:$A$731=$A339)*(Source_Evolution!$I$3:$I$731&gt;0))</f>
        <v/>
      </c>
      <c r="Z339" s="18">
        <f>SUMPRODUCT((Source_Evolution!$A$3:$A$731=$A339)*(Source_Evolution!$J$3:$J$731&gt;0))</f>
        <v/>
      </c>
      <c r="AA339" s="18">
        <f>SUMPRODUCT((Source_Evolution!$A$3:$A$731=$A339)*(Source_Evolution!$K$3:$K$731&gt;0))</f>
        <v/>
      </c>
      <c r="AB339" s="18">
        <f>SUMPRODUCT((Source_Evolution!$A$3:$A$731=$A339)*(Source_Evolution!$L$3:$L$731&gt;0))</f>
        <v/>
      </c>
      <c r="AC339" s="18">
        <f>SUMPRODUCT((Source_Evolution!$A$3:$A$731=$A339)*(Source_Evolution!$M$3:$M$731&gt;0))</f>
        <v/>
      </c>
      <c r="AD339" s="18">
        <f>SUMPRODUCT((Source_Evolution!$A$3:$A$731=$A339)*(Source_Evolution!$N$3:$N$731&gt;0))</f>
        <v/>
      </c>
      <c r="AE339" s="18">
        <f>SUMPRODUCT((Source_Evolution!$A$3:$A$731=$A339)*(Source_Evolution!$O$3:$O$731&gt;0))</f>
        <v/>
      </c>
      <c r="AF339" s="18">
        <f>SUMPRODUCT((Source_Evolution!$A$3:$A$731=$A339)*(Source_Evolution!$P$3:$P$731&gt;0))</f>
        <v/>
      </c>
      <c r="AG339" s="18">
        <f>SUMPRODUCT((Source_Evolution!$A$3:$A$731=$A339)*(Source_Evolution!$Q$3:$Q$731&gt;0))</f>
        <v/>
      </c>
    </row>
    <row r="340">
      <c r="A340" t="inlineStr">
        <is>
          <t>Company 68</t>
        </is>
      </c>
      <c r="B340" t="inlineStr">
        <is>
          <t>Software</t>
        </is>
      </c>
      <c r="C340" t="inlineStr">
        <is>
          <t>Germany</t>
        </is>
      </c>
      <c r="D340" t="n">
        <v>2015</v>
      </c>
      <c r="E340" s="17">
        <f>SUMIFS(Source_Evolution!$E$3:$E$731,Source_Evolution!$A$3:$A$731,$A340)</f>
        <v/>
      </c>
      <c r="F340" s="17">
        <f>SUMIFS(Source_Evolution!$F$3:$F$731,Source_Evolution!$A$3:$A$731,$A340)</f>
        <v/>
      </c>
      <c r="G340" s="17">
        <f>SUMIFS(Source_Evolution!$G$3:$G$731,Source_Evolution!$A$3:$A$731,$A340)</f>
        <v/>
      </c>
      <c r="H340" s="17">
        <f>SUMIFS(Source_Evolution!$H$3:$H$731,Source_Evolution!$A$3:$A$731,$A340)</f>
        <v/>
      </c>
      <c r="I340" s="17">
        <f>SUMIFS(Source_Evolution!$I$3:$I$731,Source_Evolution!$A$3:$A$731,$A340)</f>
        <v/>
      </c>
      <c r="J340" s="17">
        <f>SUMIFS(Source_Evolution!$J$3:$J$731,Source_Evolution!$A$3:$A$731,$A340)</f>
        <v/>
      </c>
      <c r="K340" s="17">
        <f>SUMIFS(Source_Evolution!$K$3:$K$731,Source_Evolution!$A$3:$A$731,$A340)</f>
        <v/>
      </c>
      <c r="L340" s="17">
        <f>SUMIFS(Source_Evolution!$L$3:$L$731,Source_Evolution!$A$3:$A$731,$A340)</f>
        <v/>
      </c>
      <c r="M340" s="17">
        <f>SUMIFS(Source_Evolution!$M$3:$M$731,Source_Evolution!$A$3:$A$731,$A340)</f>
        <v/>
      </c>
      <c r="N340" s="17">
        <f>SUMIFS(Source_Evolution!$N$3:$N$731,Source_Evolution!$A$3:$A$731,$A340)</f>
        <v/>
      </c>
      <c r="O340" s="17">
        <f>SUMIFS(Source_Evolution!$O$3:$O$731,Source_Evolution!$A$3:$A$731,$A340)</f>
        <v/>
      </c>
      <c r="P340" s="17">
        <f>SUMIFS(Source_Evolution!$P$3:$P$731,Source_Evolution!$A$3:$A$731,$A340)</f>
        <v/>
      </c>
      <c r="Q340" s="17">
        <f>SUMIFS(Source_Evolution!$Q$3:$Q$731,Source_Evolution!$A$3:$A$731,$A340)</f>
        <v/>
      </c>
      <c r="R340" s="17">
        <f>SUM(E340:Q340)</f>
        <v/>
      </c>
      <c r="S340" s="17">
        <f>Q340</f>
        <v/>
      </c>
      <c r="T340">
        <f>IF(B340="Software",1,0)</f>
        <v/>
      </c>
      <c r="U340" s="18">
        <f>SUMPRODUCT((Source_Evolution!$A$3:$A$731=$A340)*(Source_Evolution!$E$3:$E$731&gt;0))</f>
        <v/>
      </c>
      <c r="V340" s="18">
        <f>SUMPRODUCT((Source_Evolution!$A$3:$A$731=$A340)*(Source_Evolution!$F$3:$F$731&gt;0))</f>
        <v/>
      </c>
      <c r="W340" s="18">
        <f>SUMPRODUCT((Source_Evolution!$A$3:$A$731=$A340)*(Source_Evolution!$G$3:$G$731&gt;0))</f>
        <v/>
      </c>
      <c r="X340" s="18">
        <f>SUMPRODUCT((Source_Evolution!$A$3:$A$731=$A340)*(Source_Evolution!$H$3:$H$731&gt;0))</f>
        <v/>
      </c>
      <c r="Y340" s="18">
        <f>SUMPRODUCT((Source_Evolution!$A$3:$A$731=$A340)*(Source_Evolution!$I$3:$I$731&gt;0))</f>
        <v/>
      </c>
      <c r="Z340" s="18">
        <f>SUMPRODUCT((Source_Evolution!$A$3:$A$731=$A340)*(Source_Evolution!$J$3:$J$731&gt;0))</f>
        <v/>
      </c>
      <c r="AA340" s="18">
        <f>SUMPRODUCT((Source_Evolution!$A$3:$A$731=$A340)*(Source_Evolution!$K$3:$K$731&gt;0))</f>
        <v/>
      </c>
      <c r="AB340" s="18">
        <f>SUMPRODUCT((Source_Evolution!$A$3:$A$731=$A340)*(Source_Evolution!$L$3:$L$731&gt;0))</f>
        <v/>
      </c>
      <c r="AC340" s="18">
        <f>SUMPRODUCT((Source_Evolution!$A$3:$A$731=$A340)*(Source_Evolution!$M$3:$M$731&gt;0))</f>
        <v/>
      </c>
      <c r="AD340" s="18">
        <f>SUMPRODUCT((Source_Evolution!$A$3:$A$731=$A340)*(Source_Evolution!$N$3:$N$731&gt;0))</f>
        <v/>
      </c>
      <c r="AE340" s="18">
        <f>SUMPRODUCT((Source_Evolution!$A$3:$A$731=$A340)*(Source_Evolution!$O$3:$O$731&gt;0))</f>
        <v/>
      </c>
      <c r="AF340" s="18">
        <f>SUMPRODUCT((Source_Evolution!$A$3:$A$731=$A340)*(Source_Evolution!$P$3:$P$731&gt;0))</f>
        <v/>
      </c>
      <c r="AG340" s="18">
        <f>SUMPRODUCT((Source_Evolution!$A$3:$A$731=$A340)*(Source_Evolution!$Q$3:$Q$731&gt;0))</f>
        <v/>
      </c>
    </row>
    <row r="341">
      <c r="A341" t="inlineStr">
        <is>
          <t>Company 69</t>
        </is>
      </c>
      <c r="B341" t="inlineStr">
        <is>
          <t>Power</t>
        </is>
      </c>
      <c r="C341" t="inlineStr">
        <is>
          <t>UK</t>
        </is>
      </c>
      <c r="D341" t="n">
        <v>2014</v>
      </c>
      <c r="E341" s="17">
        <f>SUMIFS(Source_Evolution!$E$3:$E$731,Source_Evolution!$A$3:$A$731,$A341)</f>
        <v/>
      </c>
      <c r="F341" s="17">
        <f>SUMIFS(Source_Evolution!$F$3:$F$731,Source_Evolution!$A$3:$A$731,$A341)</f>
        <v/>
      </c>
      <c r="G341" s="17">
        <f>SUMIFS(Source_Evolution!$G$3:$G$731,Source_Evolution!$A$3:$A$731,$A341)</f>
        <v/>
      </c>
      <c r="H341" s="17">
        <f>SUMIFS(Source_Evolution!$H$3:$H$731,Source_Evolution!$A$3:$A$731,$A341)</f>
        <v/>
      </c>
      <c r="I341" s="17">
        <f>SUMIFS(Source_Evolution!$I$3:$I$731,Source_Evolution!$A$3:$A$731,$A341)</f>
        <v/>
      </c>
      <c r="J341" s="17">
        <f>SUMIFS(Source_Evolution!$J$3:$J$731,Source_Evolution!$A$3:$A$731,$A341)</f>
        <v/>
      </c>
      <c r="K341" s="17">
        <f>SUMIFS(Source_Evolution!$K$3:$K$731,Source_Evolution!$A$3:$A$731,$A341)</f>
        <v/>
      </c>
      <c r="L341" s="17">
        <f>SUMIFS(Source_Evolution!$L$3:$L$731,Source_Evolution!$A$3:$A$731,$A341)</f>
        <v/>
      </c>
      <c r="M341" s="17">
        <f>SUMIFS(Source_Evolution!$M$3:$M$731,Source_Evolution!$A$3:$A$731,$A341)</f>
        <v/>
      </c>
      <c r="N341" s="17">
        <f>SUMIFS(Source_Evolution!$N$3:$N$731,Source_Evolution!$A$3:$A$731,$A341)</f>
        <v/>
      </c>
      <c r="O341" s="17">
        <f>SUMIFS(Source_Evolution!$O$3:$O$731,Source_Evolution!$A$3:$A$731,$A341)</f>
        <v/>
      </c>
      <c r="P341" s="17">
        <f>SUMIFS(Source_Evolution!$P$3:$P$731,Source_Evolution!$A$3:$A$731,$A341)</f>
        <v/>
      </c>
      <c r="Q341" s="17">
        <f>SUMIFS(Source_Evolution!$Q$3:$Q$731,Source_Evolution!$A$3:$A$731,$A341)</f>
        <v/>
      </c>
      <c r="R341" s="17">
        <f>SUM(E341:Q341)</f>
        <v/>
      </c>
      <c r="S341" s="17">
        <f>Q341</f>
        <v/>
      </c>
      <c r="T341">
        <f>IF(B341="Software",1,0)</f>
        <v/>
      </c>
      <c r="U341" s="18">
        <f>SUMPRODUCT((Source_Evolution!$A$3:$A$731=$A341)*(Source_Evolution!$E$3:$E$731&gt;0))</f>
        <v/>
      </c>
      <c r="V341" s="18">
        <f>SUMPRODUCT((Source_Evolution!$A$3:$A$731=$A341)*(Source_Evolution!$F$3:$F$731&gt;0))</f>
        <v/>
      </c>
      <c r="W341" s="18">
        <f>SUMPRODUCT((Source_Evolution!$A$3:$A$731=$A341)*(Source_Evolution!$G$3:$G$731&gt;0))</f>
        <v/>
      </c>
      <c r="X341" s="18">
        <f>SUMPRODUCT((Source_Evolution!$A$3:$A$731=$A341)*(Source_Evolution!$H$3:$H$731&gt;0))</f>
        <v/>
      </c>
      <c r="Y341" s="18">
        <f>SUMPRODUCT((Source_Evolution!$A$3:$A$731=$A341)*(Source_Evolution!$I$3:$I$731&gt;0))</f>
        <v/>
      </c>
      <c r="Z341" s="18">
        <f>SUMPRODUCT((Source_Evolution!$A$3:$A$731=$A341)*(Source_Evolution!$J$3:$J$731&gt;0))</f>
        <v/>
      </c>
      <c r="AA341" s="18">
        <f>SUMPRODUCT((Source_Evolution!$A$3:$A$731=$A341)*(Source_Evolution!$K$3:$K$731&gt;0))</f>
        <v/>
      </c>
      <c r="AB341" s="18">
        <f>SUMPRODUCT((Source_Evolution!$A$3:$A$731=$A341)*(Source_Evolution!$L$3:$L$731&gt;0))</f>
        <v/>
      </c>
      <c r="AC341" s="18">
        <f>SUMPRODUCT((Source_Evolution!$A$3:$A$731=$A341)*(Source_Evolution!$M$3:$M$731&gt;0))</f>
        <v/>
      </c>
      <c r="AD341" s="18">
        <f>SUMPRODUCT((Source_Evolution!$A$3:$A$731=$A341)*(Source_Evolution!$N$3:$N$731&gt;0))</f>
        <v/>
      </c>
      <c r="AE341" s="18">
        <f>SUMPRODUCT((Source_Evolution!$A$3:$A$731=$A341)*(Source_Evolution!$O$3:$O$731&gt;0))</f>
        <v/>
      </c>
      <c r="AF341" s="18">
        <f>SUMPRODUCT((Source_Evolution!$A$3:$A$731=$A341)*(Source_Evolution!$P$3:$P$731&gt;0))</f>
        <v/>
      </c>
      <c r="AG341" s="18">
        <f>SUMPRODUCT((Source_Evolution!$A$3:$A$731=$A341)*(Source_Evolution!$Q$3:$Q$731&gt;0))</f>
        <v/>
      </c>
    </row>
    <row r="342">
      <c r="A342" t="inlineStr">
        <is>
          <t>Company 7</t>
        </is>
      </c>
      <c r="B342" t="inlineStr">
        <is>
          <t>CVA</t>
        </is>
      </c>
      <c r="C342" t="inlineStr">
        <is>
          <t>UK</t>
        </is>
      </c>
      <c r="D342" t="n">
        <v>2014</v>
      </c>
      <c r="E342" s="17">
        <f>SUMIFS(Source_Evolution!$E$3:$E$731,Source_Evolution!$A$3:$A$731,$A342)</f>
        <v/>
      </c>
      <c r="F342" s="17">
        <f>SUMIFS(Source_Evolution!$F$3:$F$731,Source_Evolution!$A$3:$A$731,$A342)</f>
        <v/>
      </c>
      <c r="G342" s="17">
        <f>SUMIFS(Source_Evolution!$G$3:$G$731,Source_Evolution!$A$3:$A$731,$A342)</f>
        <v/>
      </c>
      <c r="H342" s="17">
        <f>SUMIFS(Source_Evolution!$H$3:$H$731,Source_Evolution!$A$3:$A$731,$A342)</f>
        <v/>
      </c>
      <c r="I342" s="17">
        <f>SUMIFS(Source_Evolution!$I$3:$I$731,Source_Evolution!$A$3:$A$731,$A342)</f>
        <v/>
      </c>
      <c r="J342" s="17">
        <f>SUMIFS(Source_Evolution!$J$3:$J$731,Source_Evolution!$A$3:$A$731,$A342)</f>
        <v/>
      </c>
      <c r="K342" s="17">
        <f>SUMIFS(Source_Evolution!$K$3:$K$731,Source_Evolution!$A$3:$A$731,$A342)</f>
        <v/>
      </c>
      <c r="L342" s="17">
        <f>SUMIFS(Source_Evolution!$L$3:$L$731,Source_Evolution!$A$3:$A$731,$A342)</f>
        <v/>
      </c>
      <c r="M342" s="17">
        <f>SUMIFS(Source_Evolution!$M$3:$M$731,Source_Evolution!$A$3:$A$731,$A342)</f>
        <v/>
      </c>
      <c r="N342" s="17">
        <f>SUMIFS(Source_Evolution!$N$3:$N$731,Source_Evolution!$A$3:$A$731,$A342)</f>
        <v/>
      </c>
      <c r="O342" s="17">
        <f>SUMIFS(Source_Evolution!$O$3:$O$731,Source_Evolution!$A$3:$A$731,$A342)</f>
        <v/>
      </c>
      <c r="P342" s="17">
        <f>SUMIFS(Source_Evolution!$P$3:$P$731,Source_Evolution!$A$3:$A$731,$A342)</f>
        <v/>
      </c>
      <c r="Q342" s="17">
        <f>SUMIFS(Source_Evolution!$Q$3:$Q$731,Source_Evolution!$A$3:$A$731,$A342)</f>
        <v/>
      </c>
      <c r="R342" s="17">
        <f>SUM(E342:Q342)</f>
        <v/>
      </c>
      <c r="S342" s="17">
        <f>Q342</f>
        <v/>
      </c>
      <c r="T342">
        <f>IF(B342="Software",1,0)</f>
        <v/>
      </c>
      <c r="U342" s="18">
        <f>SUMPRODUCT((Source_Evolution!$A$3:$A$731=$A342)*(Source_Evolution!$E$3:$E$731&gt;0))</f>
        <v/>
      </c>
      <c r="V342" s="18">
        <f>SUMPRODUCT((Source_Evolution!$A$3:$A$731=$A342)*(Source_Evolution!$F$3:$F$731&gt;0))</f>
        <v/>
      </c>
      <c r="W342" s="18">
        <f>SUMPRODUCT((Source_Evolution!$A$3:$A$731=$A342)*(Source_Evolution!$G$3:$G$731&gt;0))</f>
        <v/>
      </c>
      <c r="X342" s="18">
        <f>SUMPRODUCT((Source_Evolution!$A$3:$A$731=$A342)*(Source_Evolution!$H$3:$H$731&gt;0))</f>
        <v/>
      </c>
      <c r="Y342" s="18">
        <f>SUMPRODUCT((Source_Evolution!$A$3:$A$731=$A342)*(Source_Evolution!$I$3:$I$731&gt;0))</f>
        <v/>
      </c>
      <c r="Z342" s="18">
        <f>SUMPRODUCT((Source_Evolution!$A$3:$A$731=$A342)*(Source_Evolution!$J$3:$J$731&gt;0))</f>
        <v/>
      </c>
      <c r="AA342" s="18">
        <f>SUMPRODUCT((Source_Evolution!$A$3:$A$731=$A342)*(Source_Evolution!$K$3:$K$731&gt;0))</f>
        <v/>
      </c>
      <c r="AB342" s="18">
        <f>SUMPRODUCT((Source_Evolution!$A$3:$A$731=$A342)*(Source_Evolution!$L$3:$L$731&gt;0))</f>
        <v/>
      </c>
      <c r="AC342" s="18">
        <f>SUMPRODUCT((Source_Evolution!$A$3:$A$731=$A342)*(Source_Evolution!$M$3:$M$731&gt;0))</f>
        <v/>
      </c>
      <c r="AD342" s="18">
        <f>SUMPRODUCT((Source_Evolution!$A$3:$A$731=$A342)*(Source_Evolution!$N$3:$N$731&gt;0))</f>
        <v/>
      </c>
      <c r="AE342" s="18">
        <f>SUMPRODUCT((Source_Evolution!$A$3:$A$731=$A342)*(Source_Evolution!$O$3:$O$731&gt;0))</f>
        <v/>
      </c>
      <c r="AF342" s="18">
        <f>SUMPRODUCT((Source_Evolution!$A$3:$A$731=$A342)*(Source_Evolution!$P$3:$P$731&gt;0))</f>
        <v/>
      </c>
      <c r="AG342" s="18">
        <f>SUMPRODUCT((Source_Evolution!$A$3:$A$731=$A342)*(Source_Evolution!$Q$3:$Q$731&gt;0))</f>
        <v/>
      </c>
    </row>
    <row r="343">
      <c r="A343" t="inlineStr">
        <is>
          <t>Company 70</t>
        </is>
      </c>
      <c r="B343" t="inlineStr">
        <is>
          <t>Operations</t>
        </is>
      </c>
      <c r="C343" t="inlineStr">
        <is>
          <t>UK</t>
        </is>
      </c>
      <c r="D343" t="n">
        <v>2014</v>
      </c>
      <c r="E343" s="17">
        <f>SUMIFS(Source_Evolution!$E$3:$E$731,Source_Evolution!$A$3:$A$731,$A343)</f>
        <v/>
      </c>
      <c r="F343" s="17">
        <f>SUMIFS(Source_Evolution!$F$3:$F$731,Source_Evolution!$A$3:$A$731,$A343)</f>
        <v/>
      </c>
      <c r="G343" s="17">
        <f>SUMIFS(Source_Evolution!$G$3:$G$731,Source_Evolution!$A$3:$A$731,$A343)</f>
        <v/>
      </c>
      <c r="H343" s="17">
        <f>SUMIFS(Source_Evolution!$H$3:$H$731,Source_Evolution!$A$3:$A$731,$A343)</f>
        <v/>
      </c>
      <c r="I343" s="17">
        <f>SUMIFS(Source_Evolution!$I$3:$I$731,Source_Evolution!$A$3:$A$731,$A343)</f>
        <v/>
      </c>
      <c r="J343" s="17">
        <f>SUMIFS(Source_Evolution!$J$3:$J$731,Source_Evolution!$A$3:$A$731,$A343)</f>
        <v/>
      </c>
      <c r="K343" s="17">
        <f>SUMIFS(Source_Evolution!$K$3:$K$731,Source_Evolution!$A$3:$A$731,$A343)</f>
        <v/>
      </c>
      <c r="L343" s="17">
        <f>SUMIFS(Source_Evolution!$L$3:$L$731,Source_Evolution!$A$3:$A$731,$A343)</f>
        <v/>
      </c>
      <c r="M343" s="17">
        <f>SUMIFS(Source_Evolution!$M$3:$M$731,Source_Evolution!$A$3:$A$731,$A343)</f>
        <v/>
      </c>
      <c r="N343" s="17">
        <f>SUMIFS(Source_Evolution!$N$3:$N$731,Source_Evolution!$A$3:$A$731,$A343)</f>
        <v/>
      </c>
      <c r="O343" s="17">
        <f>SUMIFS(Source_Evolution!$O$3:$O$731,Source_Evolution!$A$3:$A$731,$A343)</f>
        <v/>
      </c>
      <c r="P343" s="17">
        <f>SUMIFS(Source_Evolution!$P$3:$P$731,Source_Evolution!$A$3:$A$731,$A343)</f>
        <v/>
      </c>
      <c r="Q343" s="17">
        <f>SUMIFS(Source_Evolution!$Q$3:$Q$731,Source_Evolution!$A$3:$A$731,$A343)</f>
        <v/>
      </c>
      <c r="R343" s="17">
        <f>SUM(E343:Q343)</f>
        <v/>
      </c>
      <c r="S343" s="17">
        <f>Q343</f>
        <v/>
      </c>
      <c r="T343">
        <f>IF(B343="Software",1,0)</f>
        <v/>
      </c>
      <c r="U343" s="18">
        <f>SUMPRODUCT((Source_Evolution!$A$3:$A$731=$A343)*(Source_Evolution!$E$3:$E$731&gt;0))</f>
        <v/>
      </c>
      <c r="V343" s="18">
        <f>SUMPRODUCT((Source_Evolution!$A$3:$A$731=$A343)*(Source_Evolution!$F$3:$F$731&gt;0))</f>
        <v/>
      </c>
      <c r="W343" s="18">
        <f>SUMPRODUCT((Source_Evolution!$A$3:$A$731=$A343)*(Source_Evolution!$G$3:$G$731&gt;0))</f>
        <v/>
      </c>
      <c r="X343" s="18">
        <f>SUMPRODUCT((Source_Evolution!$A$3:$A$731=$A343)*(Source_Evolution!$H$3:$H$731&gt;0))</f>
        <v/>
      </c>
      <c r="Y343" s="18">
        <f>SUMPRODUCT((Source_Evolution!$A$3:$A$731=$A343)*(Source_Evolution!$I$3:$I$731&gt;0))</f>
        <v/>
      </c>
      <c r="Z343" s="18">
        <f>SUMPRODUCT((Source_Evolution!$A$3:$A$731=$A343)*(Source_Evolution!$J$3:$J$731&gt;0))</f>
        <v/>
      </c>
      <c r="AA343" s="18">
        <f>SUMPRODUCT((Source_Evolution!$A$3:$A$731=$A343)*(Source_Evolution!$K$3:$K$731&gt;0))</f>
        <v/>
      </c>
      <c r="AB343" s="18">
        <f>SUMPRODUCT((Source_Evolution!$A$3:$A$731=$A343)*(Source_Evolution!$L$3:$L$731&gt;0))</f>
        <v/>
      </c>
      <c r="AC343" s="18">
        <f>SUMPRODUCT((Source_Evolution!$A$3:$A$731=$A343)*(Source_Evolution!$M$3:$M$731&gt;0))</f>
        <v/>
      </c>
      <c r="AD343" s="18">
        <f>SUMPRODUCT((Source_Evolution!$A$3:$A$731=$A343)*(Source_Evolution!$N$3:$N$731&gt;0))</f>
        <v/>
      </c>
      <c r="AE343" s="18">
        <f>SUMPRODUCT((Source_Evolution!$A$3:$A$731=$A343)*(Source_Evolution!$O$3:$O$731&gt;0))</f>
        <v/>
      </c>
      <c r="AF343" s="18">
        <f>SUMPRODUCT((Source_Evolution!$A$3:$A$731=$A343)*(Source_Evolution!$P$3:$P$731&gt;0))</f>
        <v/>
      </c>
      <c r="AG343" s="18">
        <f>SUMPRODUCT((Source_Evolution!$A$3:$A$731=$A343)*(Source_Evolution!$Q$3:$Q$731&gt;0))</f>
        <v/>
      </c>
    </row>
    <row r="344">
      <c r="A344" t="inlineStr">
        <is>
          <t>Company 71</t>
        </is>
      </c>
      <c r="B344" t="inlineStr">
        <is>
          <t>Software</t>
        </is>
      </c>
      <c r="C344" t="inlineStr">
        <is>
          <t>UK</t>
        </is>
      </c>
      <c r="D344" t="n">
        <v>2016</v>
      </c>
      <c r="E344" s="17">
        <f>SUMIFS(Source_Evolution!$E$3:$E$731,Source_Evolution!$A$3:$A$731,$A344)</f>
        <v/>
      </c>
      <c r="F344" s="17">
        <f>SUMIFS(Source_Evolution!$F$3:$F$731,Source_Evolution!$A$3:$A$731,$A344)</f>
        <v/>
      </c>
      <c r="G344" s="17">
        <f>SUMIFS(Source_Evolution!$G$3:$G$731,Source_Evolution!$A$3:$A$731,$A344)</f>
        <v/>
      </c>
      <c r="H344" s="17">
        <f>SUMIFS(Source_Evolution!$H$3:$H$731,Source_Evolution!$A$3:$A$731,$A344)</f>
        <v/>
      </c>
      <c r="I344" s="17">
        <f>SUMIFS(Source_Evolution!$I$3:$I$731,Source_Evolution!$A$3:$A$731,$A344)</f>
        <v/>
      </c>
      <c r="J344" s="17">
        <f>SUMIFS(Source_Evolution!$J$3:$J$731,Source_Evolution!$A$3:$A$731,$A344)</f>
        <v/>
      </c>
      <c r="K344" s="17">
        <f>SUMIFS(Source_Evolution!$K$3:$K$731,Source_Evolution!$A$3:$A$731,$A344)</f>
        <v/>
      </c>
      <c r="L344" s="17">
        <f>SUMIFS(Source_Evolution!$L$3:$L$731,Source_Evolution!$A$3:$A$731,$A344)</f>
        <v/>
      </c>
      <c r="M344" s="17">
        <f>SUMIFS(Source_Evolution!$M$3:$M$731,Source_Evolution!$A$3:$A$731,$A344)</f>
        <v/>
      </c>
      <c r="N344" s="17">
        <f>SUMIFS(Source_Evolution!$N$3:$N$731,Source_Evolution!$A$3:$A$731,$A344)</f>
        <v/>
      </c>
      <c r="O344" s="17">
        <f>SUMIFS(Source_Evolution!$O$3:$O$731,Source_Evolution!$A$3:$A$731,$A344)</f>
        <v/>
      </c>
      <c r="P344" s="17">
        <f>SUMIFS(Source_Evolution!$P$3:$P$731,Source_Evolution!$A$3:$A$731,$A344)</f>
        <v/>
      </c>
      <c r="Q344" s="17">
        <f>SUMIFS(Source_Evolution!$Q$3:$Q$731,Source_Evolution!$A$3:$A$731,$A344)</f>
        <v/>
      </c>
      <c r="R344" s="17">
        <f>SUM(E344:Q344)</f>
        <v/>
      </c>
      <c r="S344" s="17">
        <f>Q344</f>
        <v/>
      </c>
      <c r="T344">
        <f>IF(B344="Software",1,0)</f>
        <v/>
      </c>
      <c r="U344" s="18">
        <f>SUMPRODUCT((Source_Evolution!$A$3:$A$731=$A344)*(Source_Evolution!$E$3:$E$731&gt;0))</f>
        <v/>
      </c>
      <c r="V344" s="18">
        <f>SUMPRODUCT((Source_Evolution!$A$3:$A$731=$A344)*(Source_Evolution!$F$3:$F$731&gt;0))</f>
        <v/>
      </c>
      <c r="W344" s="18">
        <f>SUMPRODUCT((Source_Evolution!$A$3:$A$731=$A344)*(Source_Evolution!$G$3:$G$731&gt;0))</f>
        <v/>
      </c>
      <c r="X344" s="18">
        <f>SUMPRODUCT((Source_Evolution!$A$3:$A$731=$A344)*(Source_Evolution!$H$3:$H$731&gt;0))</f>
        <v/>
      </c>
      <c r="Y344" s="18">
        <f>SUMPRODUCT((Source_Evolution!$A$3:$A$731=$A344)*(Source_Evolution!$I$3:$I$731&gt;0))</f>
        <v/>
      </c>
      <c r="Z344" s="18">
        <f>SUMPRODUCT((Source_Evolution!$A$3:$A$731=$A344)*(Source_Evolution!$J$3:$J$731&gt;0))</f>
        <v/>
      </c>
      <c r="AA344" s="18">
        <f>SUMPRODUCT((Source_Evolution!$A$3:$A$731=$A344)*(Source_Evolution!$K$3:$K$731&gt;0))</f>
        <v/>
      </c>
      <c r="AB344" s="18">
        <f>SUMPRODUCT((Source_Evolution!$A$3:$A$731=$A344)*(Source_Evolution!$L$3:$L$731&gt;0))</f>
        <v/>
      </c>
      <c r="AC344" s="18">
        <f>SUMPRODUCT((Source_Evolution!$A$3:$A$731=$A344)*(Source_Evolution!$M$3:$M$731&gt;0))</f>
        <v/>
      </c>
      <c r="AD344" s="18">
        <f>SUMPRODUCT((Source_Evolution!$A$3:$A$731=$A344)*(Source_Evolution!$N$3:$N$731&gt;0))</f>
        <v/>
      </c>
      <c r="AE344" s="18">
        <f>SUMPRODUCT((Source_Evolution!$A$3:$A$731=$A344)*(Source_Evolution!$O$3:$O$731&gt;0))</f>
        <v/>
      </c>
      <c r="AF344" s="18">
        <f>SUMPRODUCT((Source_Evolution!$A$3:$A$731=$A344)*(Source_Evolution!$P$3:$P$731&gt;0))</f>
        <v/>
      </c>
      <c r="AG344" s="18">
        <f>SUMPRODUCT((Source_Evolution!$A$3:$A$731=$A344)*(Source_Evolution!$Q$3:$Q$731&gt;0))</f>
        <v/>
      </c>
    </row>
    <row r="345">
      <c r="A345" t="inlineStr">
        <is>
          <t>Company 72</t>
        </is>
      </c>
      <c r="B345" t="inlineStr">
        <is>
          <t>Operations</t>
        </is>
      </c>
      <c r="C345" t="inlineStr">
        <is>
          <t>Spain</t>
        </is>
      </c>
      <c r="D345" t="n">
        <v>2014</v>
      </c>
      <c r="E345" s="17">
        <f>SUMIFS(Source_Evolution!$E$3:$E$731,Source_Evolution!$A$3:$A$731,$A345)</f>
        <v/>
      </c>
      <c r="F345" s="17">
        <f>SUMIFS(Source_Evolution!$F$3:$F$731,Source_Evolution!$A$3:$A$731,$A345)</f>
        <v/>
      </c>
      <c r="G345" s="17">
        <f>SUMIFS(Source_Evolution!$G$3:$G$731,Source_Evolution!$A$3:$A$731,$A345)</f>
        <v/>
      </c>
      <c r="H345" s="17">
        <f>SUMIFS(Source_Evolution!$H$3:$H$731,Source_Evolution!$A$3:$A$731,$A345)</f>
        <v/>
      </c>
      <c r="I345" s="17">
        <f>SUMIFS(Source_Evolution!$I$3:$I$731,Source_Evolution!$A$3:$A$731,$A345)</f>
        <v/>
      </c>
      <c r="J345" s="17">
        <f>SUMIFS(Source_Evolution!$J$3:$J$731,Source_Evolution!$A$3:$A$731,$A345)</f>
        <v/>
      </c>
      <c r="K345" s="17">
        <f>SUMIFS(Source_Evolution!$K$3:$K$731,Source_Evolution!$A$3:$A$731,$A345)</f>
        <v/>
      </c>
      <c r="L345" s="17">
        <f>SUMIFS(Source_Evolution!$L$3:$L$731,Source_Evolution!$A$3:$A$731,$A345)</f>
        <v/>
      </c>
      <c r="M345" s="17">
        <f>SUMIFS(Source_Evolution!$M$3:$M$731,Source_Evolution!$A$3:$A$731,$A345)</f>
        <v/>
      </c>
      <c r="N345" s="17">
        <f>SUMIFS(Source_Evolution!$N$3:$N$731,Source_Evolution!$A$3:$A$731,$A345)</f>
        <v/>
      </c>
      <c r="O345" s="17">
        <f>SUMIFS(Source_Evolution!$O$3:$O$731,Source_Evolution!$A$3:$A$731,$A345)</f>
        <v/>
      </c>
      <c r="P345" s="17">
        <f>SUMIFS(Source_Evolution!$P$3:$P$731,Source_Evolution!$A$3:$A$731,$A345)</f>
        <v/>
      </c>
      <c r="Q345" s="17">
        <f>SUMIFS(Source_Evolution!$Q$3:$Q$731,Source_Evolution!$A$3:$A$731,$A345)</f>
        <v/>
      </c>
      <c r="R345" s="17">
        <f>SUM(E345:Q345)</f>
        <v/>
      </c>
      <c r="S345" s="17">
        <f>Q345</f>
        <v/>
      </c>
      <c r="T345">
        <f>IF(B345="Software",1,0)</f>
        <v/>
      </c>
      <c r="U345" s="18">
        <f>SUMPRODUCT((Source_Evolution!$A$3:$A$731=$A345)*(Source_Evolution!$E$3:$E$731&gt;0))</f>
        <v/>
      </c>
      <c r="V345" s="18">
        <f>SUMPRODUCT((Source_Evolution!$A$3:$A$731=$A345)*(Source_Evolution!$F$3:$F$731&gt;0))</f>
        <v/>
      </c>
      <c r="W345" s="18">
        <f>SUMPRODUCT((Source_Evolution!$A$3:$A$731=$A345)*(Source_Evolution!$G$3:$G$731&gt;0))</f>
        <v/>
      </c>
      <c r="X345" s="18">
        <f>SUMPRODUCT((Source_Evolution!$A$3:$A$731=$A345)*(Source_Evolution!$H$3:$H$731&gt;0))</f>
        <v/>
      </c>
      <c r="Y345" s="18">
        <f>SUMPRODUCT((Source_Evolution!$A$3:$A$731=$A345)*(Source_Evolution!$I$3:$I$731&gt;0))</f>
        <v/>
      </c>
      <c r="Z345" s="18">
        <f>SUMPRODUCT((Source_Evolution!$A$3:$A$731=$A345)*(Source_Evolution!$J$3:$J$731&gt;0))</f>
        <v/>
      </c>
      <c r="AA345" s="18">
        <f>SUMPRODUCT((Source_Evolution!$A$3:$A$731=$A345)*(Source_Evolution!$K$3:$K$731&gt;0))</f>
        <v/>
      </c>
      <c r="AB345" s="18">
        <f>SUMPRODUCT((Source_Evolution!$A$3:$A$731=$A345)*(Source_Evolution!$L$3:$L$731&gt;0))</f>
        <v/>
      </c>
      <c r="AC345" s="18">
        <f>SUMPRODUCT((Source_Evolution!$A$3:$A$731=$A345)*(Source_Evolution!$M$3:$M$731&gt;0))</f>
        <v/>
      </c>
      <c r="AD345" s="18">
        <f>SUMPRODUCT((Source_Evolution!$A$3:$A$731=$A345)*(Source_Evolution!$N$3:$N$731&gt;0))</f>
        <v/>
      </c>
      <c r="AE345" s="18">
        <f>SUMPRODUCT((Source_Evolution!$A$3:$A$731=$A345)*(Source_Evolution!$O$3:$O$731&gt;0))</f>
        <v/>
      </c>
      <c r="AF345" s="18">
        <f>SUMPRODUCT((Source_Evolution!$A$3:$A$731=$A345)*(Source_Evolution!$P$3:$P$731&gt;0))</f>
        <v/>
      </c>
      <c r="AG345" s="18">
        <f>SUMPRODUCT((Source_Evolution!$A$3:$A$731=$A345)*(Source_Evolution!$Q$3:$Q$731&gt;0))</f>
        <v/>
      </c>
    </row>
    <row r="346">
      <c r="A346" t="inlineStr">
        <is>
          <t>Company 73</t>
        </is>
      </c>
      <c r="B346" t="inlineStr">
        <is>
          <t>Operations</t>
        </is>
      </c>
      <c r="C346" t="inlineStr">
        <is>
          <t>Switzerland</t>
        </is>
      </c>
      <c r="D346" t="n">
        <v>2014</v>
      </c>
      <c r="E346" s="17">
        <f>SUMIFS(Source_Evolution!$E$3:$E$731,Source_Evolution!$A$3:$A$731,$A346)</f>
        <v/>
      </c>
      <c r="F346" s="17">
        <f>SUMIFS(Source_Evolution!$F$3:$F$731,Source_Evolution!$A$3:$A$731,$A346)</f>
        <v/>
      </c>
      <c r="G346" s="17">
        <f>SUMIFS(Source_Evolution!$G$3:$G$731,Source_Evolution!$A$3:$A$731,$A346)</f>
        <v/>
      </c>
      <c r="H346" s="17">
        <f>SUMIFS(Source_Evolution!$H$3:$H$731,Source_Evolution!$A$3:$A$731,$A346)</f>
        <v/>
      </c>
      <c r="I346" s="17">
        <f>SUMIFS(Source_Evolution!$I$3:$I$731,Source_Evolution!$A$3:$A$731,$A346)</f>
        <v/>
      </c>
      <c r="J346" s="17">
        <f>SUMIFS(Source_Evolution!$J$3:$J$731,Source_Evolution!$A$3:$A$731,$A346)</f>
        <v/>
      </c>
      <c r="K346" s="17">
        <f>SUMIFS(Source_Evolution!$K$3:$K$731,Source_Evolution!$A$3:$A$731,$A346)</f>
        <v/>
      </c>
      <c r="L346" s="17">
        <f>SUMIFS(Source_Evolution!$L$3:$L$731,Source_Evolution!$A$3:$A$731,$A346)</f>
        <v/>
      </c>
      <c r="M346" s="17">
        <f>SUMIFS(Source_Evolution!$M$3:$M$731,Source_Evolution!$A$3:$A$731,$A346)</f>
        <v/>
      </c>
      <c r="N346" s="17">
        <f>SUMIFS(Source_Evolution!$N$3:$N$731,Source_Evolution!$A$3:$A$731,$A346)</f>
        <v/>
      </c>
      <c r="O346" s="17">
        <f>SUMIFS(Source_Evolution!$O$3:$O$731,Source_Evolution!$A$3:$A$731,$A346)</f>
        <v/>
      </c>
      <c r="P346" s="17">
        <f>SUMIFS(Source_Evolution!$P$3:$P$731,Source_Evolution!$A$3:$A$731,$A346)</f>
        <v/>
      </c>
      <c r="Q346" s="17">
        <f>SUMIFS(Source_Evolution!$Q$3:$Q$731,Source_Evolution!$A$3:$A$731,$A346)</f>
        <v/>
      </c>
      <c r="R346" s="17">
        <f>SUM(E346:Q346)</f>
        <v/>
      </c>
      <c r="S346" s="17">
        <f>Q346</f>
        <v/>
      </c>
      <c r="T346">
        <f>IF(B346="Software",1,0)</f>
        <v/>
      </c>
      <c r="U346" s="18">
        <f>SUMPRODUCT((Source_Evolution!$A$3:$A$731=$A346)*(Source_Evolution!$E$3:$E$731&gt;0))</f>
        <v/>
      </c>
      <c r="V346" s="18">
        <f>SUMPRODUCT((Source_Evolution!$A$3:$A$731=$A346)*(Source_Evolution!$F$3:$F$731&gt;0))</f>
        <v/>
      </c>
      <c r="W346" s="18">
        <f>SUMPRODUCT((Source_Evolution!$A$3:$A$731=$A346)*(Source_Evolution!$G$3:$G$731&gt;0))</f>
        <v/>
      </c>
      <c r="X346" s="18">
        <f>SUMPRODUCT((Source_Evolution!$A$3:$A$731=$A346)*(Source_Evolution!$H$3:$H$731&gt;0))</f>
        <v/>
      </c>
      <c r="Y346" s="18">
        <f>SUMPRODUCT((Source_Evolution!$A$3:$A$731=$A346)*(Source_Evolution!$I$3:$I$731&gt;0))</f>
        <v/>
      </c>
      <c r="Z346" s="18">
        <f>SUMPRODUCT((Source_Evolution!$A$3:$A$731=$A346)*(Source_Evolution!$J$3:$J$731&gt;0))</f>
        <v/>
      </c>
      <c r="AA346" s="18">
        <f>SUMPRODUCT((Source_Evolution!$A$3:$A$731=$A346)*(Source_Evolution!$K$3:$K$731&gt;0))</f>
        <v/>
      </c>
      <c r="AB346" s="18">
        <f>SUMPRODUCT((Source_Evolution!$A$3:$A$731=$A346)*(Source_Evolution!$L$3:$L$731&gt;0))</f>
        <v/>
      </c>
      <c r="AC346" s="18">
        <f>SUMPRODUCT((Source_Evolution!$A$3:$A$731=$A346)*(Source_Evolution!$M$3:$M$731&gt;0))</f>
        <v/>
      </c>
      <c r="AD346" s="18">
        <f>SUMPRODUCT((Source_Evolution!$A$3:$A$731=$A346)*(Source_Evolution!$N$3:$N$731&gt;0))</f>
        <v/>
      </c>
      <c r="AE346" s="18">
        <f>SUMPRODUCT((Source_Evolution!$A$3:$A$731=$A346)*(Source_Evolution!$O$3:$O$731&gt;0))</f>
        <v/>
      </c>
      <c r="AF346" s="18">
        <f>SUMPRODUCT((Source_Evolution!$A$3:$A$731=$A346)*(Source_Evolution!$P$3:$P$731&gt;0))</f>
        <v/>
      </c>
      <c r="AG346" s="18">
        <f>SUMPRODUCT((Source_Evolution!$A$3:$A$731=$A346)*(Source_Evolution!$Q$3:$Q$731&gt;0))</f>
        <v/>
      </c>
    </row>
    <row r="347">
      <c r="A347" t="inlineStr">
        <is>
          <t>Company 74</t>
        </is>
      </c>
      <c r="B347" t="inlineStr">
        <is>
          <t>Operations</t>
        </is>
      </c>
      <c r="C347" t="inlineStr">
        <is>
          <t>France</t>
        </is>
      </c>
      <c r="D347" t="n">
        <v>2016</v>
      </c>
      <c r="E347" s="17">
        <f>SUMIFS(Source_Evolution!$E$3:$E$731,Source_Evolution!$A$3:$A$731,$A347)</f>
        <v/>
      </c>
      <c r="F347" s="17">
        <f>SUMIFS(Source_Evolution!$F$3:$F$731,Source_Evolution!$A$3:$A$731,$A347)</f>
        <v/>
      </c>
      <c r="G347" s="17">
        <f>SUMIFS(Source_Evolution!$G$3:$G$731,Source_Evolution!$A$3:$A$731,$A347)</f>
        <v/>
      </c>
      <c r="H347" s="17">
        <f>SUMIFS(Source_Evolution!$H$3:$H$731,Source_Evolution!$A$3:$A$731,$A347)</f>
        <v/>
      </c>
      <c r="I347" s="17">
        <f>SUMIFS(Source_Evolution!$I$3:$I$731,Source_Evolution!$A$3:$A$731,$A347)</f>
        <v/>
      </c>
      <c r="J347" s="17">
        <f>SUMIFS(Source_Evolution!$J$3:$J$731,Source_Evolution!$A$3:$A$731,$A347)</f>
        <v/>
      </c>
      <c r="K347" s="17">
        <f>SUMIFS(Source_Evolution!$K$3:$K$731,Source_Evolution!$A$3:$A$731,$A347)</f>
        <v/>
      </c>
      <c r="L347" s="17">
        <f>SUMIFS(Source_Evolution!$L$3:$L$731,Source_Evolution!$A$3:$A$731,$A347)</f>
        <v/>
      </c>
      <c r="M347" s="17">
        <f>SUMIFS(Source_Evolution!$M$3:$M$731,Source_Evolution!$A$3:$A$731,$A347)</f>
        <v/>
      </c>
      <c r="N347" s="17">
        <f>SUMIFS(Source_Evolution!$N$3:$N$731,Source_Evolution!$A$3:$A$731,$A347)</f>
        <v/>
      </c>
      <c r="O347" s="17">
        <f>SUMIFS(Source_Evolution!$O$3:$O$731,Source_Evolution!$A$3:$A$731,$A347)</f>
        <v/>
      </c>
      <c r="P347" s="17">
        <f>SUMIFS(Source_Evolution!$P$3:$P$731,Source_Evolution!$A$3:$A$731,$A347)</f>
        <v/>
      </c>
      <c r="Q347" s="17">
        <f>SUMIFS(Source_Evolution!$Q$3:$Q$731,Source_Evolution!$A$3:$A$731,$A347)</f>
        <v/>
      </c>
      <c r="R347" s="17">
        <f>SUM(E347:Q347)</f>
        <v/>
      </c>
      <c r="S347" s="17">
        <f>Q347</f>
        <v/>
      </c>
      <c r="T347">
        <f>IF(B347="Software",1,0)</f>
        <v/>
      </c>
      <c r="U347" s="18">
        <f>SUMPRODUCT((Source_Evolution!$A$3:$A$731=$A347)*(Source_Evolution!$E$3:$E$731&gt;0))</f>
        <v/>
      </c>
      <c r="V347" s="18">
        <f>SUMPRODUCT((Source_Evolution!$A$3:$A$731=$A347)*(Source_Evolution!$F$3:$F$731&gt;0))</f>
        <v/>
      </c>
      <c r="W347" s="18">
        <f>SUMPRODUCT((Source_Evolution!$A$3:$A$731=$A347)*(Source_Evolution!$G$3:$G$731&gt;0))</f>
        <v/>
      </c>
      <c r="X347" s="18">
        <f>SUMPRODUCT((Source_Evolution!$A$3:$A$731=$A347)*(Source_Evolution!$H$3:$H$731&gt;0))</f>
        <v/>
      </c>
      <c r="Y347" s="18">
        <f>SUMPRODUCT((Source_Evolution!$A$3:$A$731=$A347)*(Source_Evolution!$I$3:$I$731&gt;0))</f>
        <v/>
      </c>
      <c r="Z347" s="18">
        <f>SUMPRODUCT((Source_Evolution!$A$3:$A$731=$A347)*(Source_Evolution!$J$3:$J$731&gt;0))</f>
        <v/>
      </c>
      <c r="AA347" s="18">
        <f>SUMPRODUCT((Source_Evolution!$A$3:$A$731=$A347)*(Source_Evolution!$K$3:$K$731&gt;0))</f>
        <v/>
      </c>
      <c r="AB347" s="18">
        <f>SUMPRODUCT((Source_Evolution!$A$3:$A$731=$A347)*(Source_Evolution!$L$3:$L$731&gt;0))</f>
        <v/>
      </c>
      <c r="AC347" s="18">
        <f>SUMPRODUCT((Source_Evolution!$A$3:$A$731=$A347)*(Source_Evolution!$M$3:$M$731&gt;0))</f>
        <v/>
      </c>
      <c r="AD347" s="18">
        <f>SUMPRODUCT((Source_Evolution!$A$3:$A$731=$A347)*(Source_Evolution!$N$3:$N$731&gt;0))</f>
        <v/>
      </c>
      <c r="AE347" s="18">
        <f>SUMPRODUCT((Source_Evolution!$A$3:$A$731=$A347)*(Source_Evolution!$O$3:$O$731&gt;0))</f>
        <v/>
      </c>
      <c r="AF347" s="18">
        <f>SUMPRODUCT((Source_Evolution!$A$3:$A$731=$A347)*(Source_Evolution!$P$3:$P$731&gt;0))</f>
        <v/>
      </c>
      <c r="AG347" s="18">
        <f>SUMPRODUCT((Source_Evolution!$A$3:$A$731=$A347)*(Source_Evolution!$Q$3:$Q$731&gt;0))</f>
        <v/>
      </c>
    </row>
    <row r="348">
      <c r="A348" t="inlineStr">
        <is>
          <t>Company 75</t>
        </is>
      </c>
      <c r="B348" t="inlineStr">
        <is>
          <t>Operations</t>
        </is>
      </c>
      <c r="C348" t="inlineStr">
        <is>
          <t>Switzerland</t>
        </is>
      </c>
      <c r="D348" t="n">
        <v>2014</v>
      </c>
      <c r="E348" s="17">
        <f>SUMIFS(Source_Evolution!$E$3:$E$731,Source_Evolution!$A$3:$A$731,$A348)</f>
        <v/>
      </c>
      <c r="F348" s="17">
        <f>SUMIFS(Source_Evolution!$F$3:$F$731,Source_Evolution!$A$3:$A$731,$A348)</f>
        <v/>
      </c>
      <c r="G348" s="17">
        <f>SUMIFS(Source_Evolution!$G$3:$G$731,Source_Evolution!$A$3:$A$731,$A348)</f>
        <v/>
      </c>
      <c r="H348" s="17">
        <f>SUMIFS(Source_Evolution!$H$3:$H$731,Source_Evolution!$A$3:$A$731,$A348)</f>
        <v/>
      </c>
      <c r="I348" s="17">
        <f>SUMIFS(Source_Evolution!$I$3:$I$731,Source_Evolution!$A$3:$A$731,$A348)</f>
        <v/>
      </c>
      <c r="J348" s="17">
        <f>SUMIFS(Source_Evolution!$J$3:$J$731,Source_Evolution!$A$3:$A$731,$A348)</f>
        <v/>
      </c>
      <c r="K348" s="17">
        <f>SUMIFS(Source_Evolution!$K$3:$K$731,Source_Evolution!$A$3:$A$731,$A348)</f>
        <v/>
      </c>
      <c r="L348" s="17">
        <f>SUMIFS(Source_Evolution!$L$3:$L$731,Source_Evolution!$A$3:$A$731,$A348)</f>
        <v/>
      </c>
      <c r="M348" s="17">
        <f>SUMIFS(Source_Evolution!$M$3:$M$731,Source_Evolution!$A$3:$A$731,$A348)</f>
        <v/>
      </c>
      <c r="N348" s="17">
        <f>SUMIFS(Source_Evolution!$N$3:$N$731,Source_Evolution!$A$3:$A$731,$A348)</f>
        <v/>
      </c>
      <c r="O348" s="17">
        <f>SUMIFS(Source_Evolution!$O$3:$O$731,Source_Evolution!$A$3:$A$731,$A348)</f>
        <v/>
      </c>
      <c r="P348" s="17">
        <f>SUMIFS(Source_Evolution!$P$3:$P$731,Source_Evolution!$A$3:$A$731,$A348)</f>
        <v/>
      </c>
      <c r="Q348" s="17">
        <f>SUMIFS(Source_Evolution!$Q$3:$Q$731,Source_Evolution!$A$3:$A$731,$A348)</f>
        <v/>
      </c>
      <c r="R348" s="17">
        <f>SUM(E348:Q348)</f>
        <v/>
      </c>
      <c r="S348" s="17">
        <f>Q348</f>
        <v/>
      </c>
      <c r="T348">
        <f>IF(B348="Software",1,0)</f>
        <v/>
      </c>
      <c r="U348" s="18">
        <f>SUMPRODUCT((Source_Evolution!$A$3:$A$731=$A348)*(Source_Evolution!$E$3:$E$731&gt;0))</f>
        <v/>
      </c>
      <c r="V348" s="18">
        <f>SUMPRODUCT((Source_Evolution!$A$3:$A$731=$A348)*(Source_Evolution!$F$3:$F$731&gt;0))</f>
        <v/>
      </c>
      <c r="W348" s="18">
        <f>SUMPRODUCT((Source_Evolution!$A$3:$A$731=$A348)*(Source_Evolution!$G$3:$G$731&gt;0))</f>
        <v/>
      </c>
      <c r="X348" s="18">
        <f>SUMPRODUCT((Source_Evolution!$A$3:$A$731=$A348)*(Source_Evolution!$H$3:$H$731&gt;0))</f>
        <v/>
      </c>
      <c r="Y348" s="18">
        <f>SUMPRODUCT((Source_Evolution!$A$3:$A$731=$A348)*(Source_Evolution!$I$3:$I$731&gt;0))</f>
        <v/>
      </c>
      <c r="Z348" s="18">
        <f>SUMPRODUCT((Source_Evolution!$A$3:$A$731=$A348)*(Source_Evolution!$J$3:$J$731&gt;0))</f>
        <v/>
      </c>
      <c r="AA348" s="18">
        <f>SUMPRODUCT((Source_Evolution!$A$3:$A$731=$A348)*(Source_Evolution!$K$3:$K$731&gt;0))</f>
        <v/>
      </c>
      <c r="AB348" s="18">
        <f>SUMPRODUCT((Source_Evolution!$A$3:$A$731=$A348)*(Source_Evolution!$L$3:$L$731&gt;0))</f>
        <v/>
      </c>
      <c r="AC348" s="18">
        <f>SUMPRODUCT((Source_Evolution!$A$3:$A$731=$A348)*(Source_Evolution!$M$3:$M$731&gt;0))</f>
        <v/>
      </c>
      <c r="AD348" s="18">
        <f>SUMPRODUCT((Source_Evolution!$A$3:$A$731=$A348)*(Source_Evolution!$N$3:$N$731&gt;0))</f>
        <v/>
      </c>
      <c r="AE348" s="18">
        <f>SUMPRODUCT((Source_Evolution!$A$3:$A$731=$A348)*(Source_Evolution!$O$3:$O$731&gt;0))</f>
        <v/>
      </c>
      <c r="AF348" s="18">
        <f>SUMPRODUCT((Source_Evolution!$A$3:$A$731=$A348)*(Source_Evolution!$P$3:$P$731&gt;0))</f>
        <v/>
      </c>
      <c r="AG348" s="18">
        <f>SUMPRODUCT((Source_Evolution!$A$3:$A$731=$A348)*(Source_Evolution!$Q$3:$Q$731&gt;0))</f>
        <v/>
      </c>
    </row>
    <row r="349">
      <c r="A349" t="inlineStr">
        <is>
          <t>Company 76</t>
        </is>
      </c>
      <c r="B349" t="inlineStr">
        <is>
          <t>Operations</t>
        </is>
      </c>
      <c r="C349" t="inlineStr">
        <is>
          <t>Germany</t>
        </is>
      </c>
      <c r="D349" t="n">
        <v>2014</v>
      </c>
      <c r="E349" s="17">
        <f>SUMIFS(Source_Evolution!$E$3:$E$731,Source_Evolution!$A$3:$A$731,$A349)</f>
        <v/>
      </c>
      <c r="F349" s="17">
        <f>SUMIFS(Source_Evolution!$F$3:$F$731,Source_Evolution!$A$3:$A$731,$A349)</f>
        <v/>
      </c>
      <c r="G349" s="17">
        <f>SUMIFS(Source_Evolution!$G$3:$G$731,Source_Evolution!$A$3:$A$731,$A349)</f>
        <v/>
      </c>
      <c r="H349" s="17">
        <f>SUMIFS(Source_Evolution!$H$3:$H$731,Source_Evolution!$A$3:$A$731,$A349)</f>
        <v/>
      </c>
      <c r="I349" s="17">
        <f>SUMIFS(Source_Evolution!$I$3:$I$731,Source_Evolution!$A$3:$A$731,$A349)</f>
        <v/>
      </c>
      <c r="J349" s="17">
        <f>SUMIFS(Source_Evolution!$J$3:$J$731,Source_Evolution!$A$3:$A$731,$A349)</f>
        <v/>
      </c>
      <c r="K349" s="17">
        <f>SUMIFS(Source_Evolution!$K$3:$K$731,Source_Evolution!$A$3:$A$731,$A349)</f>
        <v/>
      </c>
      <c r="L349" s="17">
        <f>SUMIFS(Source_Evolution!$L$3:$L$731,Source_Evolution!$A$3:$A$731,$A349)</f>
        <v/>
      </c>
      <c r="M349" s="17">
        <f>SUMIFS(Source_Evolution!$M$3:$M$731,Source_Evolution!$A$3:$A$731,$A349)</f>
        <v/>
      </c>
      <c r="N349" s="17">
        <f>SUMIFS(Source_Evolution!$N$3:$N$731,Source_Evolution!$A$3:$A$731,$A349)</f>
        <v/>
      </c>
      <c r="O349" s="17">
        <f>SUMIFS(Source_Evolution!$O$3:$O$731,Source_Evolution!$A$3:$A$731,$A349)</f>
        <v/>
      </c>
      <c r="P349" s="17">
        <f>SUMIFS(Source_Evolution!$P$3:$P$731,Source_Evolution!$A$3:$A$731,$A349)</f>
        <v/>
      </c>
      <c r="Q349" s="17">
        <f>SUMIFS(Source_Evolution!$Q$3:$Q$731,Source_Evolution!$A$3:$A$731,$A349)</f>
        <v/>
      </c>
      <c r="R349" s="17">
        <f>SUM(E349:Q349)</f>
        <v/>
      </c>
      <c r="S349" s="17">
        <f>Q349</f>
        <v/>
      </c>
      <c r="T349">
        <f>IF(B349="Software",1,0)</f>
        <v/>
      </c>
      <c r="U349" s="18">
        <f>SUMPRODUCT((Source_Evolution!$A$3:$A$731=$A349)*(Source_Evolution!$E$3:$E$731&gt;0))</f>
        <v/>
      </c>
      <c r="V349" s="18">
        <f>SUMPRODUCT((Source_Evolution!$A$3:$A$731=$A349)*(Source_Evolution!$F$3:$F$731&gt;0))</f>
        <v/>
      </c>
      <c r="W349" s="18">
        <f>SUMPRODUCT((Source_Evolution!$A$3:$A$731=$A349)*(Source_Evolution!$G$3:$G$731&gt;0))</f>
        <v/>
      </c>
      <c r="X349" s="18">
        <f>SUMPRODUCT((Source_Evolution!$A$3:$A$731=$A349)*(Source_Evolution!$H$3:$H$731&gt;0))</f>
        <v/>
      </c>
      <c r="Y349" s="18">
        <f>SUMPRODUCT((Source_Evolution!$A$3:$A$731=$A349)*(Source_Evolution!$I$3:$I$731&gt;0))</f>
        <v/>
      </c>
      <c r="Z349" s="18">
        <f>SUMPRODUCT((Source_Evolution!$A$3:$A$731=$A349)*(Source_Evolution!$J$3:$J$731&gt;0))</f>
        <v/>
      </c>
      <c r="AA349" s="18">
        <f>SUMPRODUCT((Source_Evolution!$A$3:$A$731=$A349)*(Source_Evolution!$K$3:$K$731&gt;0))</f>
        <v/>
      </c>
      <c r="AB349" s="18">
        <f>SUMPRODUCT((Source_Evolution!$A$3:$A$731=$A349)*(Source_Evolution!$L$3:$L$731&gt;0))</f>
        <v/>
      </c>
      <c r="AC349" s="18">
        <f>SUMPRODUCT((Source_Evolution!$A$3:$A$731=$A349)*(Source_Evolution!$M$3:$M$731&gt;0))</f>
        <v/>
      </c>
      <c r="AD349" s="18">
        <f>SUMPRODUCT((Source_Evolution!$A$3:$A$731=$A349)*(Source_Evolution!$N$3:$N$731&gt;0))</f>
        <v/>
      </c>
      <c r="AE349" s="18">
        <f>SUMPRODUCT((Source_Evolution!$A$3:$A$731=$A349)*(Source_Evolution!$O$3:$O$731&gt;0))</f>
        <v/>
      </c>
      <c r="AF349" s="18">
        <f>SUMPRODUCT((Source_Evolution!$A$3:$A$731=$A349)*(Source_Evolution!$P$3:$P$731&gt;0))</f>
        <v/>
      </c>
      <c r="AG349" s="18">
        <f>SUMPRODUCT((Source_Evolution!$A$3:$A$731=$A349)*(Source_Evolution!$Q$3:$Q$731&gt;0))</f>
        <v/>
      </c>
    </row>
    <row r="350">
      <c r="A350" t="inlineStr">
        <is>
          <t>Company 77</t>
        </is>
      </c>
      <c r="B350" t="inlineStr">
        <is>
          <t>Operations</t>
        </is>
      </c>
      <c r="C350" t="inlineStr">
        <is>
          <t>UK</t>
        </is>
      </c>
      <c r="D350" t="n">
        <v>2014</v>
      </c>
      <c r="E350" s="17">
        <f>SUMIFS(Source_Evolution!$E$3:$E$731,Source_Evolution!$A$3:$A$731,$A350)</f>
        <v/>
      </c>
      <c r="F350" s="17">
        <f>SUMIFS(Source_Evolution!$F$3:$F$731,Source_Evolution!$A$3:$A$731,$A350)</f>
        <v/>
      </c>
      <c r="G350" s="17">
        <f>SUMIFS(Source_Evolution!$G$3:$G$731,Source_Evolution!$A$3:$A$731,$A350)</f>
        <v/>
      </c>
      <c r="H350" s="17">
        <f>SUMIFS(Source_Evolution!$H$3:$H$731,Source_Evolution!$A$3:$A$731,$A350)</f>
        <v/>
      </c>
      <c r="I350" s="17">
        <f>SUMIFS(Source_Evolution!$I$3:$I$731,Source_Evolution!$A$3:$A$731,$A350)</f>
        <v/>
      </c>
      <c r="J350" s="17">
        <f>SUMIFS(Source_Evolution!$J$3:$J$731,Source_Evolution!$A$3:$A$731,$A350)</f>
        <v/>
      </c>
      <c r="K350" s="17">
        <f>SUMIFS(Source_Evolution!$K$3:$K$731,Source_Evolution!$A$3:$A$731,$A350)</f>
        <v/>
      </c>
      <c r="L350" s="17">
        <f>SUMIFS(Source_Evolution!$L$3:$L$731,Source_Evolution!$A$3:$A$731,$A350)</f>
        <v/>
      </c>
      <c r="M350" s="17">
        <f>SUMIFS(Source_Evolution!$M$3:$M$731,Source_Evolution!$A$3:$A$731,$A350)</f>
        <v/>
      </c>
      <c r="N350" s="17">
        <f>SUMIFS(Source_Evolution!$N$3:$N$731,Source_Evolution!$A$3:$A$731,$A350)</f>
        <v/>
      </c>
      <c r="O350" s="17">
        <f>SUMIFS(Source_Evolution!$O$3:$O$731,Source_Evolution!$A$3:$A$731,$A350)</f>
        <v/>
      </c>
      <c r="P350" s="17">
        <f>SUMIFS(Source_Evolution!$P$3:$P$731,Source_Evolution!$A$3:$A$731,$A350)</f>
        <v/>
      </c>
      <c r="Q350" s="17">
        <f>SUMIFS(Source_Evolution!$Q$3:$Q$731,Source_Evolution!$A$3:$A$731,$A350)</f>
        <v/>
      </c>
      <c r="R350" s="17">
        <f>SUM(E350:Q350)</f>
        <v/>
      </c>
      <c r="S350" s="17">
        <f>Q350</f>
        <v/>
      </c>
      <c r="T350">
        <f>IF(B350="Software",1,0)</f>
        <v/>
      </c>
      <c r="U350" s="18">
        <f>SUMPRODUCT((Source_Evolution!$A$3:$A$731=$A350)*(Source_Evolution!$E$3:$E$731&gt;0))</f>
        <v/>
      </c>
      <c r="V350" s="18">
        <f>SUMPRODUCT((Source_Evolution!$A$3:$A$731=$A350)*(Source_Evolution!$F$3:$F$731&gt;0))</f>
        <v/>
      </c>
      <c r="W350" s="18">
        <f>SUMPRODUCT((Source_Evolution!$A$3:$A$731=$A350)*(Source_Evolution!$G$3:$G$731&gt;0))</f>
        <v/>
      </c>
      <c r="X350" s="18">
        <f>SUMPRODUCT((Source_Evolution!$A$3:$A$731=$A350)*(Source_Evolution!$H$3:$H$731&gt;0))</f>
        <v/>
      </c>
      <c r="Y350" s="18">
        <f>SUMPRODUCT((Source_Evolution!$A$3:$A$731=$A350)*(Source_Evolution!$I$3:$I$731&gt;0))</f>
        <v/>
      </c>
      <c r="Z350" s="18">
        <f>SUMPRODUCT((Source_Evolution!$A$3:$A$731=$A350)*(Source_Evolution!$J$3:$J$731&gt;0))</f>
        <v/>
      </c>
      <c r="AA350" s="18">
        <f>SUMPRODUCT((Source_Evolution!$A$3:$A$731=$A350)*(Source_Evolution!$K$3:$K$731&gt;0))</f>
        <v/>
      </c>
      <c r="AB350" s="18">
        <f>SUMPRODUCT((Source_Evolution!$A$3:$A$731=$A350)*(Source_Evolution!$L$3:$L$731&gt;0))</f>
        <v/>
      </c>
      <c r="AC350" s="18">
        <f>SUMPRODUCT((Source_Evolution!$A$3:$A$731=$A350)*(Source_Evolution!$M$3:$M$731&gt;0))</f>
        <v/>
      </c>
      <c r="AD350" s="18">
        <f>SUMPRODUCT((Source_Evolution!$A$3:$A$731=$A350)*(Source_Evolution!$N$3:$N$731&gt;0))</f>
        <v/>
      </c>
      <c r="AE350" s="18">
        <f>SUMPRODUCT((Source_Evolution!$A$3:$A$731=$A350)*(Source_Evolution!$O$3:$O$731&gt;0))</f>
        <v/>
      </c>
      <c r="AF350" s="18">
        <f>SUMPRODUCT((Source_Evolution!$A$3:$A$731=$A350)*(Source_Evolution!$P$3:$P$731&gt;0))</f>
        <v/>
      </c>
      <c r="AG350" s="18">
        <f>SUMPRODUCT((Source_Evolution!$A$3:$A$731=$A350)*(Source_Evolution!$Q$3:$Q$731&gt;0))</f>
        <v/>
      </c>
    </row>
    <row r="351">
      <c r="A351" t="inlineStr">
        <is>
          <t>Company 78</t>
        </is>
      </c>
      <c r="B351" t="inlineStr">
        <is>
          <t>Operations</t>
        </is>
      </c>
      <c r="C351" t="inlineStr">
        <is>
          <t>UK</t>
        </is>
      </c>
      <c r="D351" t="n">
        <v>2014</v>
      </c>
      <c r="E351" s="17">
        <f>SUMIFS(Source_Evolution!$E$3:$E$731,Source_Evolution!$A$3:$A$731,$A351)</f>
        <v/>
      </c>
      <c r="F351" s="17">
        <f>SUMIFS(Source_Evolution!$F$3:$F$731,Source_Evolution!$A$3:$A$731,$A351)</f>
        <v/>
      </c>
      <c r="G351" s="17">
        <f>SUMIFS(Source_Evolution!$G$3:$G$731,Source_Evolution!$A$3:$A$731,$A351)</f>
        <v/>
      </c>
      <c r="H351" s="17">
        <f>SUMIFS(Source_Evolution!$H$3:$H$731,Source_Evolution!$A$3:$A$731,$A351)</f>
        <v/>
      </c>
      <c r="I351" s="17">
        <f>SUMIFS(Source_Evolution!$I$3:$I$731,Source_Evolution!$A$3:$A$731,$A351)</f>
        <v/>
      </c>
      <c r="J351" s="17">
        <f>SUMIFS(Source_Evolution!$J$3:$J$731,Source_Evolution!$A$3:$A$731,$A351)</f>
        <v/>
      </c>
      <c r="K351" s="17">
        <f>SUMIFS(Source_Evolution!$K$3:$K$731,Source_Evolution!$A$3:$A$731,$A351)</f>
        <v/>
      </c>
      <c r="L351" s="17">
        <f>SUMIFS(Source_Evolution!$L$3:$L$731,Source_Evolution!$A$3:$A$731,$A351)</f>
        <v/>
      </c>
      <c r="M351" s="17">
        <f>SUMIFS(Source_Evolution!$M$3:$M$731,Source_Evolution!$A$3:$A$731,$A351)</f>
        <v/>
      </c>
      <c r="N351" s="17">
        <f>SUMIFS(Source_Evolution!$N$3:$N$731,Source_Evolution!$A$3:$A$731,$A351)</f>
        <v/>
      </c>
      <c r="O351" s="17">
        <f>SUMIFS(Source_Evolution!$O$3:$O$731,Source_Evolution!$A$3:$A$731,$A351)</f>
        <v/>
      </c>
      <c r="P351" s="17">
        <f>SUMIFS(Source_Evolution!$P$3:$P$731,Source_Evolution!$A$3:$A$731,$A351)</f>
        <v/>
      </c>
      <c r="Q351" s="17">
        <f>SUMIFS(Source_Evolution!$Q$3:$Q$731,Source_Evolution!$A$3:$A$731,$A351)</f>
        <v/>
      </c>
      <c r="R351" s="17">
        <f>SUM(E351:Q351)</f>
        <v/>
      </c>
      <c r="S351" s="17">
        <f>Q351</f>
        <v/>
      </c>
      <c r="T351">
        <f>IF(B351="Software",1,0)</f>
        <v/>
      </c>
      <c r="U351" s="18">
        <f>SUMPRODUCT((Source_Evolution!$A$3:$A$731=$A351)*(Source_Evolution!$E$3:$E$731&gt;0))</f>
        <v/>
      </c>
      <c r="V351" s="18">
        <f>SUMPRODUCT((Source_Evolution!$A$3:$A$731=$A351)*(Source_Evolution!$F$3:$F$731&gt;0))</f>
        <v/>
      </c>
      <c r="W351" s="18">
        <f>SUMPRODUCT((Source_Evolution!$A$3:$A$731=$A351)*(Source_Evolution!$G$3:$G$731&gt;0))</f>
        <v/>
      </c>
      <c r="X351" s="18">
        <f>SUMPRODUCT((Source_Evolution!$A$3:$A$731=$A351)*(Source_Evolution!$H$3:$H$731&gt;0))</f>
        <v/>
      </c>
      <c r="Y351" s="18">
        <f>SUMPRODUCT((Source_Evolution!$A$3:$A$731=$A351)*(Source_Evolution!$I$3:$I$731&gt;0))</f>
        <v/>
      </c>
      <c r="Z351" s="18">
        <f>SUMPRODUCT((Source_Evolution!$A$3:$A$731=$A351)*(Source_Evolution!$J$3:$J$731&gt;0))</f>
        <v/>
      </c>
      <c r="AA351" s="18">
        <f>SUMPRODUCT((Source_Evolution!$A$3:$A$731=$A351)*(Source_Evolution!$K$3:$K$731&gt;0))</f>
        <v/>
      </c>
      <c r="AB351" s="18">
        <f>SUMPRODUCT((Source_Evolution!$A$3:$A$731=$A351)*(Source_Evolution!$L$3:$L$731&gt;0))</f>
        <v/>
      </c>
      <c r="AC351" s="18">
        <f>SUMPRODUCT((Source_Evolution!$A$3:$A$731=$A351)*(Source_Evolution!$M$3:$M$731&gt;0))</f>
        <v/>
      </c>
      <c r="AD351" s="18">
        <f>SUMPRODUCT((Source_Evolution!$A$3:$A$731=$A351)*(Source_Evolution!$N$3:$N$731&gt;0))</f>
        <v/>
      </c>
      <c r="AE351" s="18">
        <f>SUMPRODUCT((Source_Evolution!$A$3:$A$731=$A351)*(Source_Evolution!$O$3:$O$731&gt;0))</f>
        <v/>
      </c>
      <c r="AF351" s="18">
        <f>SUMPRODUCT((Source_Evolution!$A$3:$A$731=$A351)*(Source_Evolution!$P$3:$P$731&gt;0))</f>
        <v/>
      </c>
      <c r="AG351" s="18">
        <f>SUMPRODUCT((Source_Evolution!$A$3:$A$731=$A351)*(Source_Evolution!$Q$3:$Q$731&gt;0))</f>
        <v/>
      </c>
    </row>
    <row r="352">
      <c r="A352" t="inlineStr">
        <is>
          <t>Company 79</t>
        </is>
      </c>
      <c r="B352" t="inlineStr">
        <is>
          <t>Operations</t>
        </is>
      </c>
      <c r="C352" t="inlineStr">
        <is>
          <t>Switzerland</t>
        </is>
      </c>
      <c r="D352" t="n">
        <v>2016</v>
      </c>
      <c r="E352" s="17">
        <f>SUMIFS(Source_Evolution!$E$3:$E$731,Source_Evolution!$A$3:$A$731,$A352)</f>
        <v/>
      </c>
      <c r="F352" s="17">
        <f>SUMIFS(Source_Evolution!$F$3:$F$731,Source_Evolution!$A$3:$A$731,$A352)</f>
        <v/>
      </c>
      <c r="G352" s="17">
        <f>SUMIFS(Source_Evolution!$G$3:$G$731,Source_Evolution!$A$3:$A$731,$A352)</f>
        <v/>
      </c>
      <c r="H352" s="17">
        <f>SUMIFS(Source_Evolution!$H$3:$H$731,Source_Evolution!$A$3:$A$731,$A352)</f>
        <v/>
      </c>
      <c r="I352" s="17">
        <f>SUMIFS(Source_Evolution!$I$3:$I$731,Source_Evolution!$A$3:$A$731,$A352)</f>
        <v/>
      </c>
      <c r="J352" s="17">
        <f>SUMIFS(Source_Evolution!$J$3:$J$731,Source_Evolution!$A$3:$A$731,$A352)</f>
        <v/>
      </c>
      <c r="K352" s="17">
        <f>SUMIFS(Source_Evolution!$K$3:$K$731,Source_Evolution!$A$3:$A$731,$A352)</f>
        <v/>
      </c>
      <c r="L352" s="17">
        <f>SUMIFS(Source_Evolution!$L$3:$L$731,Source_Evolution!$A$3:$A$731,$A352)</f>
        <v/>
      </c>
      <c r="M352" s="17">
        <f>SUMIFS(Source_Evolution!$M$3:$M$731,Source_Evolution!$A$3:$A$731,$A352)</f>
        <v/>
      </c>
      <c r="N352" s="17">
        <f>SUMIFS(Source_Evolution!$N$3:$N$731,Source_Evolution!$A$3:$A$731,$A352)</f>
        <v/>
      </c>
      <c r="O352" s="17">
        <f>SUMIFS(Source_Evolution!$O$3:$O$731,Source_Evolution!$A$3:$A$731,$A352)</f>
        <v/>
      </c>
      <c r="P352" s="17">
        <f>SUMIFS(Source_Evolution!$P$3:$P$731,Source_Evolution!$A$3:$A$731,$A352)</f>
        <v/>
      </c>
      <c r="Q352" s="17">
        <f>SUMIFS(Source_Evolution!$Q$3:$Q$731,Source_Evolution!$A$3:$A$731,$A352)</f>
        <v/>
      </c>
      <c r="R352" s="17">
        <f>SUM(E352:Q352)</f>
        <v/>
      </c>
      <c r="S352" s="17">
        <f>Q352</f>
        <v/>
      </c>
      <c r="T352">
        <f>IF(B352="Software",1,0)</f>
        <v/>
      </c>
      <c r="U352" s="18">
        <f>SUMPRODUCT((Source_Evolution!$A$3:$A$731=$A352)*(Source_Evolution!$E$3:$E$731&gt;0))</f>
        <v/>
      </c>
      <c r="V352" s="18">
        <f>SUMPRODUCT((Source_Evolution!$A$3:$A$731=$A352)*(Source_Evolution!$F$3:$F$731&gt;0))</f>
        <v/>
      </c>
      <c r="W352" s="18">
        <f>SUMPRODUCT((Source_Evolution!$A$3:$A$731=$A352)*(Source_Evolution!$G$3:$G$731&gt;0))</f>
        <v/>
      </c>
      <c r="X352" s="18">
        <f>SUMPRODUCT((Source_Evolution!$A$3:$A$731=$A352)*(Source_Evolution!$H$3:$H$731&gt;0))</f>
        <v/>
      </c>
      <c r="Y352" s="18">
        <f>SUMPRODUCT((Source_Evolution!$A$3:$A$731=$A352)*(Source_Evolution!$I$3:$I$731&gt;0))</f>
        <v/>
      </c>
      <c r="Z352" s="18">
        <f>SUMPRODUCT((Source_Evolution!$A$3:$A$731=$A352)*(Source_Evolution!$J$3:$J$731&gt;0))</f>
        <v/>
      </c>
      <c r="AA352" s="18">
        <f>SUMPRODUCT((Source_Evolution!$A$3:$A$731=$A352)*(Source_Evolution!$K$3:$K$731&gt;0))</f>
        <v/>
      </c>
      <c r="AB352" s="18">
        <f>SUMPRODUCT((Source_Evolution!$A$3:$A$731=$A352)*(Source_Evolution!$L$3:$L$731&gt;0))</f>
        <v/>
      </c>
      <c r="AC352" s="18">
        <f>SUMPRODUCT((Source_Evolution!$A$3:$A$731=$A352)*(Source_Evolution!$M$3:$M$731&gt;0))</f>
        <v/>
      </c>
      <c r="AD352" s="18">
        <f>SUMPRODUCT((Source_Evolution!$A$3:$A$731=$A352)*(Source_Evolution!$N$3:$N$731&gt;0))</f>
        <v/>
      </c>
      <c r="AE352" s="18">
        <f>SUMPRODUCT((Source_Evolution!$A$3:$A$731=$A352)*(Source_Evolution!$O$3:$O$731&gt;0))</f>
        <v/>
      </c>
      <c r="AF352" s="18">
        <f>SUMPRODUCT((Source_Evolution!$A$3:$A$731=$A352)*(Source_Evolution!$P$3:$P$731&gt;0))</f>
        <v/>
      </c>
      <c r="AG352" s="18">
        <f>SUMPRODUCT((Source_Evolution!$A$3:$A$731=$A352)*(Source_Evolution!$Q$3:$Q$731&gt;0))</f>
        <v/>
      </c>
    </row>
    <row r="353">
      <c r="A353" t="inlineStr">
        <is>
          <t>Company 8</t>
        </is>
      </c>
      <c r="B353" t="inlineStr">
        <is>
          <t>Operations</t>
        </is>
      </c>
      <c r="C353" t="inlineStr">
        <is>
          <t>UK</t>
        </is>
      </c>
      <c r="D353" t="n">
        <v>2014</v>
      </c>
      <c r="E353" s="17">
        <f>SUMIFS(Source_Evolution!$E$3:$E$731,Source_Evolution!$A$3:$A$731,$A353)</f>
        <v/>
      </c>
      <c r="F353" s="17">
        <f>SUMIFS(Source_Evolution!$F$3:$F$731,Source_Evolution!$A$3:$A$731,$A353)</f>
        <v/>
      </c>
      <c r="G353" s="17">
        <f>SUMIFS(Source_Evolution!$G$3:$G$731,Source_Evolution!$A$3:$A$731,$A353)</f>
        <v/>
      </c>
      <c r="H353" s="17">
        <f>SUMIFS(Source_Evolution!$H$3:$H$731,Source_Evolution!$A$3:$A$731,$A353)</f>
        <v/>
      </c>
      <c r="I353" s="17">
        <f>SUMIFS(Source_Evolution!$I$3:$I$731,Source_Evolution!$A$3:$A$731,$A353)</f>
        <v/>
      </c>
      <c r="J353" s="17">
        <f>SUMIFS(Source_Evolution!$J$3:$J$731,Source_Evolution!$A$3:$A$731,$A353)</f>
        <v/>
      </c>
      <c r="K353" s="17">
        <f>SUMIFS(Source_Evolution!$K$3:$K$731,Source_Evolution!$A$3:$A$731,$A353)</f>
        <v/>
      </c>
      <c r="L353" s="17">
        <f>SUMIFS(Source_Evolution!$L$3:$L$731,Source_Evolution!$A$3:$A$731,$A353)</f>
        <v/>
      </c>
      <c r="M353" s="17">
        <f>SUMIFS(Source_Evolution!$M$3:$M$731,Source_Evolution!$A$3:$A$731,$A353)</f>
        <v/>
      </c>
      <c r="N353" s="17">
        <f>SUMIFS(Source_Evolution!$N$3:$N$731,Source_Evolution!$A$3:$A$731,$A353)</f>
        <v/>
      </c>
      <c r="O353" s="17">
        <f>SUMIFS(Source_Evolution!$O$3:$O$731,Source_Evolution!$A$3:$A$731,$A353)</f>
        <v/>
      </c>
      <c r="P353" s="17">
        <f>SUMIFS(Source_Evolution!$P$3:$P$731,Source_Evolution!$A$3:$A$731,$A353)</f>
        <v/>
      </c>
      <c r="Q353" s="17">
        <f>SUMIFS(Source_Evolution!$Q$3:$Q$731,Source_Evolution!$A$3:$A$731,$A353)</f>
        <v/>
      </c>
      <c r="R353" s="17">
        <f>SUM(E353:Q353)</f>
        <v/>
      </c>
      <c r="S353" s="17">
        <f>Q353</f>
        <v/>
      </c>
      <c r="T353">
        <f>IF(B353="Software",1,0)</f>
        <v/>
      </c>
      <c r="U353" s="18">
        <f>SUMPRODUCT((Source_Evolution!$A$3:$A$731=$A353)*(Source_Evolution!$E$3:$E$731&gt;0))</f>
        <v/>
      </c>
      <c r="V353" s="18">
        <f>SUMPRODUCT((Source_Evolution!$A$3:$A$731=$A353)*(Source_Evolution!$F$3:$F$731&gt;0))</f>
        <v/>
      </c>
      <c r="W353" s="18">
        <f>SUMPRODUCT((Source_Evolution!$A$3:$A$731=$A353)*(Source_Evolution!$G$3:$G$731&gt;0))</f>
        <v/>
      </c>
      <c r="X353" s="18">
        <f>SUMPRODUCT((Source_Evolution!$A$3:$A$731=$A353)*(Source_Evolution!$H$3:$H$731&gt;0))</f>
        <v/>
      </c>
      <c r="Y353" s="18">
        <f>SUMPRODUCT((Source_Evolution!$A$3:$A$731=$A353)*(Source_Evolution!$I$3:$I$731&gt;0))</f>
        <v/>
      </c>
      <c r="Z353" s="18">
        <f>SUMPRODUCT((Source_Evolution!$A$3:$A$731=$A353)*(Source_Evolution!$J$3:$J$731&gt;0))</f>
        <v/>
      </c>
      <c r="AA353" s="18">
        <f>SUMPRODUCT((Source_Evolution!$A$3:$A$731=$A353)*(Source_Evolution!$K$3:$K$731&gt;0))</f>
        <v/>
      </c>
      <c r="AB353" s="18">
        <f>SUMPRODUCT((Source_Evolution!$A$3:$A$731=$A353)*(Source_Evolution!$L$3:$L$731&gt;0))</f>
        <v/>
      </c>
      <c r="AC353" s="18">
        <f>SUMPRODUCT((Source_Evolution!$A$3:$A$731=$A353)*(Source_Evolution!$M$3:$M$731&gt;0))</f>
        <v/>
      </c>
      <c r="AD353" s="18">
        <f>SUMPRODUCT((Source_Evolution!$A$3:$A$731=$A353)*(Source_Evolution!$N$3:$N$731&gt;0))</f>
        <v/>
      </c>
      <c r="AE353" s="18">
        <f>SUMPRODUCT((Source_Evolution!$A$3:$A$731=$A353)*(Source_Evolution!$O$3:$O$731&gt;0))</f>
        <v/>
      </c>
      <c r="AF353" s="18">
        <f>SUMPRODUCT((Source_Evolution!$A$3:$A$731=$A353)*(Source_Evolution!$P$3:$P$731&gt;0))</f>
        <v/>
      </c>
      <c r="AG353" s="18">
        <f>SUMPRODUCT((Source_Evolution!$A$3:$A$731=$A353)*(Source_Evolution!$Q$3:$Q$731&gt;0))</f>
        <v/>
      </c>
    </row>
    <row r="354">
      <c r="A354" t="inlineStr">
        <is>
          <t>Company 80</t>
        </is>
      </c>
      <c r="B354" t="inlineStr">
        <is>
          <t>Operations</t>
        </is>
      </c>
      <c r="C354" t="inlineStr">
        <is>
          <t>Switzerland</t>
        </is>
      </c>
      <c r="D354" t="n">
        <v>2014</v>
      </c>
      <c r="E354" s="17">
        <f>SUMIFS(Source_Evolution!$E$3:$E$731,Source_Evolution!$A$3:$A$731,$A354)</f>
        <v/>
      </c>
      <c r="F354" s="17">
        <f>SUMIFS(Source_Evolution!$F$3:$F$731,Source_Evolution!$A$3:$A$731,$A354)</f>
        <v/>
      </c>
      <c r="G354" s="17">
        <f>SUMIFS(Source_Evolution!$G$3:$G$731,Source_Evolution!$A$3:$A$731,$A354)</f>
        <v/>
      </c>
      <c r="H354" s="17">
        <f>SUMIFS(Source_Evolution!$H$3:$H$731,Source_Evolution!$A$3:$A$731,$A354)</f>
        <v/>
      </c>
      <c r="I354" s="17">
        <f>SUMIFS(Source_Evolution!$I$3:$I$731,Source_Evolution!$A$3:$A$731,$A354)</f>
        <v/>
      </c>
      <c r="J354" s="17">
        <f>SUMIFS(Source_Evolution!$J$3:$J$731,Source_Evolution!$A$3:$A$731,$A354)</f>
        <v/>
      </c>
      <c r="K354" s="17">
        <f>SUMIFS(Source_Evolution!$K$3:$K$731,Source_Evolution!$A$3:$A$731,$A354)</f>
        <v/>
      </c>
      <c r="L354" s="17">
        <f>SUMIFS(Source_Evolution!$L$3:$L$731,Source_Evolution!$A$3:$A$731,$A354)</f>
        <v/>
      </c>
      <c r="M354" s="17">
        <f>SUMIFS(Source_Evolution!$M$3:$M$731,Source_Evolution!$A$3:$A$731,$A354)</f>
        <v/>
      </c>
      <c r="N354" s="17">
        <f>SUMIFS(Source_Evolution!$N$3:$N$731,Source_Evolution!$A$3:$A$731,$A354)</f>
        <v/>
      </c>
      <c r="O354" s="17">
        <f>SUMIFS(Source_Evolution!$O$3:$O$731,Source_Evolution!$A$3:$A$731,$A354)</f>
        <v/>
      </c>
      <c r="P354" s="17">
        <f>SUMIFS(Source_Evolution!$P$3:$P$731,Source_Evolution!$A$3:$A$731,$A354)</f>
        <v/>
      </c>
      <c r="Q354" s="17">
        <f>SUMIFS(Source_Evolution!$Q$3:$Q$731,Source_Evolution!$A$3:$A$731,$A354)</f>
        <v/>
      </c>
      <c r="R354" s="17">
        <f>SUM(E354:Q354)</f>
        <v/>
      </c>
      <c r="S354" s="17">
        <f>Q354</f>
        <v/>
      </c>
      <c r="T354">
        <f>IF(B354="Software",1,0)</f>
        <v/>
      </c>
      <c r="U354" s="18">
        <f>SUMPRODUCT((Source_Evolution!$A$3:$A$731=$A354)*(Source_Evolution!$E$3:$E$731&gt;0))</f>
        <v/>
      </c>
      <c r="V354" s="18">
        <f>SUMPRODUCT((Source_Evolution!$A$3:$A$731=$A354)*(Source_Evolution!$F$3:$F$731&gt;0))</f>
        <v/>
      </c>
      <c r="W354" s="18">
        <f>SUMPRODUCT((Source_Evolution!$A$3:$A$731=$A354)*(Source_Evolution!$G$3:$G$731&gt;0))</f>
        <v/>
      </c>
      <c r="X354" s="18">
        <f>SUMPRODUCT((Source_Evolution!$A$3:$A$731=$A354)*(Source_Evolution!$H$3:$H$731&gt;0))</f>
        <v/>
      </c>
      <c r="Y354" s="18">
        <f>SUMPRODUCT((Source_Evolution!$A$3:$A$731=$A354)*(Source_Evolution!$I$3:$I$731&gt;0))</f>
        <v/>
      </c>
      <c r="Z354" s="18">
        <f>SUMPRODUCT((Source_Evolution!$A$3:$A$731=$A354)*(Source_Evolution!$J$3:$J$731&gt;0))</f>
        <v/>
      </c>
      <c r="AA354" s="18">
        <f>SUMPRODUCT((Source_Evolution!$A$3:$A$731=$A354)*(Source_Evolution!$K$3:$K$731&gt;0))</f>
        <v/>
      </c>
      <c r="AB354" s="18">
        <f>SUMPRODUCT((Source_Evolution!$A$3:$A$731=$A354)*(Source_Evolution!$L$3:$L$731&gt;0))</f>
        <v/>
      </c>
      <c r="AC354" s="18">
        <f>SUMPRODUCT((Source_Evolution!$A$3:$A$731=$A354)*(Source_Evolution!$M$3:$M$731&gt;0))</f>
        <v/>
      </c>
      <c r="AD354" s="18">
        <f>SUMPRODUCT((Source_Evolution!$A$3:$A$731=$A354)*(Source_Evolution!$N$3:$N$731&gt;0))</f>
        <v/>
      </c>
      <c r="AE354" s="18">
        <f>SUMPRODUCT((Source_Evolution!$A$3:$A$731=$A354)*(Source_Evolution!$O$3:$O$731&gt;0))</f>
        <v/>
      </c>
      <c r="AF354" s="18">
        <f>SUMPRODUCT((Source_Evolution!$A$3:$A$731=$A354)*(Source_Evolution!$P$3:$P$731&gt;0))</f>
        <v/>
      </c>
      <c r="AG354" s="18">
        <f>SUMPRODUCT((Source_Evolution!$A$3:$A$731=$A354)*(Source_Evolution!$Q$3:$Q$731&gt;0))</f>
        <v/>
      </c>
    </row>
    <row r="355">
      <c r="A355" t="inlineStr">
        <is>
          <t>Company 81</t>
        </is>
      </c>
      <c r="B355" t="inlineStr">
        <is>
          <t>Software</t>
        </is>
      </c>
      <c r="C355" t="inlineStr">
        <is>
          <t>Netherlands</t>
        </is>
      </c>
      <c r="D355" t="n">
        <v>2014</v>
      </c>
      <c r="E355" s="17">
        <f>SUMIFS(Source_Evolution!$E$3:$E$731,Source_Evolution!$A$3:$A$731,$A355)</f>
        <v/>
      </c>
      <c r="F355" s="17">
        <f>SUMIFS(Source_Evolution!$F$3:$F$731,Source_Evolution!$A$3:$A$731,$A355)</f>
        <v/>
      </c>
      <c r="G355" s="17">
        <f>SUMIFS(Source_Evolution!$G$3:$G$731,Source_Evolution!$A$3:$A$731,$A355)</f>
        <v/>
      </c>
      <c r="H355" s="17">
        <f>SUMIFS(Source_Evolution!$H$3:$H$731,Source_Evolution!$A$3:$A$731,$A355)</f>
        <v/>
      </c>
      <c r="I355" s="17">
        <f>SUMIFS(Source_Evolution!$I$3:$I$731,Source_Evolution!$A$3:$A$731,$A355)</f>
        <v/>
      </c>
      <c r="J355" s="17">
        <f>SUMIFS(Source_Evolution!$J$3:$J$731,Source_Evolution!$A$3:$A$731,$A355)</f>
        <v/>
      </c>
      <c r="K355" s="17">
        <f>SUMIFS(Source_Evolution!$K$3:$K$731,Source_Evolution!$A$3:$A$731,$A355)</f>
        <v/>
      </c>
      <c r="L355" s="17">
        <f>SUMIFS(Source_Evolution!$L$3:$L$731,Source_Evolution!$A$3:$A$731,$A355)</f>
        <v/>
      </c>
      <c r="M355" s="17">
        <f>SUMIFS(Source_Evolution!$M$3:$M$731,Source_Evolution!$A$3:$A$731,$A355)</f>
        <v/>
      </c>
      <c r="N355" s="17">
        <f>SUMIFS(Source_Evolution!$N$3:$N$731,Source_Evolution!$A$3:$A$731,$A355)</f>
        <v/>
      </c>
      <c r="O355" s="17">
        <f>SUMIFS(Source_Evolution!$O$3:$O$731,Source_Evolution!$A$3:$A$731,$A355)</f>
        <v/>
      </c>
      <c r="P355" s="17">
        <f>SUMIFS(Source_Evolution!$P$3:$P$731,Source_Evolution!$A$3:$A$731,$A355)</f>
        <v/>
      </c>
      <c r="Q355" s="17">
        <f>SUMIFS(Source_Evolution!$Q$3:$Q$731,Source_Evolution!$A$3:$A$731,$A355)</f>
        <v/>
      </c>
      <c r="R355" s="17">
        <f>SUM(E355:Q355)</f>
        <v/>
      </c>
      <c r="S355" s="17">
        <f>Q355</f>
        <v/>
      </c>
      <c r="T355">
        <f>IF(B355="Software",1,0)</f>
        <v/>
      </c>
      <c r="U355" s="18">
        <f>SUMPRODUCT((Source_Evolution!$A$3:$A$731=$A355)*(Source_Evolution!$E$3:$E$731&gt;0))</f>
        <v/>
      </c>
      <c r="V355" s="18">
        <f>SUMPRODUCT((Source_Evolution!$A$3:$A$731=$A355)*(Source_Evolution!$F$3:$F$731&gt;0))</f>
        <v/>
      </c>
      <c r="W355" s="18">
        <f>SUMPRODUCT((Source_Evolution!$A$3:$A$731=$A355)*(Source_Evolution!$G$3:$G$731&gt;0))</f>
        <v/>
      </c>
      <c r="X355" s="18">
        <f>SUMPRODUCT((Source_Evolution!$A$3:$A$731=$A355)*(Source_Evolution!$H$3:$H$731&gt;0))</f>
        <v/>
      </c>
      <c r="Y355" s="18">
        <f>SUMPRODUCT((Source_Evolution!$A$3:$A$731=$A355)*(Source_Evolution!$I$3:$I$731&gt;0))</f>
        <v/>
      </c>
      <c r="Z355" s="18">
        <f>SUMPRODUCT((Source_Evolution!$A$3:$A$731=$A355)*(Source_Evolution!$J$3:$J$731&gt;0))</f>
        <v/>
      </c>
      <c r="AA355" s="18">
        <f>SUMPRODUCT((Source_Evolution!$A$3:$A$731=$A355)*(Source_Evolution!$K$3:$K$731&gt;0))</f>
        <v/>
      </c>
      <c r="AB355" s="18">
        <f>SUMPRODUCT((Source_Evolution!$A$3:$A$731=$A355)*(Source_Evolution!$L$3:$L$731&gt;0))</f>
        <v/>
      </c>
      <c r="AC355" s="18">
        <f>SUMPRODUCT((Source_Evolution!$A$3:$A$731=$A355)*(Source_Evolution!$M$3:$M$731&gt;0))</f>
        <v/>
      </c>
      <c r="AD355" s="18">
        <f>SUMPRODUCT((Source_Evolution!$A$3:$A$731=$A355)*(Source_Evolution!$N$3:$N$731&gt;0))</f>
        <v/>
      </c>
      <c r="AE355" s="18">
        <f>SUMPRODUCT((Source_Evolution!$A$3:$A$731=$A355)*(Source_Evolution!$O$3:$O$731&gt;0))</f>
        <v/>
      </c>
      <c r="AF355" s="18">
        <f>SUMPRODUCT((Source_Evolution!$A$3:$A$731=$A355)*(Source_Evolution!$P$3:$P$731&gt;0))</f>
        <v/>
      </c>
      <c r="AG355" s="18">
        <f>SUMPRODUCT((Source_Evolution!$A$3:$A$731=$A355)*(Source_Evolution!$Q$3:$Q$731&gt;0))</f>
        <v/>
      </c>
    </row>
    <row r="356">
      <c r="A356" t="inlineStr">
        <is>
          <t>Company 82</t>
        </is>
      </c>
      <c r="B356" t="inlineStr">
        <is>
          <t>Operations</t>
        </is>
      </c>
      <c r="C356" t="inlineStr">
        <is>
          <t>Switzerland</t>
        </is>
      </c>
      <c r="D356" t="n">
        <v>2014</v>
      </c>
      <c r="E356" s="17">
        <f>SUMIFS(Source_Evolution!$E$3:$E$731,Source_Evolution!$A$3:$A$731,$A356)</f>
        <v/>
      </c>
      <c r="F356" s="17">
        <f>SUMIFS(Source_Evolution!$F$3:$F$731,Source_Evolution!$A$3:$A$731,$A356)</f>
        <v/>
      </c>
      <c r="G356" s="17">
        <f>SUMIFS(Source_Evolution!$G$3:$G$731,Source_Evolution!$A$3:$A$731,$A356)</f>
        <v/>
      </c>
      <c r="H356" s="17">
        <f>SUMIFS(Source_Evolution!$H$3:$H$731,Source_Evolution!$A$3:$A$731,$A356)</f>
        <v/>
      </c>
      <c r="I356" s="17">
        <f>SUMIFS(Source_Evolution!$I$3:$I$731,Source_Evolution!$A$3:$A$731,$A356)</f>
        <v/>
      </c>
      <c r="J356" s="17">
        <f>SUMIFS(Source_Evolution!$J$3:$J$731,Source_Evolution!$A$3:$A$731,$A356)</f>
        <v/>
      </c>
      <c r="K356" s="17">
        <f>SUMIFS(Source_Evolution!$K$3:$K$731,Source_Evolution!$A$3:$A$731,$A356)</f>
        <v/>
      </c>
      <c r="L356" s="17">
        <f>SUMIFS(Source_Evolution!$L$3:$L$731,Source_Evolution!$A$3:$A$731,$A356)</f>
        <v/>
      </c>
      <c r="M356" s="17">
        <f>SUMIFS(Source_Evolution!$M$3:$M$731,Source_Evolution!$A$3:$A$731,$A356)</f>
        <v/>
      </c>
      <c r="N356" s="17">
        <f>SUMIFS(Source_Evolution!$N$3:$N$731,Source_Evolution!$A$3:$A$731,$A356)</f>
        <v/>
      </c>
      <c r="O356" s="17">
        <f>SUMIFS(Source_Evolution!$O$3:$O$731,Source_Evolution!$A$3:$A$731,$A356)</f>
        <v/>
      </c>
      <c r="P356" s="17">
        <f>SUMIFS(Source_Evolution!$P$3:$P$731,Source_Evolution!$A$3:$A$731,$A356)</f>
        <v/>
      </c>
      <c r="Q356" s="17">
        <f>SUMIFS(Source_Evolution!$Q$3:$Q$731,Source_Evolution!$A$3:$A$731,$A356)</f>
        <v/>
      </c>
      <c r="R356" s="17">
        <f>SUM(E356:Q356)</f>
        <v/>
      </c>
      <c r="S356" s="17">
        <f>Q356</f>
        <v/>
      </c>
      <c r="T356">
        <f>IF(B356="Software",1,0)</f>
        <v/>
      </c>
      <c r="U356" s="18">
        <f>SUMPRODUCT((Source_Evolution!$A$3:$A$731=$A356)*(Source_Evolution!$E$3:$E$731&gt;0))</f>
        <v/>
      </c>
      <c r="V356" s="18">
        <f>SUMPRODUCT((Source_Evolution!$A$3:$A$731=$A356)*(Source_Evolution!$F$3:$F$731&gt;0))</f>
        <v/>
      </c>
      <c r="W356" s="18">
        <f>SUMPRODUCT((Source_Evolution!$A$3:$A$731=$A356)*(Source_Evolution!$G$3:$G$731&gt;0))</f>
        <v/>
      </c>
      <c r="X356" s="18">
        <f>SUMPRODUCT((Source_Evolution!$A$3:$A$731=$A356)*(Source_Evolution!$H$3:$H$731&gt;0))</f>
        <v/>
      </c>
      <c r="Y356" s="18">
        <f>SUMPRODUCT((Source_Evolution!$A$3:$A$731=$A356)*(Source_Evolution!$I$3:$I$731&gt;0))</f>
        <v/>
      </c>
      <c r="Z356" s="18">
        <f>SUMPRODUCT((Source_Evolution!$A$3:$A$731=$A356)*(Source_Evolution!$J$3:$J$731&gt;0))</f>
        <v/>
      </c>
      <c r="AA356" s="18">
        <f>SUMPRODUCT((Source_Evolution!$A$3:$A$731=$A356)*(Source_Evolution!$K$3:$K$731&gt;0))</f>
        <v/>
      </c>
      <c r="AB356" s="18">
        <f>SUMPRODUCT((Source_Evolution!$A$3:$A$731=$A356)*(Source_Evolution!$L$3:$L$731&gt;0))</f>
        <v/>
      </c>
      <c r="AC356" s="18">
        <f>SUMPRODUCT((Source_Evolution!$A$3:$A$731=$A356)*(Source_Evolution!$M$3:$M$731&gt;0))</f>
        <v/>
      </c>
      <c r="AD356" s="18">
        <f>SUMPRODUCT((Source_Evolution!$A$3:$A$731=$A356)*(Source_Evolution!$N$3:$N$731&gt;0))</f>
        <v/>
      </c>
      <c r="AE356" s="18">
        <f>SUMPRODUCT((Source_Evolution!$A$3:$A$731=$A356)*(Source_Evolution!$O$3:$O$731&gt;0))</f>
        <v/>
      </c>
      <c r="AF356" s="18">
        <f>SUMPRODUCT((Source_Evolution!$A$3:$A$731=$A356)*(Source_Evolution!$P$3:$P$731&gt;0))</f>
        <v/>
      </c>
      <c r="AG356" s="18">
        <f>SUMPRODUCT((Source_Evolution!$A$3:$A$731=$A356)*(Source_Evolution!$Q$3:$Q$731&gt;0))</f>
        <v/>
      </c>
    </row>
    <row r="357">
      <c r="A357" t="inlineStr">
        <is>
          <t>Company 83</t>
        </is>
      </c>
      <c r="B357" t="inlineStr">
        <is>
          <t>Operations</t>
        </is>
      </c>
      <c r="C357" t="inlineStr">
        <is>
          <t>Switzerland</t>
        </is>
      </c>
      <c r="D357" t="n">
        <v>2014</v>
      </c>
      <c r="E357" s="17">
        <f>SUMIFS(Source_Evolution!$E$3:$E$731,Source_Evolution!$A$3:$A$731,$A357)</f>
        <v/>
      </c>
      <c r="F357" s="17">
        <f>SUMIFS(Source_Evolution!$F$3:$F$731,Source_Evolution!$A$3:$A$731,$A357)</f>
        <v/>
      </c>
      <c r="G357" s="17">
        <f>SUMIFS(Source_Evolution!$G$3:$G$731,Source_Evolution!$A$3:$A$731,$A357)</f>
        <v/>
      </c>
      <c r="H357" s="17">
        <f>SUMIFS(Source_Evolution!$H$3:$H$731,Source_Evolution!$A$3:$A$731,$A357)</f>
        <v/>
      </c>
      <c r="I357" s="17">
        <f>SUMIFS(Source_Evolution!$I$3:$I$731,Source_Evolution!$A$3:$A$731,$A357)</f>
        <v/>
      </c>
      <c r="J357" s="17">
        <f>SUMIFS(Source_Evolution!$J$3:$J$731,Source_Evolution!$A$3:$A$731,$A357)</f>
        <v/>
      </c>
      <c r="K357" s="17">
        <f>SUMIFS(Source_Evolution!$K$3:$K$731,Source_Evolution!$A$3:$A$731,$A357)</f>
        <v/>
      </c>
      <c r="L357" s="17">
        <f>SUMIFS(Source_Evolution!$L$3:$L$731,Source_Evolution!$A$3:$A$731,$A357)</f>
        <v/>
      </c>
      <c r="M357" s="17">
        <f>SUMIFS(Source_Evolution!$M$3:$M$731,Source_Evolution!$A$3:$A$731,$A357)</f>
        <v/>
      </c>
      <c r="N357" s="17">
        <f>SUMIFS(Source_Evolution!$N$3:$N$731,Source_Evolution!$A$3:$A$731,$A357)</f>
        <v/>
      </c>
      <c r="O357" s="17">
        <f>SUMIFS(Source_Evolution!$O$3:$O$731,Source_Evolution!$A$3:$A$731,$A357)</f>
        <v/>
      </c>
      <c r="P357" s="17">
        <f>SUMIFS(Source_Evolution!$P$3:$P$731,Source_Evolution!$A$3:$A$731,$A357)</f>
        <v/>
      </c>
      <c r="Q357" s="17">
        <f>SUMIFS(Source_Evolution!$Q$3:$Q$731,Source_Evolution!$A$3:$A$731,$A357)</f>
        <v/>
      </c>
      <c r="R357" s="17">
        <f>SUM(E357:Q357)</f>
        <v/>
      </c>
      <c r="S357" s="17">
        <f>Q357</f>
        <v/>
      </c>
      <c r="T357">
        <f>IF(B357="Software",1,0)</f>
        <v/>
      </c>
      <c r="U357" s="18">
        <f>SUMPRODUCT((Source_Evolution!$A$3:$A$731=$A357)*(Source_Evolution!$E$3:$E$731&gt;0))</f>
        <v/>
      </c>
      <c r="V357" s="18">
        <f>SUMPRODUCT((Source_Evolution!$A$3:$A$731=$A357)*(Source_Evolution!$F$3:$F$731&gt;0))</f>
        <v/>
      </c>
      <c r="W357" s="18">
        <f>SUMPRODUCT((Source_Evolution!$A$3:$A$731=$A357)*(Source_Evolution!$G$3:$G$731&gt;0))</f>
        <v/>
      </c>
      <c r="X357" s="18">
        <f>SUMPRODUCT((Source_Evolution!$A$3:$A$731=$A357)*(Source_Evolution!$H$3:$H$731&gt;0))</f>
        <v/>
      </c>
      <c r="Y357" s="18">
        <f>SUMPRODUCT((Source_Evolution!$A$3:$A$731=$A357)*(Source_Evolution!$I$3:$I$731&gt;0))</f>
        <v/>
      </c>
      <c r="Z357" s="18">
        <f>SUMPRODUCT((Source_Evolution!$A$3:$A$731=$A357)*(Source_Evolution!$J$3:$J$731&gt;0))</f>
        <v/>
      </c>
      <c r="AA357" s="18">
        <f>SUMPRODUCT((Source_Evolution!$A$3:$A$731=$A357)*(Source_Evolution!$K$3:$K$731&gt;0))</f>
        <v/>
      </c>
      <c r="AB357" s="18">
        <f>SUMPRODUCT((Source_Evolution!$A$3:$A$731=$A357)*(Source_Evolution!$L$3:$L$731&gt;0))</f>
        <v/>
      </c>
      <c r="AC357" s="18">
        <f>SUMPRODUCT((Source_Evolution!$A$3:$A$731=$A357)*(Source_Evolution!$M$3:$M$731&gt;0))</f>
        <v/>
      </c>
      <c r="AD357" s="18">
        <f>SUMPRODUCT((Source_Evolution!$A$3:$A$731=$A357)*(Source_Evolution!$N$3:$N$731&gt;0))</f>
        <v/>
      </c>
      <c r="AE357" s="18">
        <f>SUMPRODUCT((Source_Evolution!$A$3:$A$731=$A357)*(Source_Evolution!$O$3:$O$731&gt;0))</f>
        <v/>
      </c>
      <c r="AF357" s="18">
        <f>SUMPRODUCT((Source_Evolution!$A$3:$A$731=$A357)*(Source_Evolution!$P$3:$P$731&gt;0))</f>
        <v/>
      </c>
      <c r="AG357" s="18">
        <f>SUMPRODUCT((Source_Evolution!$A$3:$A$731=$A357)*(Source_Evolution!$Q$3:$Q$731&gt;0))</f>
        <v/>
      </c>
    </row>
    <row r="358">
      <c r="A358" t="inlineStr">
        <is>
          <t>Company 84</t>
        </is>
      </c>
      <c r="B358" t="inlineStr">
        <is>
          <t>Operations</t>
        </is>
      </c>
      <c r="C358" t="inlineStr">
        <is>
          <t>Germany</t>
        </is>
      </c>
      <c r="D358" t="n">
        <v>2014</v>
      </c>
      <c r="E358" s="17">
        <f>SUMIFS(Source_Evolution!$E$3:$E$731,Source_Evolution!$A$3:$A$731,$A358)</f>
        <v/>
      </c>
      <c r="F358" s="17">
        <f>SUMIFS(Source_Evolution!$F$3:$F$731,Source_Evolution!$A$3:$A$731,$A358)</f>
        <v/>
      </c>
      <c r="G358" s="17">
        <f>SUMIFS(Source_Evolution!$G$3:$G$731,Source_Evolution!$A$3:$A$731,$A358)</f>
        <v/>
      </c>
      <c r="H358" s="17">
        <f>SUMIFS(Source_Evolution!$H$3:$H$731,Source_Evolution!$A$3:$A$731,$A358)</f>
        <v/>
      </c>
      <c r="I358" s="17">
        <f>SUMIFS(Source_Evolution!$I$3:$I$731,Source_Evolution!$A$3:$A$731,$A358)</f>
        <v/>
      </c>
      <c r="J358" s="17">
        <f>SUMIFS(Source_Evolution!$J$3:$J$731,Source_Evolution!$A$3:$A$731,$A358)</f>
        <v/>
      </c>
      <c r="K358" s="17">
        <f>SUMIFS(Source_Evolution!$K$3:$K$731,Source_Evolution!$A$3:$A$731,$A358)</f>
        <v/>
      </c>
      <c r="L358" s="17">
        <f>SUMIFS(Source_Evolution!$L$3:$L$731,Source_Evolution!$A$3:$A$731,$A358)</f>
        <v/>
      </c>
      <c r="M358" s="17">
        <f>SUMIFS(Source_Evolution!$M$3:$M$731,Source_Evolution!$A$3:$A$731,$A358)</f>
        <v/>
      </c>
      <c r="N358" s="17">
        <f>SUMIFS(Source_Evolution!$N$3:$N$731,Source_Evolution!$A$3:$A$731,$A358)</f>
        <v/>
      </c>
      <c r="O358" s="17">
        <f>SUMIFS(Source_Evolution!$O$3:$O$731,Source_Evolution!$A$3:$A$731,$A358)</f>
        <v/>
      </c>
      <c r="P358" s="17">
        <f>SUMIFS(Source_Evolution!$P$3:$P$731,Source_Evolution!$A$3:$A$731,$A358)</f>
        <v/>
      </c>
      <c r="Q358" s="17">
        <f>SUMIFS(Source_Evolution!$Q$3:$Q$731,Source_Evolution!$A$3:$A$731,$A358)</f>
        <v/>
      </c>
      <c r="R358" s="17">
        <f>SUM(E358:Q358)</f>
        <v/>
      </c>
      <c r="S358" s="17">
        <f>Q358</f>
        <v/>
      </c>
      <c r="T358">
        <f>IF(B358="Software",1,0)</f>
        <v/>
      </c>
      <c r="U358" s="18">
        <f>SUMPRODUCT((Source_Evolution!$A$3:$A$731=$A358)*(Source_Evolution!$E$3:$E$731&gt;0))</f>
        <v/>
      </c>
      <c r="V358" s="18">
        <f>SUMPRODUCT((Source_Evolution!$A$3:$A$731=$A358)*(Source_Evolution!$F$3:$F$731&gt;0))</f>
        <v/>
      </c>
      <c r="W358" s="18">
        <f>SUMPRODUCT((Source_Evolution!$A$3:$A$731=$A358)*(Source_Evolution!$G$3:$G$731&gt;0))</f>
        <v/>
      </c>
      <c r="X358" s="18">
        <f>SUMPRODUCT((Source_Evolution!$A$3:$A$731=$A358)*(Source_Evolution!$H$3:$H$731&gt;0))</f>
        <v/>
      </c>
      <c r="Y358" s="18">
        <f>SUMPRODUCT((Source_Evolution!$A$3:$A$731=$A358)*(Source_Evolution!$I$3:$I$731&gt;0))</f>
        <v/>
      </c>
      <c r="Z358" s="18">
        <f>SUMPRODUCT((Source_Evolution!$A$3:$A$731=$A358)*(Source_Evolution!$J$3:$J$731&gt;0))</f>
        <v/>
      </c>
      <c r="AA358" s="18">
        <f>SUMPRODUCT((Source_Evolution!$A$3:$A$731=$A358)*(Source_Evolution!$K$3:$K$731&gt;0))</f>
        <v/>
      </c>
      <c r="AB358" s="18">
        <f>SUMPRODUCT((Source_Evolution!$A$3:$A$731=$A358)*(Source_Evolution!$L$3:$L$731&gt;0))</f>
        <v/>
      </c>
      <c r="AC358" s="18">
        <f>SUMPRODUCT((Source_Evolution!$A$3:$A$731=$A358)*(Source_Evolution!$M$3:$M$731&gt;0))</f>
        <v/>
      </c>
      <c r="AD358" s="18">
        <f>SUMPRODUCT((Source_Evolution!$A$3:$A$731=$A358)*(Source_Evolution!$N$3:$N$731&gt;0))</f>
        <v/>
      </c>
      <c r="AE358" s="18">
        <f>SUMPRODUCT((Source_Evolution!$A$3:$A$731=$A358)*(Source_Evolution!$O$3:$O$731&gt;0))</f>
        <v/>
      </c>
      <c r="AF358" s="18">
        <f>SUMPRODUCT((Source_Evolution!$A$3:$A$731=$A358)*(Source_Evolution!$P$3:$P$731&gt;0))</f>
        <v/>
      </c>
      <c r="AG358" s="18">
        <f>SUMPRODUCT((Source_Evolution!$A$3:$A$731=$A358)*(Source_Evolution!$Q$3:$Q$731&gt;0))</f>
        <v/>
      </c>
    </row>
    <row r="359">
      <c r="A359" t="inlineStr">
        <is>
          <t>Company 85</t>
        </is>
      </c>
      <c r="B359" t="inlineStr">
        <is>
          <t>Operations</t>
        </is>
      </c>
      <c r="C359" t="inlineStr">
        <is>
          <t>Switzerland</t>
        </is>
      </c>
      <c r="D359" t="n">
        <v>2014</v>
      </c>
      <c r="E359" s="17">
        <f>SUMIFS(Source_Evolution!$E$3:$E$731,Source_Evolution!$A$3:$A$731,$A359)</f>
        <v/>
      </c>
      <c r="F359" s="17">
        <f>SUMIFS(Source_Evolution!$F$3:$F$731,Source_Evolution!$A$3:$A$731,$A359)</f>
        <v/>
      </c>
      <c r="G359" s="17">
        <f>SUMIFS(Source_Evolution!$G$3:$G$731,Source_Evolution!$A$3:$A$731,$A359)</f>
        <v/>
      </c>
      <c r="H359" s="17">
        <f>SUMIFS(Source_Evolution!$H$3:$H$731,Source_Evolution!$A$3:$A$731,$A359)</f>
        <v/>
      </c>
      <c r="I359" s="17">
        <f>SUMIFS(Source_Evolution!$I$3:$I$731,Source_Evolution!$A$3:$A$731,$A359)</f>
        <v/>
      </c>
      <c r="J359" s="17">
        <f>SUMIFS(Source_Evolution!$J$3:$J$731,Source_Evolution!$A$3:$A$731,$A359)</f>
        <v/>
      </c>
      <c r="K359" s="17">
        <f>SUMIFS(Source_Evolution!$K$3:$K$731,Source_Evolution!$A$3:$A$731,$A359)</f>
        <v/>
      </c>
      <c r="L359" s="17">
        <f>SUMIFS(Source_Evolution!$L$3:$L$731,Source_Evolution!$A$3:$A$731,$A359)</f>
        <v/>
      </c>
      <c r="M359" s="17">
        <f>SUMIFS(Source_Evolution!$M$3:$M$731,Source_Evolution!$A$3:$A$731,$A359)</f>
        <v/>
      </c>
      <c r="N359" s="17">
        <f>SUMIFS(Source_Evolution!$N$3:$N$731,Source_Evolution!$A$3:$A$731,$A359)</f>
        <v/>
      </c>
      <c r="O359" s="17">
        <f>SUMIFS(Source_Evolution!$O$3:$O$731,Source_Evolution!$A$3:$A$731,$A359)</f>
        <v/>
      </c>
      <c r="P359" s="17">
        <f>SUMIFS(Source_Evolution!$P$3:$P$731,Source_Evolution!$A$3:$A$731,$A359)</f>
        <v/>
      </c>
      <c r="Q359" s="17">
        <f>SUMIFS(Source_Evolution!$Q$3:$Q$731,Source_Evolution!$A$3:$A$731,$A359)</f>
        <v/>
      </c>
      <c r="R359" s="17">
        <f>SUM(E359:Q359)</f>
        <v/>
      </c>
      <c r="S359" s="17">
        <f>Q359</f>
        <v/>
      </c>
      <c r="T359">
        <f>IF(B359="Software",1,0)</f>
        <v/>
      </c>
      <c r="U359" s="18">
        <f>SUMPRODUCT((Source_Evolution!$A$3:$A$731=$A359)*(Source_Evolution!$E$3:$E$731&gt;0))</f>
        <v/>
      </c>
      <c r="V359" s="18">
        <f>SUMPRODUCT((Source_Evolution!$A$3:$A$731=$A359)*(Source_Evolution!$F$3:$F$731&gt;0))</f>
        <v/>
      </c>
      <c r="W359" s="18">
        <f>SUMPRODUCT((Source_Evolution!$A$3:$A$731=$A359)*(Source_Evolution!$G$3:$G$731&gt;0))</f>
        <v/>
      </c>
      <c r="X359" s="18">
        <f>SUMPRODUCT((Source_Evolution!$A$3:$A$731=$A359)*(Source_Evolution!$H$3:$H$731&gt;0))</f>
        <v/>
      </c>
      <c r="Y359" s="18">
        <f>SUMPRODUCT((Source_Evolution!$A$3:$A$731=$A359)*(Source_Evolution!$I$3:$I$731&gt;0))</f>
        <v/>
      </c>
      <c r="Z359" s="18">
        <f>SUMPRODUCT((Source_Evolution!$A$3:$A$731=$A359)*(Source_Evolution!$J$3:$J$731&gt;0))</f>
        <v/>
      </c>
      <c r="AA359" s="18">
        <f>SUMPRODUCT((Source_Evolution!$A$3:$A$731=$A359)*(Source_Evolution!$K$3:$K$731&gt;0))</f>
        <v/>
      </c>
      <c r="AB359" s="18">
        <f>SUMPRODUCT((Source_Evolution!$A$3:$A$731=$A359)*(Source_Evolution!$L$3:$L$731&gt;0))</f>
        <v/>
      </c>
      <c r="AC359" s="18">
        <f>SUMPRODUCT((Source_Evolution!$A$3:$A$731=$A359)*(Source_Evolution!$M$3:$M$731&gt;0))</f>
        <v/>
      </c>
      <c r="AD359" s="18">
        <f>SUMPRODUCT((Source_Evolution!$A$3:$A$731=$A359)*(Source_Evolution!$N$3:$N$731&gt;0))</f>
        <v/>
      </c>
      <c r="AE359" s="18">
        <f>SUMPRODUCT((Source_Evolution!$A$3:$A$731=$A359)*(Source_Evolution!$O$3:$O$731&gt;0))</f>
        <v/>
      </c>
      <c r="AF359" s="18">
        <f>SUMPRODUCT((Source_Evolution!$A$3:$A$731=$A359)*(Source_Evolution!$P$3:$P$731&gt;0))</f>
        <v/>
      </c>
      <c r="AG359" s="18">
        <f>SUMPRODUCT((Source_Evolution!$A$3:$A$731=$A359)*(Source_Evolution!$Q$3:$Q$731&gt;0))</f>
        <v/>
      </c>
    </row>
    <row r="360">
      <c r="A360" t="inlineStr">
        <is>
          <t>Company 86</t>
        </is>
      </c>
      <c r="B360" t="inlineStr">
        <is>
          <t>Software</t>
        </is>
      </c>
      <c r="C360" t="inlineStr">
        <is>
          <t>Belgium</t>
        </is>
      </c>
      <c r="D360" t="n">
        <v>2014</v>
      </c>
      <c r="E360" s="17">
        <f>SUMIFS(Source_Evolution!$E$3:$E$731,Source_Evolution!$A$3:$A$731,$A360)</f>
        <v/>
      </c>
      <c r="F360" s="17">
        <f>SUMIFS(Source_Evolution!$F$3:$F$731,Source_Evolution!$A$3:$A$731,$A360)</f>
        <v/>
      </c>
      <c r="G360" s="17">
        <f>SUMIFS(Source_Evolution!$G$3:$G$731,Source_Evolution!$A$3:$A$731,$A360)</f>
        <v/>
      </c>
      <c r="H360" s="17">
        <f>SUMIFS(Source_Evolution!$H$3:$H$731,Source_Evolution!$A$3:$A$731,$A360)</f>
        <v/>
      </c>
      <c r="I360" s="17">
        <f>SUMIFS(Source_Evolution!$I$3:$I$731,Source_Evolution!$A$3:$A$731,$A360)</f>
        <v/>
      </c>
      <c r="J360" s="17">
        <f>SUMIFS(Source_Evolution!$J$3:$J$731,Source_Evolution!$A$3:$A$731,$A360)</f>
        <v/>
      </c>
      <c r="K360" s="17">
        <f>SUMIFS(Source_Evolution!$K$3:$K$731,Source_Evolution!$A$3:$A$731,$A360)</f>
        <v/>
      </c>
      <c r="L360" s="17">
        <f>SUMIFS(Source_Evolution!$L$3:$L$731,Source_Evolution!$A$3:$A$731,$A360)</f>
        <v/>
      </c>
      <c r="M360" s="17">
        <f>SUMIFS(Source_Evolution!$M$3:$M$731,Source_Evolution!$A$3:$A$731,$A360)</f>
        <v/>
      </c>
      <c r="N360" s="17">
        <f>SUMIFS(Source_Evolution!$N$3:$N$731,Source_Evolution!$A$3:$A$731,$A360)</f>
        <v/>
      </c>
      <c r="O360" s="17">
        <f>SUMIFS(Source_Evolution!$O$3:$O$731,Source_Evolution!$A$3:$A$731,$A360)</f>
        <v/>
      </c>
      <c r="P360" s="17">
        <f>SUMIFS(Source_Evolution!$P$3:$P$731,Source_Evolution!$A$3:$A$731,$A360)</f>
        <v/>
      </c>
      <c r="Q360" s="17">
        <f>SUMIFS(Source_Evolution!$Q$3:$Q$731,Source_Evolution!$A$3:$A$731,$A360)</f>
        <v/>
      </c>
      <c r="R360" s="17">
        <f>SUM(E360:Q360)</f>
        <v/>
      </c>
      <c r="S360" s="17">
        <f>Q360</f>
        <v/>
      </c>
      <c r="T360">
        <f>IF(B360="Software",1,0)</f>
        <v/>
      </c>
      <c r="U360" s="18">
        <f>SUMPRODUCT((Source_Evolution!$A$3:$A$731=$A360)*(Source_Evolution!$E$3:$E$731&gt;0))</f>
        <v/>
      </c>
      <c r="V360" s="18">
        <f>SUMPRODUCT((Source_Evolution!$A$3:$A$731=$A360)*(Source_Evolution!$F$3:$F$731&gt;0))</f>
        <v/>
      </c>
      <c r="W360" s="18">
        <f>SUMPRODUCT((Source_Evolution!$A$3:$A$731=$A360)*(Source_Evolution!$G$3:$G$731&gt;0))</f>
        <v/>
      </c>
      <c r="X360" s="18">
        <f>SUMPRODUCT((Source_Evolution!$A$3:$A$731=$A360)*(Source_Evolution!$H$3:$H$731&gt;0))</f>
        <v/>
      </c>
      <c r="Y360" s="18">
        <f>SUMPRODUCT((Source_Evolution!$A$3:$A$731=$A360)*(Source_Evolution!$I$3:$I$731&gt;0))</f>
        <v/>
      </c>
      <c r="Z360" s="18">
        <f>SUMPRODUCT((Source_Evolution!$A$3:$A$731=$A360)*(Source_Evolution!$J$3:$J$731&gt;0))</f>
        <v/>
      </c>
      <c r="AA360" s="18">
        <f>SUMPRODUCT((Source_Evolution!$A$3:$A$731=$A360)*(Source_Evolution!$K$3:$K$731&gt;0))</f>
        <v/>
      </c>
      <c r="AB360" s="18">
        <f>SUMPRODUCT((Source_Evolution!$A$3:$A$731=$A360)*(Source_Evolution!$L$3:$L$731&gt;0))</f>
        <v/>
      </c>
      <c r="AC360" s="18">
        <f>SUMPRODUCT((Source_Evolution!$A$3:$A$731=$A360)*(Source_Evolution!$M$3:$M$731&gt;0))</f>
        <v/>
      </c>
      <c r="AD360" s="18">
        <f>SUMPRODUCT((Source_Evolution!$A$3:$A$731=$A360)*(Source_Evolution!$N$3:$N$731&gt;0))</f>
        <v/>
      </c>
      <c r="AE360" s="18">
        <f>SUMPRODUCT((Source_Evolution!$A$3:$A$731=$A360)*(Source_Evolution!$O$3:$O$731&gt;0))</f>
        <v/>
      </c>
      <c r="AF360" s="18">
        <f>SUMPRODUCT((Source_Evolution!$A$3:$A$731=$A360)*(Source_Evolution!$P$3:$P$731&gt;0))</f>
        <v/>
      </c>
      <c r="AG360" s="18">
        <f>SUMPRODUCT((Source_Evolution!$A$3:$A$731=$A360)*(Source_Evolution!$Q$3:$Q$731&gt;0))</f>
        <v/>
      </c>
    </row>
    <row r="361">
      <c r="A361" t="inlineStr">
        <is>
          <t>Company 87</t>
        </is>
      </c>
      <c r="B361" t="inlineStr">
        <is>
          <t>Software</t>
        </is>
      </c>
      <c r="C361" t="inlineStr">
        <is>
          <t>Netherlands</t>
        </is>
      </c>
      <c r="D361" t="n">
        <v>2022</v>
      </c>
      <c r="E361" s="17">
        <f>SUMIFS(Source_Evolution!$E$3:$E$731,Source_Evolution!$A$3:$A$731,$A361)</f>
        <v/>
      </c>
      <c r="F361" s="17">
        <f>SUMIFS(Source_Evolution!$F$3:$F$731,Source_Evolution!$A$3:$A$731,$A361)</f>
        <v/>
      </c>
      <c r="G361" s="17">
        <f>SUMIFS(Source_Evolution!$G$3:$G$731,Source_Evolution!$A$3:$A$731,$A361)</f>
        <v/>
      </c>
      <c r="H361" s="17">
        <f>SUMIFS(Source_Evolution!$H$3:$H$731,Source_Evolution!$A$3:$A$731,$A361)</f>
        <v/>
      </c>
      <c r="I361" s="17">
        <f>SUMIFS(Source_Evolution!$I$3:$I$731,Source_Evolution!$A$3:$A$731,$A361)</f>
        <v/>
      </c>
      <c r="J361" s="17">
        <f>SUMIFS(Source_Evolution!$J$3:$J$731,Source_Evolution!$A$3:$A$731,$A361)</f>
        <v/>
      </c>
      <c r="K361" s="17">
        <f>SUMIFS(Source_Evolution!$K$3:$K$731,Source_Evolution!$A$3:$A$731,$A361)</f>
        <v/>
      </c>
      <c r="L361" s="17">
        <f>SUMIFS(Source_Evolution!$L$3:$L$731,Source_Evolution!$A$3:$A$731,$A361)</f>
        <v/>
      </c>
      <c r="M361" s="17">
        <f>SUMIFS(Source_Evolution!$M$3:$M$731,Source_Evolution!$A$3:$A$731,$A361)</f>
        <v/>
      </c>
      <c r="N361" s="17">
        <f>SUMIFS(Source_Evolution!$N$3:$N$731,Source_Evolution!$A$3:$A$731,$A361)</f>
        <v/>
      </c>
      <c r="O361" s="17">
        <f>SUMIFS(Source_Evolution!$O$3:$O$731,Source_Evolution!$A$3:$A$731,$A361)</f>
        <v/>
      </c>
      <c r="P361" s="17">
        <f>SUMIFS(Source_Evolution!$P$3:$P$731,Source_Evolution!$A$3:$A$731,$A361)</f>
        <v/>
      </c>
      <c r="Q361" s="17">
        <f>SUMIFS(Source_Evolution!$Q$3:$Q$731,Source_Evolution!$A$3:$A$731,$A361)</f>
        <v/>
      </c>
      <c r="R361" s="17">
        <f>SUM(E361:Q361)</f>
        <v/>
      </c>
      <c r="S361" s="17">
        <f>Q361</f>
        <v/>
      </c>
      <c r="T361">
        <f>IF(B361="Software",1,0)</f>
        <v/>
      </c>
      <c r="U361" s="18">
        <f>SUMPRODUCT((Source_Evolution!$A$3:$A$731=$A361)*(Source_Evolution!$E$3:$E$731&gt;0))</f>
        <v/>
      </c>
      <c r="V361" s="18">
        <f>SUMPRODUCT((Source_Evolution!$A$3:$A$731=$A361)*(Source_Evolution!$F$3:$F$731&gt;0))</f>
        <v/>
      </c>
      <c r="W361" s="18">
        <f>SUMPRODUCT((Source_Evolution!$A$3:$A$731=$A361)*(Source_Evolution!$G$3:$G$731&gt;0))</f>
        <v/>
      </c>
      <c r="X361" s="18">
        <f>SUMPRODUCT((Source_Evolution!$A$3:$A$731=$A361)*(Source_Evolution!$H$3:$H$731&gt;0))</f>
        <v/>
      </c>
      <c r="Y361" s="18">
        <f>SUMPRODUCT((Source_Evolution!$A$3:$A$731=$A361)*(Source_Evolution!$I$3:$I$731&gt;0))</f>
        <v/>
      </c>
      <c r="Z361" s="18">
        <f>SUMPRODUCT((Source_Evolution!$A$3:$A$731=$A361)*(Source_Evolution!$J$3:$J$731&gt;0))</f>
        <v/>
      </c>
      <c r="AA361" s="18">
        <f>SUMPRODUCT((Source_Evolution!$A$3:$A$731=$A361)*(Source_Evolution!$K$3:$K$731&gt;0))</f>
        <v/>
      </c>
      <c r="AB361" s="18">
        <f>SUMPRODUCT((Source_Evolution!$A$3:$A$731=$A361)*(Source_Evolution!$L$3:$L$731&gt;0))</f>
        <v/>
      </c>
      <c r="AC361" s="18">
        <f>SUMPRODUCT((Source_Evolution!$A$3:$A$731=$A361)*(Source_Evolution!$M$3:$M$731&gt;0))</f>
        <v/>
      </c>
      <c r="AD361" s="18">
        <f>SUMPRODUCT((Source_Evolution!$A$3:$A$731=$A361)*(Source_Evolution!$N$3:$N$731&gt;0))</f>
        <v/>
      </c>
      <c r="AE361" s="18">
        <f>SUMPRODUCT((Source_Evolution!$A$3:$A$731=$A361)*(Source_Evolution!$O$3:$O$731&gt;0))</f>
        <v/>
      </c>
      <c r="AF361" s="18">
        <f>SUMPRODUCT((Source_Evolution!$A$3:$A$731=$A361)*(Source_Evolution!$P$3:$P$731&gt;0))</f>
        <v/>
      </c>
      <c r="AG361" s="18">
        <f>SUMPRODUCT((Source_Evolution!$A$3:$A$731=$A361)*(Source_Evolution!$Q$3:$Q$731&gt;0))</f>
        <v/>
      </c>
    </row>
    <row r="362">
      <c r="A362" t="inlineStr">
        <is>
          <t>Company 88</t>
        </is>
      </c>
      <c r="B362" t="inlineStr">
        <is>
          <t>Software</t>
        </is>
      </c>
      <c r="C362" t="inlineStr">
        <is>
          <t>Luxembourg</t>
        </is>
      </c>
      <c r="D362" t="n">
        <v>2025</v>
      </c>
      <c r="E362" s="17">
        <f>SUMIFS(Source_Evolution!$E$3:$E$731,Source_Evolution!$A$3:$A$731,$A362)</f>
        <v/>
      </c>
      <c r="F362" s="17">
        <f>SUMIFS(Source_Evolution!$F$3:$F$731,Source_Evolution!$A$3:$A$731,$A362)</f>
        <v/>
      </c>
      <c r="G362" s="17">
        <f>SUMIFS(Source_Evolution!$G$3:$G$731,Source_Evolution!$A$3:$A$731,$A362)</f>
        <v/>
      </c>
      <c r="H362" s="17">
        <f>SUMIFS(Source_Evolution!$H$3:$H$731,Source_Evolution!$A$3:$A$731,$A362)</f>
        <v/>
      </c>
      <c r="I362" s="17">
        <f>SUMIFS(Source_Evolution!$I$3:$I$731,Source_Evolution!$A$3:$A$731,$A362)</f>
        <v/>
      </c>
      <c r="J362" s="17">
        <f>SUMIFS(Source_Evolution!$J$3:$J$731,Source_Evolution!$A$3:$A$731,$A362)</f>
        <v/>
      </c>
      <c r="K362" s="17">
        <f>SUMIFS(Source_Evolution!$K$3:$K$731,Source_Evolution!$A$3:$A$731,$A362)</f>
        <v/>
      </c>
      <c r="L362" s="17">
        <f>SUMIFS(Source_Evolution!$L$3:$L$731,Source_Evolution!$A$3:$A$731,$A362)</f>
        <v/>
      </c>
      <c r="M362" s="17">
        <f>SUMIFS(Source_Evolution!$M$3:$M$731,Source_Evolution!$A$3:$A$731,$A362)</f>
        <v/>
      </c>
      <c r="N362" s="17">
        <f>SUMIFS(Source_Evolution!$N$3:$N$731,Source_Evolution!$A$3:$A$731,$A362)</f>
        <v/>
      </c>
      <c r="O362" s="17">
        <f>SUMIFS(Source_Evolution!$O$3:$O$731,Source_Evolution!$A$3:$A$731,$A362)</f>
        <v/>
      </c>
      <c r="P362" s="17">
        <f>SUMIFS(Source_Evolution!$P$3:$P$731,Source_Evolution!$A$3:$A$731,$A362)</f>
        <v/>
      </c>
      <c r="Q362" s="17">
        <f>SUMIFS(Source_Evolution!$Q$3:$Q$731,Source_Evolution!$A$3:$A$731,$A362)</f>
        <v/>
      </c>
      <c r="R362" s="17">
        <f>SUM(E362:Q362)</f>
        <v/>
      </c>
      <c r="S362" s="17">
        <f>Q362</f>
        <v/>
      </c>
      <c r="T362">
        <f>IF(B362="Software",1,0)</f>
        <v/>
      </c>
      <c r="U362" s="18">
        <f>SUMPRODUCT((Source_Evolution!$A$3:$A$731=$A362)*(Source_Evolution!$E$3:$E$731&gt;0))</f>
        <v/>
      </c>
      <c r="V362" s="18">
        <f>SUMPRODUCT((Source_Evolution!$A$3:$A$731=$A362)*(Source_Evolution!$F$3:$F$731&gt;0))</f>
        <v/>
      </c>
      <c r="W362" s="18">
        <f>SUMPRODUCT((Source_Evolution!$A$3:$A$731=$A362)*(Source_Evolution!$G$3:$G$731&gt;0))</f>
        <v/>
      </c>
      <c r="X362" s="18">
        <f>SUMPRODUCT((Source_Evolution!$A$3:$A$731=$A362)*(Source_Evolution!$H$3:$H$731&gt;0))</f>
        <v/>
      </c>
      <c r="Y362" s="18">
        <f>SUMPRODUCT((Source_Evolution!$A$3:$A$731=$A362)*(Source_Evolution!$I$3:$I$731&gt;0))</f>
        <v/>
      </c>
      <c r="Z362" s="18">
        <f>SUMPRODUCT((Source_Evolution!$A$3:$A$731=$A362)*(Source_Evolution!$J$3:$J$731&gt;0))</f>
        <v/>
      </c>
      <c r="AA362" s="18">
        <f>SUMPRODUCT((Source_Evolution!$A$3:$A$731=$A362)*(Source_Evolution!$K$3:$K$731&gt;0))</f>
        <v/>
      </c>
      <c r="AB362" s="18">
        <f>SUMPRODUCT((Source_Evolution!$A$3:$A$731=$A362)*(Source_Evolution!$L$3:$L$731&gt;0))</f>
        <v/>
      </c>
      <c r="AC362" s="18">
        <f>SUMPRODUCT((Source_Evolution!$A$3:$A$731=$A362)*(Source_Evolution!$M$3:$M$731&gt;0))</f>
        <v/>
      </c>
      <c r="AD362" s="18">
        <f>SUMPRODUCT((Source_Evolution!$A$3:$A$731=$A362)*(Source_Evolution!$N$3:$N$731&gt;0))</f>
        <v/>
      </c>
      <c r="AE362" s="18">
        <f>SUMPRODUCT((Source_Evolution!$A$3:$A$731=$A362)*(Source_Evolution!$O$3:$O$731&gt;0))</f>
        <v/>
      </c>
      <c r="AF362" s="18">
        <f>SUMPRODUCT((Source_Evolution!$A$3:$A$731=$A362)*(Source_Evolution!$P$3:$P$731&gt;0))</f>
        <v/>
      </c>
      <c r="AG362" s="18">
        <f>SUMPRODUCT((Source_Evolution!$A$3:$A$731=$A362)*(Source_Evolution!$Q$3:$Q$731&gt;0))</f>
        <v/>
      </c>
    </row>
    <row r="363">
      <c r="A363" t="inlineStr">
        <is>
          <t>Company 89</t>
        </is>
      </c>
      <c r="B363" t="inlineStr">
        <is>
          <t>Software</t>
        </is>
      </c>
      <c r="C363" t="inlineStr">
        <is>
          <t>Denmark</t>
        </is>
      </c>
      <c r="D363" t="n">
        <v>2014</v>
      </c>
      <c r="E363" s="17">
        <f>SUMIFS(Source_Evolution!$E$3:$E$731,Source_Evolution!$A$3:$A$731,$A363)</f>
        <v/>
      </c>
      <c r="F363" s="17">
        <f>SUMIFS(Source_Evolution!$F$3:$F$731,Source_Evolution!$A$3:$A$731,$A363)</f>
        <v/>
      </c>
      <c r="G363" s="17">
        <f>SUMIFS(Source_Evolution!$G$3:$G$731,Source_Evolution!$A$3:$A$731,$A363)</f>
        <v/>
      </c>
      <c r="H363" s="17">
        <f>SUMIFS(Source_Evolution!$H$3:$H$731,Source_Evolution!$A$3:$A$731,$A363)</f>
        <v/>
      </c>
      <c r="I363" s="17">
        <f>SUMIFS(Source_Evolution!$I$3:$I$731,Source_Evolution!$A$3:$A$731,$A363)</f>
        <v/>
      </c>
      <c r="J363" s="17">
        <f>SUMIFS(Source_Evolution!$J$3:$J$731,Source_Evolution!$A$3:$A$731,$A363)</f>
        <v/>
      </c>
      <c r="K363" s="17">
        <f>SUMIFS(Source_Evolution!$K$3:$K$731,Source_Evolution!$A$3:$A$731,$A363)</f>
        <v/>
      </c>
      <c r="L363" s="17">
        <f>SUMIFS(Source_Evolution!$L$3:$L$731,Source_Evolution!$A$3:$A$731,$A363)</f>
        <v/>
      </c>
      <c r="M363" s="17">
        <f>SUMIFS(Source_Evolution!$M$3:$M$731,Source_Evolution!$A$3:$A$731,$A363)</f>
        <v/>
      </c>
      <c r="N363" s="17">
        <f>SUMIFS(Source_Evolution!$N$3:$N$731,Source_Evolution!$A$3:$A$731,$A363)</f>
        <v/>
      </c>
      <c r="O363" s="17">
        <f>SUMIFS(Source_Evolution!$O$3:$O$731,Source_Evolution!$A$3:$A$731,$A363)</f>
        <v/>
      </c>
      <c r="P363" s="17">
        <f>SUMIFS(Source_Evolution!$P$3:$P$731,Source_Evolution!$A$3:$A$731,$A363)</f>
        <v/>
      </c>
      <c r="Q363" s="17">
        <f>SUMIFS(Source_Evolution!$Q$3:$Q$731,Source_Evolution!$A$3:$A$731,$A363)</f>
        <v/>
      </c>
      <c r="R363" s="17">
        <f>SUM(E363:Q363)</f>
        <v/>
      </c>
      <c r="S363" s="17">
        <f>Q363</f>
        <v/>
      </c>
      <c r="T363">
        <f>IF(B363="Software",1,0)</f>
        <v/>
      </c>
      <c r="U363" s="18">
        <f>SUMPRODUCT((Source_Evolution!$A$3:$A$731=$A363)*(Source_Evolution!$E$3:$E$731&gt;0))</f>
        <v/>
      </c>
      <c r="V363" s="18">
        <f>SUMPRODUCT((Source_Evolution!$A$3:$A$731=$A363)*(Source_Evolution!$F$3:$F$731&gt;0))</f>
        <v/>
      </c>
      <c r="W363" s="18">
        <f>SUMPRODUCT((Source_Evolution!$A$3:$A$731=$A363)*(Source_Evolution!$G$3:$G$731&gt;0))</f>
        <v/>
      </c>
      <c r="X363" s="18">
        <f>SUMPRODUCT((Source_Evolution!$A$3:$A$731=$A363)*(Source_Evolution!$H$3:$H$731&gt;0))</f>
        <v/>
      </c>
      <c r="Y363" s="18">
        <f>SUMPRODUCT((Source_Evolution!$A$3:$A$731=$A363)*(Source_Evolution!$I$3:$I$731&gt;0))</f>
        <v/>
      </c>
      <c r="Z363" s="18">
        <f>SUMPRODUCT((Source_Evolution!$A$3:$A$731=$A363)*(Source_Evolution!$J$3:$J$731&gt;0))</f>
        <v/>
      </c>
      <c r="AA363" s="18">
        <f>SUMPRODUCT((Source_Evolution!$A$3:$A$731=$A363)*(Source_Evolution!$K$3:$K$731&gt;0))</f>
        <v/>
      </c>
      <c r="AB363" s="18">
        <f>SUMPRODUCT((Source_Evolution!$A$3:$A$731=$A363)*(Source_Evolution!$L$3:$L$731&gt;0))</f>
        <v/>
      </c>
      <c r="AC363" s="18">
        <f>SUMPRODUCT((Source_Evolution!$A$3:$A$731=$A363)*(Source_Evolution!$M$3:$M$731&gt;0))</f>
        <v/>
      </c>
      <c r="AD363" s="18">
        <f>SUMPRODUCT((Source_Evolution!$A$3:$A$731=$A363)*(Source_Evolution!$N$3:$N$731&gt;0))</f>
        <v/>
      </c>
      <c r="AE363" s="18">
        <f>SUMPRODUCT((Source_Evolution!$A$3:$A$731=$A363)*(Source_Evolution!$O$3:$O$731&gt;0))</f>
        <v/>
      </c>
      <c r="AF363" s="18">
        <f>SUMPRODUCT((Source_Evolution!$A$3:$A$731=$A363)*(Source_Evolution!$P$3:$P$731&gt;0))</f>
        <v/>
      </c>
      <c r="AG363" s="18">
        <f>SUMPRODUCT((Source_Evolution!$A$3:$A$731=$A363)*(Source_Evolution!$Q$3:$Q$731&gt;0))</f>
        <v/>
      </c>
    </row>
    <row r="364">
      <c r="A364" t="inlineStr">
        <is>
          <t>Company 9</t>
        </is>
      </c>
      <c r="B364" t="inlineStr">
        <is>
          <t>Software</t>
        </is>
      </c>
      <c r="C364" t="inlineStr">
        <is>
          <t>Switzerland</t>
        </is>
      </c>
      <c r="D364" t="n">
        <v>2014</v>
      </c>
      <c r="E364" s="17">
        <f>SUMIFS(Source_Evolution!$E$3:$E$731,Source_Evolution!$A$3:$A$731,$A364)</f>
        <v/>
      </c>
      <c r="F364" s="17">
        <f>SUMIFS(Source_Evolution!$F$3:$F$731,Source_Evolution!$A$3:$A$731,$A364)</f>
        <v/>
      </c>
      <c r="G364" s="17">
        <f>SUMIFS(Source_Evolution!$G$3:$G$731,Source_Evolution!$A$3:$A$731,$A364)</f>
        <v/>
      </c>
      <c r="H364" s="17">
        <f>SUMIFS(Source_Evolution!$H$3:$H$731,Source_Evolution!$A$3:$A$731,$A364)</f>
        <v/>
      </c>
      <c r="I364" s="17">
        <f>SUMIFS(Source_Evolution!$I$3:$I$731,Source_Evolution!$A$3:$A$731,$A364)</f>
        <v/>
      </c>
      <c r="J364" s="17">
        <f>SUMIFS(Source_Evolution!$J$3:$J$731,Source_Evolution!$A$3:$A$731,$A364)</f>
        <v/>
      </c>
      <c r="K364" s="17">
        <f>SUMIFS(Source_Evolution!$K$3:$K$731,Source_Evolution!$A$3:$A$731,$A364)</f>
        <v/>
      </c>
      <c r="L364" s="17">
        <f>SUMIFS(Source_Evolution!$L$3:$L$731,Source_Evolution!$A$3:$A$731,$A364)</f>
        <v/>
      </c>
      <c r="M364" s="17">
        <f>SUMIFS(Source_Evolution!$M$3:$M$731,Source_Evolution!$A$3:$A$731,$A364)</f>
        <v/>
      </c>
      <c r="N364" s="17">
        <f>SUMIFS(Source_Evolution!$N$3:$N$731,Source_Evolution!$A$3:$A$731,$A364)</f>
        <v/>
      </c>
      <c r="O364" s="17">
        <f>SUMIFS(Source_Evolution!$O$3:$O$731,Source_Evolution!$A$3:$A$731,$A364)</f>
        <v/>
      </c>
      <c r="P364" s="17">
        <f>SUMIFS(Source_Evolution!$P$3:$P$731,Source_Evolution!$A$3:$A$731,$A364)</f>
        <v/>
      </c>
      <c r="Q364" s="17">
        <f>SUMIFS(Source_Evolution!$Q$3:$Q$731,Source_Evolution!$A$3:$A$731,$A364)</f>
        <v/>
      </c>
      <c r="R364" s="17">
        <f>SUM(E364:Q364)</f>
        <v/>
      </c>
      <c r="S364" s="17">
        <f>Q364</f>
        <v/>
      </c>
      <c r="T364">
        <f>IF(B364="Software",1,0)</f>
        <v/>
      </c>
      <c r="U364" s="18">
        <f>SUMPRODUCT((Source_Evolution!$A$3:$A$731=$A364)*(Source_Evolution!$E$3:$E$731&gt;0))</f>
        <v/>
      </c>
      <c r="V364" s="18">
        <f>SUMPRODUCT((Source_Evolution!$A$3:$A$731=$A364)*(Source_Evolution!$F$3:$F$731&gt;0))</f>
        <v/>
      </c>
      <c r="W364" s="18">
        <f>SUMPRODUCT((Source_Evolution!$A$3:$A$731=$A364)*(Source_Evolution!$G$3:$G$731&gt;0))</f>
        <v/>
      </c>
      <c r="X364" s="18">
        <f>SUMPRODUCT((Source_Evolution!$A$3:$A$731=$A364)*(Source_Evolution!$H$3:$H$731&gt;0))</f>
        <v/>
      </c>
      <c r="Y364" s="18">
        <f>SUMPRODUCT((Source_Evolution!$A$3:$A$731=$A364)*(Source_Evolution!$I$3:$I$731&gt;0))</f>
        <v/>
      </c>
      <c r="Z364" s="18">
        <f>SUMPRODUCT((Source_Evolution!$A$3:$A$731=$A364)*(Source_Evolution!$J$3:$J$731&gt;0))</f>
        <v/>
      </c>
      <c r="AA364" s="18">
        <f>SUMPRODUCT((Source_Evolution!$A$3:$A$731=$A364)*(Source_Evolution!$K$3:$K$731&gt;0))</f>
        <v/>
      </c>
      <c r="AB364" s="18">
        <f>SUMPRODUCT((Source_Evolution!$A$3:$A$731=$A364)*(Source_Evolution!$L$3:$L$731&gt;0))</f>
        <v/>
      </c>
      <c r="AC364" s="18">
        <f>SUMPRODUCT((Source_Evolution!$A$3:$A$731=$A364)*(Source_Evolution!$M$3:$M$731&gt;0))</f>
        <v/>
      </c>
      <c r="AD364" s="18">
        <f>SUMPRODUCT((Source_Evolution!$A$3:$A$731=$A364)*(Source_Evolution!$N$3:$N$731&gt;0))</f>
        <v/>
      </c>
      <c r="AE364" s="18">
        <f>SUMPRODUCT((Source_Evolution!$A$3:$A$731=$A364)*(Source_Evolution!$O$3:$O$731&gt;0))</f>
        <v/>
      </c>
      <c r="AF364" s="18">
        <f>SUMPRODUCT((Source_Evolution!$A$3:$A$731=$A364)*(Source_Evolution!$P$3:$P$731&gt;0))</f>
        <v/>
      </c>
      <c r="AG364" s="18">
        <f>SUMPRODUCT((Source_Evolution!$A$3:$A$731=$A364)*(Source_Evolution!$Q$3:$Q$731&gt;0))</f>
        <v/>
      </c>
    </row>
    <row r="365">
      <c r="A365" t="inlineStr">
        <is>
          <t>Company 90</t>
        </is>
      </c>
      <c r="B365" t="inlineStr">
        <is>
          <t>Software</t>
        </is>
      </c>
      <c r="C365" t="inlineStr">
        <is>
          <t>Switzerland</t>
        </is>
      </c>
      <c r="D365" t="n">
        <v>2014</v>
      </c>
      <c r="E365" s="17">
        <f>SUMIFS(Source_Evolution!$E$3:$E$731,Source_Evolution!$A$3:$A$731,$A365)</f>
        <v/>
      </c>
      <c r="F365" s="17">
        <f>SUMIFS(Source_Evolution!$F$3:$F$731,Source_Evolution!$A$3:$A$731,$A365)</f>
        <v/>
      </c>
      <c r="G365" s="17">
        <f>SUMIFS(Source_Evolution!$G$3:$G$731,Source_Evolution!$A$3:$A$731,$A365)</f>
        <v/>
      </c>
      <c r="H365" s="17">
        <f>SUMIFS(Source_Evolution!$H$3:$H$731,Source_Evolution!$A$3:$A$731,$A365)</f>
        <v/>
      </c>
      <c r="I365" s="17">
        <f>SUMIFS(Source_Evolution!$I$3:$I$731,Source_Evolution!$A$3:$A$731,$A365)</f>
        <v/>
      </c>
      <c r="J365" s="17">
        <f>SUMIFS(Source_Evolution!$J$3:$J$731,Source_Evolution!$A$3:$A$731,$A365)</f>
        <v/>
      </c>
      <c r="K365" s="17">
        <f>SUMIFS(Source_Evolution!$K$3:$K$731,Source_Evolution!$A$3:$A$731,$A365)</f>
        <v/>
      </c>
      <c r="L365" s="17">
        <f>SUMIFS(Source_Evolution!$L$3:$L$731,Source_Evolution!$A$3:$A$731,$A365)</f>
        <v/>
      </c>
      <c r="M365" s="17">
        <f>SUMIFS(Source_Evolution!$M$3:$M$731,Source_Evolution!$A$3:$A$731,$A365)</f>
        <v/>
      </c>
      <c r="N365" s="17">
        <f>SUMIFS(Source_Evolution!$N$3:$N$731,Source_Evolution!$A$3:$A$731,$A365)</f>
        <v/>
      </c>
      <c r="O365" s="17">
        <f>SUMIFS(Source_Evolution!$O$3:$O$731,Source_Evolution!$A$3:$A$731,$A365)</f>
        <v/>
      </c>
      <c r="P365" s="17">
        <f>SUMIFS(Source_Evolution!$P$3:$P$731,Source_Evolution!$A$3:$A$731,$A365)</f>
        <v/>
      </c>
      <c r="Q365" s="17">
        <f>SUMIFS(Source_Evolution!$Q$3:$Q$731,Source_Evolution!$A$3:$A$731,$A365)</f>
        <v/>
      </c>
      <c r="R365" s="17">
        <f>SUM(E365:Q365)</f>
        <v/>
      </c>
      <c r="S365" s="17">
        <f>Q365</f>
        <v/>
      </c>
      <c r="T365">
        <f>IF(B365="Software",1,0)</f>
        <v/>
      </c>
      <c r="U365" s="18">
        <f>SUMPRODUCT((Source_Evolution!$A$3:$A$731=$A365)*(Source_Evolution!$E$3:$E$731&gt;0))</f>
        <v/>
      </c>
      <c r="V365" s="18">
        <f>SUMPRODUCT((Source_Evolution!$A$3:$A$731=$A365)*(Source_Evolution!$F$3:$F$731&gt;0))</f>
        <v/>
      </c>
      <c r="W365" s="18">
        <f>SUMPRODUCT((Source_Evolution!$A$3:$A$731=$A365)*(Source_Evolution!$G$3:$G$731&gt;0))</f>
        <v/>
      </c>
      <c r="X365" s="18">
        <f>SUMPRODUCT((Source_Evolution!$A$3:$A$731=$A365)*(Source_Evolution!$H$3:$H$731&gt;0))</f>
        <v/>
      </c>
      <c r="Y365" s="18">
        <f>SUMPRODUCT((Source_Evolution!$A$3:$A$731=$A365)*(Source_Evolution!$I$3:$I$731&gt;0))</f>
        <v/>
      </c>
      <c r="Z365" s="18">
        <f>SUMPRODUCT((Source_Evolution!$A$3:$A$731=$A365)*(Source_Evolution!$J$3:$J$731&gt;0))</f>
        <v/>
      </c>
      <c r="AA365" s="18">
        <f>SUMPRODUCT((Source_Evolution!$A$3:$A$731=$A365)*(Source_Evolution!$K$3:$K$731&gt;0))</f>
        <v/>
      </c>
      <c r="AB365" s="18">
        <f>SUMPRODUCT((Source_Evolution!$A$3:$A$731=$A365)*(Source_Evolution!$L$3:$L$731&gt;0))</f>
        <v/>
      </c>
      <c r="AC365" s="18">
        <f>SUMPRODUCT((Source_Evolution!$A$3:$A$731=$A365)*(Source_Evolution!$M$3:$M$731&gt;0))</f>
        <v/>
      </c>
      <c r="AD365" s="18">
        <f>SUMPRODUCT((Source_Evolution!$A$3:$A$731=$A365)*(Source_Evolution!$N$3:$N$731&gt;0))</f>
        <v/>
      </c>
      <c r="AE365" s="18">
        <f>SUMPRODUCT((Source_Evolution!$A$3:$A$731=$A365)*(Source_Evolution!$O$3:$O$731&gt;0))</f>
        <v/>
      </c>
      <c r="AF365" s="18">
        <f>SUMPRODUCT((Source_Evolution!$A$3:$A$731=$A365)*(Source_Evolution!$P$3:$P$731&gt;0))</f>
        <v/>
      </c>
      <c r="AG365" s="18">
        <f>SUMPRODUCT((Source_Evolution!$A$3:$A$731=$A365)*(Source_Evolution!$Q$3:$Q$731&gt;0))</f>
        <v/>
      </c>
    </row>
    <row r="366">
      <c r="A366" t="inlineStr">
        <is>
          <t>Company 91</t>
        </is>
      </c>
      <c r="B366" t="inlineStr">
        <is>
          <t>Software</t>
        </is>
      </c>
      <c r="C366" t="inlineStr">
        <is>
          <t>Germany</t>
        </is>
      </c>
      <c r="D366" t="n">
        <v>2014</v>
      </c>
      <c r="E366" s="17">
        <f>SUMIFS(Source_Evolution!$E$3:$E$731,Source_Evolution!$A$3:$A$731,$A366)</f>
        <v/>
      </c>
      <c r="F366" s="17">
        <f>SUMIFS(Source_Evolution!$F$3:$F$731,Source_Evolution!$A$3:$A$731,$A366)</f>
        <v/>
      </c>
      <c r="G366" s="17">
        <f>SUMIFS(Source_Evolution!$G$3:$G$731,Source_Evolution!$A$3:$A$731,$A366)</f>
        <v/>
      </c>
      <c r="H366" s="17">
        <f>SUMIFS(Source_Evolution!$H$3:$H$731,Source_Evolution!$A$3:$A$731,$A366)</f>
        <v/>
      </c>
      <c r="I366" s="17">
        <f>SUMIFS(Source_Evolution!$I$3:$I$731,Source_Evolution!$A$3:$A$731,$A366)</f>
        <v/>
      </c>
      <c r="J366" s="17">
        <f>SUMIFS(Source_Evolution!$J$3:$J$731,Source_Evolution!$A$3:$A$731,$A366)</f>
        <v/>
      </c>
      <c r="K366" s="17">
        <f>SUMIFS(Source_Evolution!$K$3:$K$731,Source_Evolution!$A$3:$A$731,$A366)</f>
        <v/>
      </c>
      <c r="L366" s="17">
        <f>SUMIFS(Source_Evolution!$L$3:$L$731,Source_Evolution!$A$3:$A$731,$A366)</f>
        <v/>
      </c>
      <c r="M366" s="17">
        <f>SUMIFS(Source_Evolution!$M$3:$M$731,Source_Evolution!$A$3:$A$731,$A366)</f>
        <v/>
      </c>
      <c r="N366" s="17">
        <f>SUMIFS(Source_Evolution!$N$3:$N$731,Source_Evolution!$A$3:$A$731,$A366)</f>
        <v/>
      </c>
      <c r="O366" s="17">
        <f>SUMIFS(Source_Evolution!$O$3:$O$731,Source_Evolution!$A$3:$A$731,$A366)</f>
        <v/>
      </c>
      <c r="P366" s="17">
        <f>SUMIFS(Source_Evolution!$P$3:$P$731,Source_Evolution!$A$3:$A$731,$A366)</f>
        <v/>
      </c>
      <c r="Q366" s="17">
        <f>SUMIFS(Source_Evolution!$Q$3:$Q$731,Source_Evolution!$A$3:$A$731,$A366)</f>
        <v/>
      </c>
      <c r="R366" s="17">
        <f>SUM(E366:Q366)</f>
        <v/>
      </c>
      <c r="S366" s="17">
        <f>Q366</f>
        <v/>
      </c>
      <c r="T366">
        <f>IF(B366="Software",1,0)</f>
        <v/>
      </c>
      <c r="U366" s="18">
        <f>SUMPRODUCT((Source_Evolution!$A$3:$A$731=$A366)*(Source_Evolution!$E$3:$E$731&gt;0))</f>
        <v/>
      </c>
      <c r="V366" s="18">
        <f>SUMPRODUCT((Source_Evolution!$A$3:$A$731=$A366)*(Source_Evolution!$F$3:$F$731&gt;0))</f>
        <v/>
      </c>
      <c r="W366" s="18">
        <f>SUMPRODUCT((Source_Evolution!$A$3:$A$731=$A366)*(Source_Evolution!$G$3:$G$731&gt;0))</f>
        <v/>
      </c>
      <c r="X366" s="18">
        <f>SUMPRODUCT((Source_Evolution!$A$3:$A$731=$A366)*(Source_Evolution!$H$3:$H$731&gt;0))</f>
        <v/>
      </c>
      <c r="Y366" s="18">
        <f>SUMPRODUCT((Source_Evolution!$A$3:$A$731=$A366)*(Source_Evolution!$I$3:$I$731&gt;0))</f>
        <v/>
      </c>
      <c r="Z366" s="18">
        <f>SUMPRODUCT((Source_Evolution!$A$3:$A$731=$A366)*(Source_Evolution!$J$3:$J$731&gt;0))</f>
        <v/>
      </c>
      <c r="AA366" s="18">
        <f>SUMPRODUCT((Source_Evolution!$A$3:$A$731=$A366)*(Source_Evolution!$K$3:$K$731&gt;0))</f>
        <v/>
      </c>
      <c r="AB366" s="18">
        <f>SUMPRODUCT((Source_Evolution!$A$3:$A$731=$A366)*(Source_Evolution!$L$3:$L$731&gt;0))</f>
        <v/>
      </c>
      <c r="AC366" s="18">
        <f>SUMPRODUCT((Source_Evolution!$A$3:$A$731=$A366)*(Source_Evolution!$M$3:$M$731&gt;0))</f>
        <v/>
      </c>
      <c r="AD366" s="18">
        <f>SUMPRODUCT((Source_Evolution!$A$3:$A$731=$A366)*(Source_Evolution!$N$3:$N$731&gt;0))</f>
        <v/>
      </c>
      <c r="AE366" s="18">
        <f>SUMPRODUCT((Source_Evolution!$A$3:$A$731=$A366)*(Source_Evolution!$O$3:$O$731&gt;0))</f>
        <v/>
      </c>
      <c r="AF366" s="18">
        <f>SUMPRODUCT((Source_Evolution!$A$3:$A$731=$A366)*(Source_Evolution!$P$3:$P$731&gt;0))</f>
        <v/>
      </c>
      <c r="AG366" s="18">
        <f>SUMPRODUCT((Source_Evolution!$A$3:$A$731=$A366)*(Source_Evolution!$Q$3:$Q$731&gt;0))</f>
        <v/>
      </c>
    </row>
    <row r="367">
      <c r="A367" t="inlineStr">
        <is>
          <t>Company 92</t>
        </is>
      </c>
      <c r="B367" t="inlineStr">
        <is>
          <t>Operations</t>
        </is>
      </c>
      <c r="C367" t="inlineStr">
        <is>
          <t>Switzerland</t>
        </is>
      </c>
      <c r="D367" t="n">
        <v>2014</v>
      </c>
      <c r="E367" s="17">
        <f>SUMIFS(Source_Evolution!$E$3:$E$731,Source_Evolution!$A$3:$A$731,$A367)</f>
        <v/>
      </c>
      <c r="F367" s="17">
        <f>SUMIFS(Source_Evolution!$F$3:$F$731,Source_Evolution!$A$3:$A$731,$A367)</f>
        <v/>
      </c>
      <c r="G367" s="17">
        <f>SUMIFS(Source_Evolution!$G$3:$G$731,Source_Evolution!$A$3:$A$731,$A367)</f>
        <v/>
      </c>
      <c r="H367" s="17">
        <f>SUMIFS(Source_Evolution!$H$3:$H$731,Source_Evolution!$A$3:$A$731,$A367)</f>
        <v/>
      </c>
      <c r="I367" s="17">
        <f>SUMIFS(Source_Evolution!$I$3:$I$731,Source_Evolution!$A$3:$A$731,$A367)</f>
        <v/>
      </c>
      <c r="J367" s="17">
        <f>SUMIFS(Source_Evolution!$J$3:$J$731,Source_Evolution!$A$3:$A$731,$A367)</f>
        <v/>
      </c>
      <c r="K367" s="17">
        <f>SUMIFS(Source_Evolution!$K$3:$K$731,Source_Evolution!$A$3:$A$731,$A367)</f>
        <v/>
      </c>
      <c r="L367" s="17">
        <f>SUMIFS(Source_Evolution!$L$3:$L$731,Source_Evolution!$A$3:$A$731,$A367)</f>
        <v/>
      </c>
      <c r="M367" s="17">
        <f>SUMIFS(Source_Evolution!$M$3:$M$731,Source_Evolution!$A$3:$A$731,$A367)</f>
        <v/>
      </c>
      <c r="N367" s="17">
        <f>SUMIFS(Source_Evolution!$N$3:$N$731,Source_Evolution!$A$3:$A$731,$A367)</f>
        <v/>
      </c>
      <c r="O367" s="17">
        <f>SUMIFS(Source_Evolution!$O$3:$O$731,Source_Evolution!$A$3:$A$731,$A367)</f>
        <v/>
      </c>
      <c r="P367" s="17">
        <f>SUMIFS(Source_Evolution!$P$3:$P$731,Source_Evolution!$A$3:$A$731,$A367)</f>
        <v/>
      </c>
      <c r="Q367" s="17">
        <f>SUMIFS(Source_Evolution!$Q$3:$Q$731,Source_Evolution!$A$3:$A$731,$A367)</f>
        <v/>
      </c>
      <c r="R367" s="17">
        <f>SUM(E367:Q367)</f>
        <v/>
      </c>
      <c r="S367" s="17">
        <f>Q367</f>
        <v/>
      </c>
      <c r="T367">
        <f>IF(B367="Software",1,0)</f>
        <v/>
      </c>
      <c r="U367" s="18">
        <f>SUMPRODUCT((Source_Evolution!$A$3:$A$731=$A367)*(Source_Evolution!$E$3:$E$731&gt;0))</f>
        <v/>
      </c>
      <c r="V367" s="18">
        <f>SUMPRODUCT((Source_Evolution!$A$3:$A$731=$A367)*(Source_Evolution!$F$3:$F$731&gt;0))</f>
        <v/>
      </c>
      <c r="W367" s="18">
        <f>SUMPRODUCT((Source_Evolution!$A$3:$A$731=$A367)*(Source_Evolution!$G$3:$G$731&gt;0))</f>
        <v/>
      </c>
      <c r="X367" s="18">
        <f>SUMPRODUCT((Source_Evolution!$A$3:$A$731=$A367)*(Source_Evolution!$H$3:$H$731&gt;0))</f>
        <v/>
      </c>
      <c r="Y367" s="18">
        <f>SUMPRODUCT((Source_Evolution!$A$3:$A$731=$A367)*(Source_Evolution!$I$3:$I$731&gt;0))</f>
        <v/>
      </c>
      <c r="Z367" s="18">
        <f>SUMPRODUCT((Source_Evolution!$A$3:$A$731=$A367)*(Source_Evolution!$J$3:$J$731&gt;0))</f>
        <v/>
      </c>
      <c r="AA367" s="18">
        <f>SUMPRODUCT((Source_Evolution!$A$3:$A$731=$A367)*(Source_Evolution!$K$3:$K$731&gt;0))</f>
        <v/>
      </c>
      <c r="AB367" s="18">
        <f>SUMPRODUCT((Source_Evolution!$A$3:$A$731=$A367)*(Source_Evolution!$L$3:$L$731&gt;0))</f>
        <v/>
      </c>
      <c r="AC367" s="18">
        <f>SUMPRODUCT((Source_Evolution!$A$3:$A$731=$A367)*(Source_Evolution!$M$3:$M$731&gt;0))</f>
        <v/>
      </c>
      <c r="AD367" s="18">
        <f>SUMPRODUCT((Source_Evolution!$A$3:$A$731=$A367)*(Source_Evolution!$N$3:$N$731&gt;0))</f>
        <v/>
      </c>
      <c r="AE367" s="18">
        <f>SUMPRODUCT((Source_Evolution!$A$3:$A$731=$A367)*(Source_Evolution!$O$3:$O$731&gt;0))</f>
        <v/>
      </c>
      <c r="AF367" s="18">
        <f>SUMPRODUCT((Source_Evolution!$A$3:$A$731=$A367)*(Source_Evolution!$P$3:$P$731&gt;0))</f>
        <v/>
      </c>
      <c r="AG367" s="18">
        <f>SUMPRODUCT((Source_Evolution!$A$3:$A$731=$A367)*(Source_Evolution!$Q$3:$Q$731&gt;0))</f>
        <v/>
      </c>
    </row>
    <row r="368">
      <c r="A368" t="inlineStr">
        <is>
          <t>Company 93</t>
        </is>
      </c>
      <c r="B368" t="inlineStr">
        <is>
          <t>Software</t>
        </is>
      </c>
      <c r="C368" t="inlineStr">
        <is>
          <t>Spain</t>
        </is>
      </c>
      <c r="D368" t="n">
        <v>2023</v>
      </c>
      <c r="E368" s="17">
        <f>SUMIFS(Source_Evolution!$E$3:$E$731,Source_Evolution!$A$3:$A$731,$A368)</f>
        <v/>
      </c>
      <c r="F368" s="17">
        <f>SUMIFS(Source_Evolution!$F$3:$F$731,Source_Evolution!$A$3:$A$731,$A368)</f>
        <v/>
      </c>
      <c r="G368" s="17">
        <f>SUMIFS(Source_Evolution!$G$3:$G$731,Source_Evolution!$A$3:$A$731,$A368)</f>
        <v/>
      </c>
      <c r="H368" s="17">
        <f>SUMIFS(Source_Evolution!$H$3:$H$731,Source_Evolution!$A$3:$A$731,$A368)</f>
        <v/>
      </c>
      <c r="I368" s="17">
        <f>SUMIFS(Source_Evolution!$I$3:$I$731,Source_Evolution!$A$3:$A$731,$A368)</f>
        <v/>
      </c>
      <c r="J368" s="17">
        <f>SUMIFS(Source_Evolution!$J$3:$J$731,Source_Evolution!$A$3:$A$731,$A368)</f>
        <v/>
      </c>
      <c r="K368" s="17">
        <f>SUMIFS(Source_Evolution!$K$3:$K$731,Source_Evolution!$A$3:$A$731,$A368)</f>
        <v/>
      </c>
      <c r="L368" s="17">
        <f>SUMIFS(Source_Evolution!$L$3:$L$731,Source_Evolution!$A$3:$A$731,$A368)</f>
        <v/>
      </c>
      <c r="M368" s="17">
        <f>SUMIFS(Source_Evolution!$M$3:$M$731,Source_Evolution!$A$3:$A$731,$A368)</f>
        <v/>
      </c>
      <c r="N368" s="17">
        <f>SUMIFS(Source_Evolution!$N$3:$N$731,Source_Evolution!$A$3:$A$731,$A368)</f>
        <v/>
      </c>
      <c r="O368" s="17">
        <f>SUMIFS(Source_Evolution!$O$3:$O$731,Source_Evolution!$A$3:$A$731,$A368)</f>
        <v/>
      </c>
      <c r="P368" s="17">
        <f>SUMIFS(Source_Evolution!$P$3:$P$731,Source_Evolution!$A$3:$A$731,$A368)</f>
        <v/>
      </c>
      <c r="Q368" s="17">
        <f>SUMIFS(Source_Evolution!$Q$3:$Q$731,Source_Evolution!$A$3:$A$731,$A368)</f>
        <v/>
      </c>
      <c r="R368" s="17">
        <f>SUM(E368:Q368)</f>
        <v/>
      </c>
      <c r="S368" s="17">
        <f>Q368</f>
        <v/>
      </c>
      <c r="T368">
        <f>IF(B368="Software",1,0)</f>
        <v/>
      </c>
      <c r="U368" s="18">
        <f>SUMPRODUCT((Source_Evolution!$A$3:$A$731=$A368)*(Source_Evolution!$E$3:$E$731&gt;0))</f>
        <v/>
      </c>
      <c r="V368" s="18">
        <f>SUMPRODUCT((Source_Evolution!$A$3:$A$731=$A368)*(Source_Evolution!$F$3:$F$731&gt;0))</f>
        <v/>
      </c>
      <c r="W368" s="18">
        <f>SUMPRODUCT((Source_Evolution!$A$3:$A$731=$A368)*(Source_Evolution!$G$3:$G$731&gt;0))</f>
        <v/>
      </c>
      <c r="X368" s="18">
        <f>SUMPRODUCT((Source_Evolution!$A$3:$A$731=$A368)*(Source_Evolution!$H$3:$H$731&gt;0))</f>
        <v/>
      </c>
      <c r="Y368" s="18">
        <f>SUMPRODUCT((Source_Evolution!$A$3:$A$731=$A368)*(Source_Evolution!$I$3:$I$731&gt;0))</f>
        <v/>
      </c>
      <c r="Z368" s="18">
        <f>SUMPRODUCT((Source_Evolution!$A$3:$A$731=$A368)*(Source_Evolution!$J$3:$J$731&gt;0))</f>
        <v/>
      </c>
      <c r="AA368" s="18">
        <f>SUMPRODUCT((Source_Evolution!$A$3:$A$731=$A368)*(Source_Evolution!$K$3:$K$731&gt;0))</f>
        <v/>
      </c>
      <c r="AB368" s="18">
        <f>SUMPRODUCT((Source_Evolution!$A$3:$A$731=$A368)*(Source_Evolution!$L$3:$L$731&gt;0))</f>
        <v/>
      </c>
      <c r="AC368" s="18">
        <f>SUMPRODUCT((Source_Evolution!$A$3:$A$731=$A368)*(Source_Evolution!$M$3:$M$731&gt;0))</f>
        <v/>
      </c>
      <c r="AD368" s="18">
        <f>SUMPRODUCT((Source_Evolution!$A$3:$A$731=$A368)*(Source_Evolution!$N$3:$N$731&gt;0))</f>
        <v/>
      </c>
      <c r="AE368" s="18">
        <f>SUMPRODUCT((Source_Evolution!$A$3:$A$731=$A368)*(Source_Evolution!$O$3:$O$731&gt;0))</f>
        <v/>
      </c>
      <c r="AF368" s="18">
        <f>SUMPRODUCT((Source_Evolution!$A$3:$A$731=$A368)*(Source_Evolution!$P$3:$P$731&gt;0))</f>
        <v/>
      </c>
      <c r="AG368" s="18">
        <f>SUMPRODUCT((Source_Evolution!$A$3:$A$731=$A368)*(Source_Evolution!$Q$3:$Q$731&gt;0))</f>
        <v/>
      </c>
    </row>
    <row r="369">
      <c r="A369" t="inlineStr">
        <is>
          <t>Company 94</t>
        </is>
      </c>
      <c r="B369" t="inlineStr">
        <is>
          <t>Software</t>
        </is>
      </c>
      <c r="C369" t="inlineStr">
        <is>
          <t>UK</t>
        </is>
      </c>
      <c r="D369" t="n">
        <v>2025</v>
      </c>
      <c r="E369" s="17">
        <f>SUMIFS(Source_Evolution!$E$3:$E$731,Source_Evolution!$A$3:$A$731,$A369)</f>
        <v/>
      </c>
      <c r="F369" s="17">
        <f>SUMIFS(Source_Evolution!$F$3:$F$731,Source_Evolution!$A$3:$A$731,$A369)</f>
        <v/>
      </c>
      <c r="G369" s="17">
        <f>SUMIFS(Source_Evolution!$G$3:$G$731,Source_Evolution!$A$3:$A$731,$A369)</f>
        <v/>
      </c>
      <c r="H369" s="17">
        <f>SUMIFS(Source_Evolution!$H$3:$H$731,Source_Evolution!$A$3:$A$731,$A369)</f>
        <v/>
      </c>
      <c r="I369" s="17">
        <f>SUMIFS(Source_Evolution!$I$3:$I$731,Source_Evolution!$A$3:$A$731,$A369)</f>
        <v/>
      </c>
      <c r="J369" s="17">
        <f>SUMIFS(Source_Evolution!$J$3:$J$731,Source_Evolution!$A$3:$A$731,$A369)</f>
        <v/>
      </c>
      <c r="K369" s="17">
        <f>SUMIFS(Source_Evolution!$K$3:$K$731,Source_Evolution!$A$3:$A$731,$A369)</f>
        <v/>
      </c>
      <c r="L369" s="17">
        <f>SUMIFS(Source_Evolution!$L$3:$L$731,Source_Evolution!$A$3:$A$731,$A369)</f>
        <v/>
      </c>
      <c r="M369" s="17">
        <f>SUMIFS(Source_Evolution!$M$3:$M$731,Source_Evolution!$A$3:$A$731,$A369)</f>
        <v/>
      </c>
      <c r="N369" s="17">
        <f>SUMIFS(Source_Evolution!$N$3:$N$731,Source_Evolution!$A$3:$A$731,$A369)</f>
        <v/>
      </c>
      <c r="O369" s="17">
        <f>SUMIFS(Source_Evolution!$O$3:$O$731,Source_Evolution!$A$3:$A$731,$A369)</f>
        <v/>
      </c>
      <c r="P369" s="17">
        <f>SUMIFS(Source_Evolution!$P$3:$P$731,Source_Evolution!$A$3:$A$731,$A369)</f>
        <v/>
      </c>
      <c r="Q369" s="17">
        <f>SUMIFS(Source_Evolution!$Q$3:$Q$731,Source_Evolution!$A$3:$A$731,$A369)</f>
        <v/>
      </c>
      <c r="R369" s="17">
        <f>SUM(E369:Q369)</f>
        <v/>
      </c>
      <c r="S369" s="17">
        <f>Q369</f>
        <v/>
      </c>
      <c r="T369">
        <f>IF(B369="Software",1,0)</f>
        <v/>
      </c>
      <c r="U369" s="18">
        <f>SUMPRODUCT((Source_Evolution!$A$3:$A$731=$A369)*(Source_Evolution!$E$3:$E$731&gt;0))</f>
        <v/>
      </c>
      <c r="V369" s="18">
        <f>SUMPRODUCT((Source_Evolution!$A$3:$A$731=$A369)*(Source_Evolution!$F$3:$F$731&gt;0))</f>
        <v/>
      </c>
      <c r="W369" s="18">
        <f>SUMPRODUCT((Source_Evolution!$A$3:$A$731=$A369)*(Source_Evolution!$G$3:$G$731&gt;0))</f>
        <v/>
      </c>
      <c r="X369" s="18">
        <f>SUMPRODUCT((Source_Evolution!$A$3:$A$731=$A369)*(Source_Evolution!$H$3:$H$731&gt;0))</f>
        <v/>
      </c>
      <c r="Y369" s="18">
        <f>SUMPRODUCT((Source_Evolution!$A$3:$A$731=$A369)*(Source_Evolution!$I$3:$I$731&gt;0))</f>
        <v/>
      </c>
      <c r="Z369" s="18">
        <f>SUMPRODUCT((Source_Evolution!$A$3:$A$731=$A369)*(Source_Evolution!$J$3:$J$731&gt;0))</f>
        <v/>
      </c>
      <c r="AA369" s="18">
        <f>SUMPRODUCT((Source_Evolution!$A$3:$A$731=$A369)*(Source_Evolution!$K$3:$K$731&gt;0))</f>
        <v/>
      </c>
      <c r="AB369" s="18">
        <f>SUMPRODUCT((Source_Evolution!$A$3:$A$731=$A369)*(Source_Evolution!$L$3:$L$731&gt;0))</f>
        <v/>
      </c>
      <c r="AC369" s="18">
        <f>SUMPRODUCT((Source_Evolution!$A$3:$A$731=$A369)*(Source_Evolution!$M$3:$M$731&gt;0))</f>
        <v/>
      </c>
      <c r="AD369" s="18">
        <f>SUMPRODUCT((Source_Evolution!$A$3:$A$731=$A369)*(Source_Evolution!$N$3:$N$731&gt;0))</f>
        <v/>
      </c>
      <c r="AE369" s="18">
        <f>SUMPRODUCT((Source_Evolution!$A$3:$A$731=$A369)*(Source_Evolution!$O$3:$O$731&gt;0))</f>
        <v/>
      </c>
      <c r="AF369" s="18">
        <f>SUMPRODUCT((Source_Evolution!$A$3:$A$731=$A369)*(Source_Evolution!$P$3:$P$731&gt;0))</f>
        <v/>
      </c>
      <c r="AG369" s="18">
        <f>SUMPRODUCT((Source_Evolution!$A$3:$A$731=$A369)*(Source_Evolution!$Q$3:$Q$731&gt;0))</f>
        <v/>
      </c>
    </row>
    <row r="370">
      <c r="A370" t="inlineStr">
        <is>
          <t>Company 95</t>
        </is>
      </c>
      <c r="B370" t="inlineStr">
        <is>
          <t>Software</t>
        </is>
      </c>
      <c r="C370" t="inlineStr">
        <is>
          <t>Germany</t>
        </is>
      </c>
      <c r="D370" t="n">
        <v>2020</v>
      </c>
      <c r="E370" s="17">
        <f>SUMIFS(Source_Evolution!$E$3:$E$731,Source_Evolution!$A$3:$A$731,$A370)</f>
        <v/>
      </c>
      <c r="F370" s="17">
        <f>SUMIFS(Source_Evolution!$F$3:$F$731,Source_Evolution!$A$3:$A$731,$A370)</f>
        <v/>
      </c>
      <c r="G370" s="17">
        <f>SUMIFS(Source_Evolution!$G$3:$G$731,Source_Evolution!$A$3:$A$731,$A370)</f>
        <v/>
      </c>
      <c r="H370" s="17">
        <f>SUMIFS(Source_Evolution!$H$3:$H$731,Source_Evolution!$A$3:$A$731,$A370)</f>
        <v/>
      </c>
      <c r="I370" s="17">
        <f>SUMIFS(Source_Evolution!$I$3:$I$731,Source_Evolution!$A$3:$A$731,$A370)</f>
        <v/>
      </c>
      <c r="J370" s="17">
        <f>SUMIFS(Source_Evolution!$J$3:$J$731,Source_Evolution!$A$3:$A$731,$A370)</f>
        <v/>
      </c>
      <c r="K370" s="17">
        <f>SUMIFS(Source_Evolution!$K$3:$K$731,Source_Evolution!$A$3:$A$731,$A370)</f>
        <v/>
      </c>
      <c r="L370" s="17">
        <f>SUMIFS(Source_Evolution!$L$3:$L$731,Source_Evolution!$A$3:$A$731,$A370)</f>
        <v/>
      </c>
      <c r="M370" s="17">
        <f>SUMIFS(Source_Evolution!$M$3:$M$731,Source_Evolution!$A$3:$A$731,$A370)</f>
        <v/>
      </c>
      <c r="N370" s="17">
        <f>SUMIFS(Source_Evolution!$N$3:$N$731,Source_Evolution!$A$3:$A$731,$A370)</f>
        <v/>
      </c>
      <c r="O370" s="17">
        <f>SUMIFS(Source_Evolution!$O$3:$O$731,Source_Evolution!$A$3:$A$731,$A370)</f>
        <v/>
      </c>
      <c r="P370" s="17">
        <f>SUMIFS(Source_Evolution!$P$3:$P$731,Source_Evolution!$A$3:$A$731,$A370)</f>
        <v/>
      </c>
      <c r="Q370" s="17">
        <f>SUMIFS(Source_Evolution!$Q$3:$Q$731,Source_Evolution!$A$3:$A$731,$A370)</f>
        <v/>
      </c>
      <c r="R370" s="17">
        <f>SUM(E370:Q370)</f>
        <v/>
      </c>
      <c r="S370" s="17">
        <f>Q370</f>
        <v/>
      </c>
      <c r="T370">
        <f>IF(B370="Software",1,0)</f>
        <v/>
      </c>
      <c r="U370" s="18">
        <f>SUMPRODUCT((Source_Evolution!$A$3:$A$731=$A370)*(Source_Evolution!$E$3:$E$731&gt;0))</f>
        <v/>
      </c>
      <c r="V370" s="18">
        <f>SUMPRODUCT((Source_Evolution!$A$3:$A$731=$A370)*(Source_Evolution!$F$3:$F$731&gt;0))</f>
        <v/>
      </c>
      <c r="W370" s="18">
        <f>SUMPRODUCT((Source_Evolution!$A$3:$A$731=$A370)*(Source_Evolution!$G$3:$G$731&gt;0))</f>
        <v/>
      </c>
      <c r="X370" s="18">
        <f>SUMPRODUCT((Source_Evolution!$A$3:$A$731=$A370)*(Source_Evolution!$H$3:$H$731&gt;0))</f>
        <v/>
      </c>
      <c r="Y370" s="18">
        <f>SUMPRODUCT((Source_Evolution!$A$3:$A$731=$A370)*(Source_Evolution!$I$3:$I$731&gt;0))</f>
        <v/>
      </c>
      <c r="Z370" s="18">
        <f>SUMPRODUCT((Source_Evolution!$A$3:$A$731=$A370)*(Source_Evolution!$J$3:$J$731&gt;0))</f>
        <v/>
      </c>
      <c r="AA370" s="18">
        <f>SUMPRODUCT((Source_Evolution!$A$3:$A$731=$A370)*(Source_Evolution!$K$3:$K$731&gt;0))</f>
        <v/>
      </c>
      <c r="AB370" s="18">
        <f>SUMPRODUCT((Source_Evolution!$A$3:$A$731=$A370)*(Source_Evolution!$L$3:$L$731&gt;0))</f>
        <v/>
      </c>
      <c r="AC370" s="18">
        <f>SUMPRODUCT((Source_Evolution!$A$3:$A$731=$A370)*(Source_Evolution!$M$3:$M$731&gt;0))</f>
        <v/>
      </c>
      <c r="AD370" s="18">
        <f>SUMPRODUCT((Source_Evolution!$A$3:$A$731=$A370)*(Source_Evolution!$N$3:$N$731&gt;0))</f>
        <v/>
      </c>
      <c r="AE370" s="18">
        <f>SUMPRODUCT((Source_Evolution!$A$3:$A$731=$A370)*(Source_Evolution!$O$3:$O$731&gt;0))</f>
        <v/>
      </c>
      <c r="AF370" s="18">
        <f>SUMPRODUCT((Source_Evolution!$A$3:$A$731=$A370)*(Source_Evolution!$P$3:$P$731&gt;0))</f>
        <v/>
      </c>
      <c r="AG370" s="18">
        <f>SUMPRODUCT((Source_Evolution!$A$3:$A$731=$A370)*(Source_Evolution!$Q$3:$Q$731&gt;0))</f>
        <v/>
      </c>
    </row>
    <row r="371">
      <c r="A371" t="inlineStr">
        <is>
          <t>Company 96</t>
        </is>
      </c>
      <c r="B371" t="inlineStr">
        <is>
          <t>Operations</t>
        </is>
      </c>
      <c r="C371" t="inlineStr">
        <is>
          <t>Germany</t>
        </is>
      </c>
      <c r="D371" t="n">
        <v>2015</v>
      </c>
      <c r="E371" s="17">
        <f>SUMIFS(Source_Evolution!$E$3:$E$731,Source_Evolution!$A$3:$A$731,$A371)</f>
        <v/>
      </c>
      <c r="F371" s="17">
        <f>SUMIFS(Source_Evolution!$F$3:$F$731,Source_Evolution!$A$3:$A$731,$A371)</f>
        <v/>
      </c>
      <c r="G371" s="17">
        <f>SUMIFS(Source_Evolution!$G$3:$G$731,Source_Evolution!$A$3:$A$731,$A371)</f>
        <v/>
      </c>
      <c r="H371" s="17">
        <f>SUMIFS(Source_Evolution!$H$3:$H$731,Source_Evolution!$A$3:$A$731,$A371)</f>
        <v/>
      </c>
      <c r="I371" s="17">
        <f>SUMIFS(Source_Evolution!$I$3:$I$731,Source_Evolution!$A$3:$A$731,$A371)</f>
        <v/>
      </c>
      <c r="J371" s="17">
        <f>SUMIFS(Source_Evolution!$J$3:$J$731,Source_Evolution!$A$3:$A$731,$A371)</f>
        <v/>
      </c>
      <c r="K371" s="17">
        <f>SUMIFS(Source_Evolution!$K$3:$K$731,Source_Evolution!$A$3:$A$731,$A371)</f>
        <v/>
      </c>
      <c r="L371" s="17">
        <f>SUMIFS(Source_Evolution!$L$3:$L$731,Source_Evolution!$A$3:$A$731,$A371)</f>
        <v/>
      </c>
      <c r="M371" s="17">
        <f>SUMIFS(Source_Evolution!$M$3:$M$731,Source_Evolution!$A$3:$A$731,$A371)</f>
        <v/>
      </c>
      <c r="N371" s="17">
        <f>SUMIFS(Source_Evolution!$N$3:$N$731,Source_Evolution!$A$3:$A$731,$A371)</f>
        <v/>
      </c>
      <c r="O371" s="17">
        <f>SUMIFS(Source_Evolution!$O$3:$O$731,Source_Evolution!$A$3:$A$731,$A371)</f>
        <v/>
      </c>
      <c r="P371" s="17">
        <f>SUMIFS(Source_Evolution!$P$3:$P$731,Source_Evolution!$A$3:$A$731,$A371)</f>
        <v/>
      </c>
      <c r="Q371" s="17">
        <f>SUMIFS(Source_Evolution!$Q$3:$Q$731,Source_Evolution!$A$3:$A$731,$A371)</f>
        <v/>
      </c>
      <c r="R371" s="17">
        <f>SUM(E371:Q371)</f>
        <v/>
      </c>
      <c r="S371" s="17">
        <f>Q371</f>
        <v/>
      </c>
      <c r="T371">
        <f>IF(B371="Software",1,0)</f>
        <v/>
      </c>
      <c r="U371" s="18">
        <f>SUMPRODUCT((Source_Evolution!$A$3:$A$731=$A371)*(Source_Evolution!$E$3:$E$731&gt;0))</f>
        <v/>
      </c>
      <c r="V371" s="18">
        <f>SUMPRODUCT((Source_Evolution!$A$3:$A$731=$A371)*(Source_Evolution!$F$3:$F$731&gt;0))</f>
        <v/>
      </c>
      <c r="W371" s="18">
        <f>SUMPRODUCT((Source_Evolution!$A$3:$A$731=$A371)*(Source_Evolution!$G$3:$G$731&gt;0))</f>
        <v/>
      </c>
      <c r="X371" s="18">
        <f>SUMPRODUCT((Source_Evolution!$A$3:$A$731=$A371)*(Source_Evolution!$H$3:$H$731&gt;0))</f>
        <v/>
      </c>
      <c r="Y371" s="18">
        <f>SUMPRODUCT((Source_Evolution!$A$3:$A$731=$A371)*(Source_Evolution!$I$3:$I$731&gt;0))</f>
        <v/>
      </c>
      <c r="Z371" s="18">
        <f>SUMPRODUCT((Source_Evolution!$A$3:$A$731=$A371)*(Source_Evolution!$J$3:$J$731&gt;0))</f>
        <v/>
      </c>
      <c r="AA371" s="18">
        <f>SUMPRODUCT((Source_Evolution!$A$3:$A$731=$A371)*(Source_Evolution!$K$3:$K$731&gt;0))</f>
        <v/>
      </c>
      <c r="AB371" s="18">
        <f>SUMPRODUCT((Source_Evolution!$A$3:$A$731=$A371)*(Source_Evolution!$L$3:$L$731&gt;0))</f>
        <v/>
      </c>
      <c r="AC371" s="18">
        <f>SUMPRODUCT((Source_Evolution!$A$3:$A$731=$A371)*(Source_Evolution!$M$3:$M$731&gt;0))</f>
        <v/>
      </c>
      <c r="AD371" s="18">
        <f>SUMPRODUCT((Source_Evolution!$A$3:$A$731=$A371)*(Source_Evolution!$N$3:$N$731&gt;0))</f>
        <v/>
      </c>
      <c r="AE371" s="18">
        <f>SUMPRODUCT((Source_Evolution!$A$3:$A$731=$A371)*(Source_Evolution!$O$3:$O$731&gt;0))</f>
        <v/>
      </c>
      <c r="AF371" s="18">
        <f>SUMPRODUCT((Source_Evolution!$A$3:$A$731=$A371)*(Source_Evolution!$P$3:$P$731&gt;0))</f>
        <v/>
      </c>
      <c r="AG371" s="18">
        <f>SUMPRODUCT((Source_Evolution!$A$3:$A$731=$A371)*(Source_Evolution!$Q$3:$Q$731&gt;0))</f>
        <v/>
      </c>
    </row>
    <row r="372">
      <c r="A372" t="inlineStr">
        <is>
          <t>Company 97</t>
        </is>
      </c>
      <c r="B372" t="inlineStr">
        <is>
          <t>Operations</t>
        </is>
      </c>
      <c r="C372" t="inlineStr">
        <is>
          <t>Switzerland</t>
        </is>
      </c>
      <c r="D372" t="n">
        <v>2017</v>
      </c>
      <c r="E372" s="17">
        <f>SUMIFS(Source_Evolution!$E$3:$E$731,Source_Evolution!$A$3:$A$731,$A372)</f>
        <v/>
      </c>
      <c r="F372" s="17">
        <f>SUMIFS(Source_Evolution!$F$3:$F$731,Source_Evolution!$A$3:$A$731,$A372)</f>
        <v/>
      </c>
      <c r="G372" s="17">
        <f>SUMIFS(Source_Evolution!$G$3:$G$731,Source_Evolution!$A$3:$A$731,$A372)</f>
        <v/>
      </c>
      <c r="H372" s="17">
        <f>SUMIFS(Source_Evolution!$H$3:$H$731,Source_Evolution!$A$3:$A$731,$A372)</f>
        <v/>
      </c>
      <c r="I372" s="17">
        <f>SUMIFS(Source_Evolution!$I$3:$I$731,Source_Evolution!$A$3:$A$731,$A372)</f>
        <v/>
      </c>
      <c r="J372" s="17">
        <f>SUMIFS(Source_Evolution!$J$3:$J$731,Source_Evolution!$A$3:$A$731,$A372)</f>
        <v/>
      </c>
      <c r="K372" s="17">
        <f>SUMIFS(Source_Evolution!$K$3:$K$731,Source_Evolution!$A$3:$A$731,$A372)</f>
        <v/>
      </c>
      <c r="L372" s="17">
        <f>SUMIFS(Source_Evolution!$L$3:$L$731,Source_Evolution!$A$3:$A$731,$A372)</f>
        <v/>
      </c>
      <c r="M372" s="17">
        <f>SUMIFS(Source_Evolution!$M$3:$M$731,Source_Evolution!$A$3:$A$731,$A372)</f>
        <v/>
      </c>
      <c r="N372" s="17">
        <f>SUMIFS(Source_Evolution!$N$3:$N$731,Source_Evolution!$A$3:$A$731,$A372)</f>
        <v/>
      </c>
      <c r="O372" s="17">
        <f>SUMIFS(Source_Evolution!$O$3:$O$731,Source_Evolution!$A$3:$A$731,$A372)</f>
        <v/>
      </c>
      <c r="P372" s="17">
        <f>SUMIFS(Source_Evolution!$P$3:$P$731,Source_Evolution!$A$3:$A$731,$A372)</f>
        <v/>
      </c>
      <c r="Q372" s="17">
        <f>SUMIFS(Source_Evolution!$Q$3:$Q$731,Source_Evolution!$A$3:$A$731,$A372)</f>
        <v/>
      </c>
      <c r="R372" s="17">
        <f>SUM(E372:Q372)</f>
        <v/>
      </c>
      <c r="S372" s="17">
        <f>Q372</f>
        <v/>
      </c>
      <c r="T372">
        <f>IF(B372="Software",1,0)</f>
        <v/>
      </c>
      <c r="U372" s="18">
        <f>SUMPRODUCT((Source_Evolution!$A$3:$A$731=$A372)*(Source_Evolution!$E$3:$E$731&gt;0))</f>
        <v/>
      </c>
      <c r="V372" s="18">
        <f>SUMPRODUCT((Source_Evolution!$A$3:$A$731=$A372)*(Source_Evolution!$F$3:$F$731&gt;0))</f>
        <v/>
      </c>
      <c r="W372" s="18">
        <f>SUMPRODUCT((Source_Evolution!$A$3:$A$731=$A372)*(Source_Evolution!$G$3:$G$731&gt;0))</f>
        <v/>
      </c>
      <c r="X372" s="18">
        <f>SUMPRODUCT((Source_Evolution!$A$3:$A$731=$A372)*(Source_Evolution!$H$3:$H$731&gt;0))</f>
        <v/>
      </c>
      <c r="Y372" s="18">
        <f>SUMPRODUCT((Source_Evolution!$A$3:$A$731=$A372)*(Source_Evolution!$I$3:$I$731&gt;0))</f>
        <v/>
      </c>
      <c r="Z372" s="18">
        <f>SUMPRODUCT((Source_Evolution!$A$3:$A$731=$A372)*(Source_Evolution!$J$3:$J$731&gt;0))</f>
        <v/>
      </c>
      <c r="AA372" s="18">
        <f>SUMPRODUCT((Source_Evolution!$A$3:$A$731=$A372)*(Source_Evolution!$K$3:$K$731&gt;0))</f>
        <v/>
      </c>
      <c r="AB372" s="18">
        <f>SUMPRODUCT((Source_Evolution!$A$3:$A$731=$A372)*(Source_Evolution!$L$3:$L$731&gt;0))</f>
        <v/>
      </c>
      <c r="AC372" s="18">
        <f>SUMPRODUCT((Source_Evolution!$A$3:$A$731=$A372)*(Source_Evolution!$M$3:$M$731&gt;0))</f>
        <v/>
      </c>
      <c r="AD372" s="18">
        <f>SUMPRODUCT((Source_Evolution!$A$3:$A$731=$A372)*(Source_Evolution!$N$3:$N$731&gt;0))</f>
        <v/>
      </c>
      <c r="AE372" s="18">
        <f>SUMPRODUCT((Source_Evolution!$A$3:$A$731=$A372)*(Source_Evolution!$O$3:$O$731&gt;0))</f>
        <v/>
      </c>
      <c r="AF372" s="18">
        <f>SUMPRODUCT((Source_Evolution!$A$3:$A$731=$A372)*(Source_Evolution!$P$3:$P$731&gt;0))</f>
        <v/>
      </c>
      <c r="AG372" s="18">
        <f>SUMPRODUCT((Source_Evolution!$A$3:$A$731=$A372)*(Source_Evolution!$Q$3:$Q$731&gt;0))</f>
        <v/>
      </c>
    </row>
    <row r="373">
      <c r="A373" t="inlineStr">
        <is>
          <t>Company 98</t>
        </is>
      </c>
      <c r="B373" t="inlineStr">
        <is>
          <t>Software</t>
        </is>
      </c>
      <c r="C373" t="inlineStr">
        <is>
          <t>UK</t>
        </is>
      </c>
      <c r="D373" t="n">
        <v>2020</v>
      </c>
      <c r="E373" s="17">
        <f>SUMIFS(Source_Evolution!$E$3:$E$731,Source_Evolution!$A$3:$A$731,$A373)</f>
        <v/>
      </c>
      <c r="F373" s="17">
        <f>SUMIFS(Source_Evolution!$F$3:$F$731,Source_Evolution!$A$3:$A$731,$A373)</f>
        <v/>
      </c>
      <c r="G373" s="17">
        <f>SUMIFS(Source_Evolution!$G$3:$G$731,Source_Evolution!$A$3:$A$731,$A373)</f>
        <v/>
      </c>
      <c r="H373" s="17">
        <f>SUMIFS(Source_Evolution!$H$3:$H$731,Source_Evolution!$A$3:$A$731,$A373)</f>
        <v/>
      </c>
      <c r="I373" s="17">
        <f>SUMIFS(Source_Evolution!$I$3:$I$731,Source_Evolution!$A$3:$A$731,$A373)</f>
        <v/>
      </c>
      <c r="J373" s="17">
        <f>SUMIFS(Source_Evolution!$J$3:$J$731,Source_Evolution!$A$3:$A$731,$A373)</f>
        <v/>
      </c>
      <c r="K373" s="17">
        <f>SUMIFS(Source_Evolution!$K$3:$K$731,Source_Evolution!$A$3:$A$731,$A373)</f>
        <v/>
      </c>
      <c r="L373" s="17">
        <f>SUMIFS(Source_Evolution!$L$3:$L$731,Source_Evolution!$A$3:$A$731,$A373)</f>
        <v/>
      </c>
      <c r="M373" s="17">
        <f>SUMIFS(Source_Evolution!$M$3:$M$731,Source_Evolution!$A$3:$A$731,$A373)</f>
        <v/>
      </c>
      <c r="N373" s="17">
        <f>SUMIFS(Source_Evolution!$N$3:$N$731,Source_Evolution!$A$3:$A$731,$A373)</f>
        <v/>
      </c>
      <c r="O373" s="17">
        <f>SUMIFS(Source_Evolution!$O$3:$O$731,Source_Evolution!$A$3:$A$731,$A373)</f>
        <v/>
      </c>
      <c r="P373" s="17">
        <f>SUMIFS(Source_Evolution!$P$3:$P$731,Source_Evolution!$A$3:$A$731,$A373)</f>
        <v/>
      </c>
      <c r="Q373" s="17">
        <f>SUMIFS(Source_Evolution!$Q$3:$Q$731,Source_Evolution!$A$3:$A$731,$A373)</f>
        <v/>
      </c>
      <c r="R373" s="17">
        <f>SUM(E373:Q373)</f>
        <v/>
      </c>
      <c r="S373" s="17">
        <f>Q373</f>
        <v/>
      </c>
      <c r="T373">
        <f>IF(B373="Software",1,0)</f>
        <v/>
      </c>
      <c r="U373" s="18">
        <f>SUMPRODUCT((Source_Evolution!$A$3:$A$731=$A373)*(Source_Evolution!$E$3:$E$731&gt;0))</f>
        <v/>
      </c>
      <c r="V373" s="18">
        <f>SUMPRODUCT((Source_Evolution!$A$3:$A$731=$A373)*(Source_Evolution!$F$3:$F$731&gt;0))</f>
        <v/>
      </c>
      <c r="W373" s="18">
        <f>SUMPRODUCT((Source_Evolution!$A$3:$A$731=$A373)*(Source_Evolution!$G$3:$G$731&gt;0))</f>
        <v/>
      </c>
      <c r="X373" s="18">
        <f>SUMPRODUCT((Source_Evolution!$A$3:$A$731=$A373)*(Source_Evolution!$H$3:$H$731&gt;0))</f>
        <v/>
      </c>
      <c r="Y373" s="18">
        <f>SUMPRODUCT((Source_Evolution!$A$3:$A$731=$A373)*(Source_Evolution!$I$3:$I$731&gt;0))</f>
        <v/>
      </c>
      <c r="Z373" s="18">
        <f>SUMPRODUCT((Source_Evolution!$A$3:$A$731=$A373)*(Source_Evolution!$J$3:$J$731&gt;0))</f>
        <v/>
      </c>
      <c r="AA373" s="18">
        <f>SUMPRODUCT((Source_Evolution!$A$3:$A$731=$A373)*(Source_Evolution!$K$3:$K$731&gt;0))</f>
        <v/>
      </c>
      <c r="AB373" s="18">
        <f>SUMPRODUCT((Source_Evolution!$A$3:$A$731=$A373)*(Source_Evolution!$L$3:$L$731&gt;0))</f>
        <v/>
      </c>
      <c r="AC373" s="18">
        <f>SUMPRODUCT((Source_Evolution!$A$3:$A$731=$A373)*(Source_Evolution!$M$3:$M$731&gt;0))</f>
        <v/>
      </c>
      <c r="AD373" s="18">
        <f>SUMPRODUCT((Source_Evolution!$A$3:$A$731=$A373)*(Source_Evolution!$N$3:$N$731&gt;0))</f>
        <v/>
      </c>
      <c r="AE373" s="18">
        <f>SUMPRODUCT((Source_Evolution!$A$3:$A$731=$A373)*(Source_Evolution!$O$3:$O$731&gt;0))</f>
        <v/>
      </c>
      <c r="AF373" s="18">
        <f>SUMPRODUCT((Source_Evolution!$A$3:$A$731=$A373)*(Source_Evolution!$P$3:$P$731&gt;0))</f>
        <v/>
      </c>
      <c r="AG373" s="18">
        <f>SUMPRODUCT((Source_Evolution!$A$3:$A$731=$A373)*(Source_Evolution!$Q$3:$Q$731&gt;0))</f>
        <v/>
      </c>
    </row>
    <row r="374">
      <c r="A374" t="inlineStr">
        <is>
          <t>Company 99</t>
        </is>
      </c>
      <c r="B374" t="inlineStr">
        <is>
          <t>Software</t>
        </is>
      </c>
      <c r="C374" t="inlineStr">
        <is>
          <t>France</t>
        </is>
      </c>
      <c r="D374" t="n">
        <v>2022</v>
      </c>
      <c r="E374" s="17">
        <f>SUMIFS(Source_Evolution!$E$3:$E$731,Source_Evolution!$A$3:$A$731,$A374)</f>
        <v/>
      </c>
      <c r="F374" s="17">
        <f>SUMIFS(Source_Evolution!$F$3:$F$731,Source_Evolution!$A$3:$A$731,$A374)</f>
        <v/>
      </c>
      <c r="G374" s="17">
        <f>SUMIFS(Source_Evolution!$G$3:$G$731,Source_Evolution!$A$3:$A$731,$A374)</f>
        <v/>
      </c>
      <c r="H374" s="17">
        <f>SUMIFS(Source_Evolution!$H$3:$H$731,Source_Evolution!$A$3:$A$731,$A374)</f>
        <v/>
      </c>
      <c r="I374" s="17">
        <f>SUMIFS(Source_Evolution!$I$3:$I$731,Source_Evolution!$A$3:$A$731,$A374)</f>
        <v/>
      </c>
      <c r="J374" s="17">
        <f>SUMIFS(Source_Evolution!$J$3:$J$731,Source_Evolution!$A$3:$A$731,$A374)</f>
        <v/>
      </c>
      <c r="K374" s="17">
        <f>SUMIFS(Source_Evolution!$K$3:$K$731,Source_Evolution!$A$3:$A$731,$A374)</f>
        <v/>
      </c>
      <c r="L374" s="17">
        <f>SUMIFS(Source_Evolution!$L$3:$L$731,Source_Evolution!$A$3:$A$731,$A374)</f>
        <v/>
      </c>
      <c r="M374" s="17">
        <f>SUMIFS(Source_Evolution!$M$3:$M$731,Source_Evolution!$A$3:$A$731,$A374)</f>
        <v/>
      </c>
      <c r="N374" s="17">
        <f>SUMIFS(Source_Evolution!$N$3:$N$731,Source_Evolution!$A$3:$A$731,$A374)</f>
        <v/>
      </c>
      <c r="O374" s="17">
        <f>SUMIFS(Source_Evolution!$O$3:$O$731,Source_Evolution!$A$3:$A$731,$A374)</f>
        <v/>
      </c>
      <c r="P374" s="17">
        <f>SUMIFS(Source_Evolution!$P$3:$P$731,Source_Evolution!$A$3:$A$731,$A374)</f>
        <v/>
      </c>
      <c r="Q374" s="17">
        <f>SUMIFS(Source_Evolution!$Q$3:$Q$731,Source_Evolution!$A$3:$A$731,$A374)</f>
        <v/>
      </c>
      <c r="R374" s="17">
        <f>SUM(E374:Q374)</f>
        <v/>
      </c>
      <c r="S374" s="17">
        <f>Q374</f>
        <v/>
      </c>
      <c r="T374">
        <f>IF(B374="Software",1,0)</f>
        <v/>
      </c>
      <c r="U374" s="18">
        <f>SUMPRODUCT((Source_Evolution!$A$3:$A$731=$A374)*(Source_Evolution!$E$3:$E$731&gt;0))</f>
        <v/>
      </c>
      <c r="V374" s="18">
        <f>SUMPRODUCT((Source_Evolution!$A$3:$A$731=$A374)*(Source_Evolution!$F$3:$F$731&gt;0))</f>
        <v/>
      </c>
      <c r="W374" s="18">
        <f>SUMPRODUCT((Source_Evolution!$A$3:$A$731=$A374)*(Source_Evolution!$G$3:$G$731&gt;0))</f>
        <v/>
      </c>
      <c r="X374" s="18">
        <f>SUMPRODUCT((Source_Evolution!$A$3:$A$731=$A374)*(Source_Evolution!$H$3:$H$731&gt;0))</f>
        <v/>
      </c>
      <c r="Y374" s="18">
        <f>SUMPRODUCT((Source_Evolution!$A$3:$A$731=$A374)*(Source_Evolution!$I$3:$I$731&gt;0))</f>
        <v/>
      </c>
      <c r="Z374" s="18">
        <f>SUMPRODUCT((Source_Evolution!$A$3:$A$731=$A374)*(Source_Evolution!$J$3:$J$731&gt;0))</f>
        <v/>
      </c>
      <c r="AA374" s="18">
        <f>SUMPRODUCT((Source_Evolution!$A$3:$A$731=$A374)*(Source_Evolution!$K$3:$K$731&gt;0))</f>
        <v/>
      </c>
      <c r="AB374" s="18">
        <f>SUMPRODUCT((Source_Evolution!$A$3:$A$731=$A374)*(Source_Evolution!$L$3:$L$731&gt;0))</f>
        <v/>
      </c>
      <c r="AC374" s="18">
        <f>SUMPRODUCT((Source_Evolution!$A$3:$A$731=$A374)*(Source_Evolution!$M$3:$M$731&gt;0))</f>
        <v/>
      </c>
      <c r="AD374" s="18">
        <f>SUMPRODUCT((Source_Evolution!$A$3:$A$731=$A374)*(Source_Evolution!$N$3:$N$731&gt;0))</f>
        <v/>
      </c>
      <c r="AE374" s="18">
        <f>SUMPRODUCT((Source_Evolution!$A$3:$A$731=$A374)*(Source_Evolution!$O$3:$O$731&gt;0))</f>
        <v/>
      </c>
      <c r="AF374" s="18">
        <f>SUMPRODUCT((Source_Evolution!$A$3:$A$731=$A374)*(Source_Evolution!$P$3:$P$731&gt;0))</f>
        <v/>
      </c>
      <c r="AG374" s="18">
        <f>SUMPRODUCT((Source_Evolution!$A$3:$A$731=$A374)*(Source_Evolution!$Q$3:$Q$731&gt;0))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6B800"/>
    <outlinePr summaryBelow="1" summaryRight="1"/>
    <pageSetUpPr/>
  </sheetPr>
  <dimension ref="A1:Q73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5" t="inlineStr">
        <is>
          <t>Source: GMSL_Revenue_Lines_Clip.xlsx — tab 'Evolution' — 729 revenue lines, 372 clients, GBP, provided 5 Apr 2026</t>
        </is>
      </c>
    </row>
    <row r="2">
      <c r="A2" s="3" t="inlineStr">
        <is>
          <t>Client</t>
        </is>
      </c>
      <c r="B2" s="3" t="inlineStr">
        <is>
          <t>Dept</t>
        </is>
      </c>
      <c r="C2" s="3" t="inlineStr">
        <is>
          <t>Product</t>
        </is>
      </c>
      <c r="D2" s="3" t="inlineStr">
        <is>
          <t>Country</t>
        </is>
      </c>
      <c r="E2" s="3" t="inlineStr">
        <is>
          <t>FY2014A</t>
        </is>
      </c>
      <c r="F2" s="3" t="inlineStr">
        <is>
          <t>FY2015A</t>
        </is>
      </c>
      <c r="G2" s="3" t="inlineStr">
        <is>
          <t>FY2016A</t>
        </is>
      </c>
      <c r="H2" s="3" t="inlineStr">
        <is>
          <t>FY2017A</t>
        </is>
      </c>
      <c r="I2" s="3" t="inlineStr">
        <is>
          <t>FY2018A</t>
        </is>
      </c>
      <c r="J2" s="3" t="inlineStr">
        <is>
          <t>FY2019A</t>
        </is>
      </c>
      <c r="K2" s="3" t="inlineStr">
        <is>
          <t>FY2020A</t>
        </is>
      </c>
      <c r="L2" s="3" t="inlineStr">
        <is>
          <t>FY2021A</t>
        </is>
      </c>
      <c r="M2" s="3" t="inlineStr">
        <is>
          <t>FY2022A</t>
        </is>
      </c>
      <c r="N2" s="3" t="inlineStr">
        <is>
          <t>FY2023A</t>
        </is>
      </c>
      <c r="O2" s="3" t="inlineStr">
        <is>
          <t>FY2024A</t>
        </is>
      </c>
      <c r="P2" s="3" t="inlineStr">
        <is>
          <t>FY2025A</t>
        </is>
      </c>
      <c r="Q2" s="3" t="inlineStr">
        <is>
          <t>FY2026A</t>
        </is>
      </c>
    </row>
    <row r="3">
      <c r="A3" s="19" t="inlineStr">
        <is>
          <t>Company 1</t>
        </is>
      </c>
      <c r="B3" s="19" t="inlineStr">
        <is>
          <t>Software</t>
        </is>
      </c>
      <c r="C3" s="19" t="inlineStr">
        <is>
          <t>CodeRunner</t>
        </is>
      </c>
      <c r="D3" s="19" t="inlineStr">
        <is>
          <t>UK</t>
        </is>
      </c>
      <c r="E3" s="20" t="n">
        <v>15000</v>
      </c>
      <c r="F3" s="20" t="n">
        <v>15000</v>
      </c>
      <c r="G3" s="20" t="n">
        <v>15000</v>
      </c>
      <c r="H3" s="20" t="n">
        <v>15000</v>
      </c>
      <c r="I3" s="20" t="n">
        <v>15000</v>
      </c>
      <c r="J3" s="20" t="n">
        <v>22692.5</v>
      </c>
      <c r="K3" s="20" t="n">
        <v>15000</v>
      </c>
      <c r="L3" s="20" t="n">
        <v>15000</v>
      </c>
      <c r="M3" s="20" t="n">
        <v>15000</v>
      </c>
      <c r="N3" s="20" t="n">
        <v>1250</v>
      </c>
      <c r="O3" s="20" t="n">
        <v>1250</v>
      </c>
      <c r="P3" s="20" t="n">
        <v>15000</v>
      </c>
      <c r="Q3" s="20" t="n">
        <v>15150</v>
      </c>
    </row>
    <row r="4">
      <c r="A4" s="19" t="inlineStr">
        <is>
          <t>Company 2</t>
        </is>
      </c>
      <c r="B4" s="19" t="inlineStr">
        <is>
          <t>Software</t>
        </is>
      </c>
      <c r="C4" s="19" t="inlineStr">
        <is>
          <t>ENOM+</t>
        </is>
      </c>
      <c r="D4" s="19" t="inlineStr">
        <is>
          <t>Switzerland</t>
        </is>
      </c>
      <c r="E4" s="20" t="n">
        <v>17641.12</v>
      </c>
      <c r="F4" s="20" t="n">
        <v>15939.91</v>
      </c>
      <c r="G4" s="20" t="n">
        <v>16029.51</v>
      </c>
      <c r="H4" s="20" t="n">
        <v>18152.05</v>
      </c>
      <c r="I4" s="20" t="n">
        <v>18643.24</v>
      </c>
      <c r="J4" s="20" t="n">
        <v>18745.32</v>
      </c>
      <c r="K4" s="20" t="n">
        <v>18864.36</v>
      </c>
      <c r="L4" s="20" t="n">
        <v>18864.36</v>
      </c>
      <c r="M4" s="20" t="n">
        <v>18892.53</v>
      </c>
      <c r="N4" s="20" t="n">
        <v>19214.88</v>
      </c>
      <c r="O4" s="20" t="n">
        <v>19772.75632478633</v>
      </c>
      <c r="P4" s="20" t="n">
        <v>20356.48</v>
      </c>
      <c r="Q4" s="20" t="n">
        <v>20261.97263868067</v>
      </c>
    </row>
    <row r="5">
      <c r="A5" s="19" t="inlineStr">
        <is>
          <t>Company 2</t>
        </is>
      </c>
      <c r="B5" s="19" t="inlineStr">
        <is>
          <t>Software</t>
        </is>
      </c>
      <c r="C5" s="19" t="inlineStr">
        <is>
          <t>Hosting</t>
        </is>
      </c>
      <c r="D5" s="19" t="inlineStr">
        <is>
          <t>Switzerland</t>
        </is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11228.75</v>
      </c>
      <c r="K5" s="20" t="n">
        <v>17645.1</v>
      </c>
      <c r="L5" s="20" t="n">
        <v>20315.49</v>
      </c>
      <c r="M5" s="20" t="n">
        <v>21738.2</v>
      </c>
      <c r="N5" s="20" t="n">
        <v>23657.06</v>
      </c>
      <c r="O5" s="20" t="n">
        <v>25411.35427350428</v>
      </c>
      <c r="P5" s="20" t="n">
        <v>26750.01000000001</v>
      </c>
      <c r="Q5" s="20" t="n">
        <v>28443.20470764618</v>
      </c>
    </row>
    <row r="6">
      <c r="A6" s="19" t="inlineStr">
        <is>
          <t>Company 2</t>
        </is>
      </c>
      <c r="B6" s="19" t="inlineStr">
        <is>
          <t>Software</t>
        </is>
      </c>
      <c r="C6" s="19" t="inlineStr">
        <is>
          <t>Routing</t>
        </is>
      </c>
      <c r="D6" s="19" t="inlineStr">
        <is>
          <t>Switzerland</t>
        </is>
      </c>
      <c r="E6" s="20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336.88</v>
      </c>
      <c r="K6" s="20" t="n">
        <v>1830.93</v>
      </c>
      <c r="L6" s="20" t="n">
        <v>4147.62</v>
      </c>
      <c r="M6" s="20" t="n">
        <v>6216.539999999999</v>
      </c>
      <c r="N6" s="20" t="n">
        <v>8856.550000000001</v>
      </c>
      <c r="O6" s="20" t="n">
        <v>12272.67282051282</v>
      </c>
      <c r="P6" s="20" t="n">
        <v>15415.6</v>
      </c>
      <c r="Q6" s="20" t="n">
        <v>16090.7763868066</v>
      </c>
    </row>
    <row r="7">
      <c r="A7" s="19" t="inlineStr">
        <is>
          <t>Company 3</t>
        </is>
      </c>
      <c r="B7" s="19" t="inlineStr">
        <is>
          <t>Software</t>
        </is>
      </c>
      <c r="C7" s="19" t="inlineStr">
        <is>
          <t>CodeRunner</t>
        </is>
      </c>
      <c r="D7" s="19" t="inlineStr">
        <is>
          <t>Ireland</t>
        </is>
      </c>
      <c r="E7" s="20" t="n">
        <v>15000</v>
      </c>
      <c r="F7" s="20" t="n">
        <v>15000</v>
      </c>
      <c r="G7" s="20" t="n">
        <v>15000</v>
      </c>
      <c r="H7" s="20" t="n">
        <v>15000</v>
      </c>
      <c r="I7" s="20" t="n">
        <v>15000</v>
      </c>
      <c r="J7" s="20" t="n">
        <v>15000</v>
      </c>
      <c r="K7" s="20" t="n">
        <v>15000</v>
      </c>
      <c r="L7" s="20" t="n">
        <v>15000</v>
      </c>
      <c r="M7" s="20" t="n">
        <v>15000</v>
      </c>
      <c r="N7" s="20" t="n">
        <v>15000</v>
      </c>
      <c r="O7" s="20" t="n">
        <v>15428.49</v>
      </c>
      <c r="P7" s="20" t="n">
        <v>15867.71</v>
      </c>
      <c r="Q7" s="20" t="n">
        <v>16533.608</v>
      </c>
    </row>
    <row r="8">
      <c r="A8" s="19" t="inlineStr">
        <is>
          <t>Company 4</t>
        </is>
      </c>
      <c r="B8" s="19" t="inlineStr">
        <is>
          <t>Operations</t>
        </is>
      </c>
      <c r="C8" s="19" t="inlineStr">
        <is>
          <t>Shipper Gas</t>
        </is>
      </c>
      <c r="D8" s="19" t="inlineStr">
        <is>
          <t>UK</t>
        </is>
      </c>
      <c r="E8" s="20" t="n">
        <v>23580</v>
      </c>
      <c r="F8" s="20" t="n">
        <v>23880</v>
      </c>
      <c r="G8" s="20" t="n">
        <v>23880</v>
      </c>
      <c r="H8" s="20" t="n">
        <v>23880</v>
      </c>
      <c r="I8" s="20" t="n">
        <v>23880</v>
      </c>
      <c r="J8" s="20" t="n">
        <v>23880</v>
      </c>
      <c r="K8" s="20" t="n">
        <v>23880</v>
      </c>
      <c r="L8" s="20" t="n">
        <v>23140</v>
      </c>
      <c r="M8" s="20" t="n">
        <v>15000</v>
      </c>
      <c r="N8" s="20" t="n">
        <v>15050</v>
      </c>
      <c r="O8" s="20" t="n">
        <v>15635</v>
      </c>
      <c r="P8" s="20" t="n">
        <v>16020</v>
      </c>
      <c r="Q8" s="20" t="n">
        <v>16393.8</v>
      </c>
    </row>
    <row r="9">
      <c r="A9" s="19" t="inlineStr">
        <is>
          <t>Company 5</t>
        </is>
      </c>
      <c r="B9" s="19" t="inlineStr">
        <is>
          <t>Software</t>
        </is>
      </c>
      <c r="C9" s="19" t="inlineStr">
        <is>
          <t>ENOM</t>
        </is>
      </c>
      <c r="D9" s="19" t="inlineStr">
        <is>
          <t>UK</t>
        </is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750</v>
      </c>
      <c r="K9" s="20" t="n">
        <v>9000</v>
      </c>
      <c r="L9" s="20" t="n">
        <v>9000</v>
      </c>
      <c r="M9" s="20" t="n">
        <v>9075</v>
      </c>
      <c r="N9" s="20" t="n">
        <v>9900</v>
      </c>
      <c r="O9" s="20" t="n">
        <v>9750</v>
      </c>
      <c r="P9" s="20" t="n">
        <v>10525.65</v>
      </c>
      <c r="Q9" s="20" t="n">
        <v>0</v>
      </c>
    </row>
    <row r="10">
      <c r="A10" s="19" t="inlineStr">
        <is>
          <t>Company 5</t>
        </is>
      </c>
      <c r="B10" s="19" t="inlineStr">
        <is>
          <t>Software</t>
        </is>
      </c>
      <c r="C10" s="19" t="inlineStr">
        <is>
          <t>Routing</t>
        </is>
      </c>
      <c r="D10" s="19" t="inlineStr">
        <is>
          <t>UK</t>
        </is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150</v>
      </c>
      <c r="K10" s="20" t="n">
        <v>1800</v>
      </c>
      <c r="L10" s="20" t="n">
        <v>1800</v>
      </c>
      <c r="M10" s="20" t="n">
        <v>1815</v>
      </c>
      <c r="N10" s="20" t="n">
        <v>1980</v>
      </c>
      <c r="O10" s="20" t="n">
        <v>1950</v>
      </c>
      <c r="P10" s="20" t="n">
        <v>2437.27</v>
      </c>
      <c r="Q10" s="20" t="n">
        <v>0</v>
      </c>
    </row>
    <row r="11">
      <c r="A11" s="19" t="inlineStr">
        <is>
          <t>Company 6</t>
        </is>
      </c>
      <c r="B11" s="19" t="inlineStr">
        <is>
          <t>Operations</t>
        </is>
      </c>
      <c r="C11" s="19" t="inlineStr">
        <is>
          <t>Demand Text</t>
        </is>
      </c>
      <c r="D11" s="19" t="inlineStr">
        <is>
          <t>UK</t>
        </is>
      </c>
      <c r="E11" s="20" t="n">
        <v>6024</v>
      </c>
      <c r="F11" s="20" t="n">
        <v>9538.360000000001</v>
      </c>
      <c r="G11" s="20" t="n">
        <v>8032.319999999999</v>
      </c>
      <c r="H11" s="20" t="n">
        <v>10045.2</v>
      </c>
      <c r="I11" s="20" t="n">
        <v>11888.24</v>
      </c>
      <c r="J11" s="20" t="n">
        <v>10046.4</v>
      </c>
      <c r="K11" s="20" t="n">
        <v>9544.08</v>
      </c>
      <c r="L11" s="20" t="n">
        <v>8103.840000000001</v>
      </c>
      <c r="M11" s="20" t="n">
        <v>11418</v>
      </c>
      <c r="N11" s="20" t="n">
        <v>12802</v>
      </c>
      <c r="O11" s="20" t="n">
        <v>14560</v>
      </c>
      <c r="P11" s="20" t="n">
        <v>13740</v>
      </c>
      <c r="Q11" s="20" t="n">
        <v>15120</v>
      </c>
    </row>
    <row r="12">
      <c r="A12" s="19" t="inlineStr">
        <is>
          <t>Company 6</t>
        </is>
      </c>
      <c r="B12" s="19" t="inlineStr">
        <is>
          <t>Operations</t>
        </is>
      </c>
      <c r="C12" s="19" t="inlineStr">
        <is>
          <t>Shipper Gas</t>
        </is>
      </c>
      <c r="D12" s="19" t="inlineStr">
        <is>
          <t>UK</t>
        </is>
      </c>
      <c r="E12" s="20" t="n">
        <v>158517.49</v>
      </c>
      <c r="F12" s="20" t="n">
        <v>164391</v>
      </c>
      <c r="G12" s="20" t="n">
        <v>155734.1</v>
      </c>
      <c r="H12" s="20" t="n">
        <v>182109</v>
      </c>
      <c r="I12" s="20" t="n">
        <v>201719.95</v>
      </c>
      <c r="J12" s="20" t="n">
        <v>222337.07</v>
      </c>
      <c r="K12" s="20" t="n">
        <v>179694.44</v>
      </c>
      <c r="L12" s="20" t="n">
        <v>159947.59</v>
      </c>
      <c r="M12" s="20" t="n">
        <v>169331</v>
      </c>
      <c r="N12" s="20" t="n">
        <v>170001</v>
      </c>
      <c r="O12" s="20" t="n">
        <v>188566</v>
      </c>
      <c r="P12" s="20" t="n">
        <v>213809.22</v>
      </c>
      <c r="Q12" s="20" t="n">
        <v>209582.28</v>
      </c>
    </row>
    <row r="13">
      <c r="A13" s="19" t="inlineStr">
        <is>
          <t>Company 6</t>
        </is>
      </c>
      <c r="B13" s="19" t="inlineStr">
        <is>
          <t>Software</t>
        </is>
      </c>
      <c r="C13" s="19" t="inlineStr">
        <is>
          <t>ENOM+</t>
        </is>
      </c>
      <c r="D13" s="19" t="inlineStr">
        <is>
          <t>UK</t>
        </is>
      </c>
      <c r="E13" s="20" t="n">
        <v>17500</v>
      </c>
      <c r="F13" s="20" t="n">
        <v>17500</v>
      </c>
      <c r="G13" s="20" t="n">
        <v>18520.8</v>
      </c>
      <c r="H13" s="20" t="n">
        <v>19250</v>
      </c>
      <c r="I13" s="20" t="n">
        <v>19250</v>
      </c>
      <c r="J13" s="20" t="n">
        <v>19250</v>
      </c>
      <c r="K13" s="20" t="n">
        <v>19250</v>
      </c>
      <c r="L13" s="20" t="n">
        <v>19250</v>
      </c>
      <c r="M13" s="20" t="n">
        <v>30372.95</v>
      </c>
      <c r="N13" s="20" t="n">
        <v>21175</v>
      </c>
      <c r="O13" s="20" t="n">
        <v>21237.88</v>
      </c>
      <c r="P13" s="20" t="n">
        <v>8760.860000000001</v>
      </c>
      <c r="Q13" s="20" t="n">
        <v>0</v>
      </c>
    </row>
    <row r="14">
      <c r="A14" s="19" t="inlineStr">
        <is>
          <t>Company 6</t>
        </is>
      </c>
      <c r="B14" s="19" t="inlineStr">
        <is>
          <t>Software</t>
        </is>
      </c>
      <c r="C14" s="19" t="inlineStr">
        <is>
          <t>Routing</t>
        </is>
      </c>
      <c r="D14" s="19" t="inlineStr">
        <is>
          <t>UK</t>
        </is>
      </c>
      <c r="E14" s="20" t="n">
        <v>1187.5</v>
      </c>
      <c r="F14" s="20" t="n">
        <v>1500</v>
      </c>
      <c r="G14" s="20" t="n">
        <v>1937.5</v>
      </c>
      <c r="H14" s="20" t="n">
        <v>3062.5</v>
      </c>
      <c r="I14" s="20" t="n">
        <v>3437.5</v>
      </c>
      <c r="J14" s="20" t="n">
        <v>5937.5</v>
      </c>
      <c r="K14" s="20" t="n">
        <v>7500</v>
      </c>
      <c r="L14" s="20" t="n">
        <v>7937.5</v>
      </c>
      <c r="M14" s="20" t="n">
        <v>7812.5</v>
      </c>
      <c r="N14" s="20" t="n">
        <v>7500</v>
      </c>
      <c r="O14" s="20" t="n">
        <v>9721.48</v>
      </c>
      <c r="P14" s="20" t="n">
        <v>13449.92</v>
      </c>
      <c r="Q14" s="20" t="n">
        <v>14754.9</v>
      </c>
    </row>
    <row r="15">
      <c r="A15" s="19" t="inlineStr">
        <is>
          <t>Company 6</t>
        </is>
      </c>
      <c r="B15" s="19" t="inlineStr">
        <is>
          <t>Software</t>
        </is>
      </c>
      <c r="C15" s="19" t="inlineStr">
        <is>
          <t>Hosting</t>
        </is>
      </c>
      <c r="D15" s="19" t="inlineStr">
        <is>
          <t>UK</t>
        </is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2800</v>
      </c>
      <c r="N15" s="20" t="n">
        <v>18200</v>
      </c>
      <c r="O15" s="20" t="n">
        <v>37342.76000000001</v>
      </c>
      <c r="P15" s="20" t="n">
        <v>46722.00000000001</v>
      </c>
      <c r="Q15" s="20" t="n">
        <v>50744.27</v>
      </c>
    </row>
    <row r="16">
      <c r="A16" s="19" t="inlineStr">
        <is>
          <t>Company 6</t>
        </is>
      </c>
      <c r="B16" s="19" t="inlineStr">
        <is>
          <t>Software</t>
        </is>
      </c>
      <c r="C16" s="19" t="inlineStr">
        <is>
          <t>EuroRunner</t>
        </is>
      </c>
      <c r="D16" s="19" t="inlineStr">
        <is>
          <t>UK</t>
        </is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35177.32</v>
      </c>
      <c r="P16" s="20" t="n">
        <v>72416.28</v>
      </c>
      <c r="Q16" s="20" t="n">
        <v>83991.92</v>
      </c>
    </row>
    <row r="17">
      <c r="A17" s="19" t="inlineStr">
        <is>
          <t>Company 7</t>
        </is>
      </c>
      <c r="B17" s="19" t="inlineStr">
        <is>
          <t>CVA</t>
        </is>
      </c>
      <c r="C17" s="19" t="inlineStr">
        <is>
          <t>CVA</t>
        </is>
      </c>
      <c r="D17" s="19" t="inlineStr">
        <is>
          <t>UK</t>
        </is>
      </c>
      <c r="E17" s="20" t="n">
        <v>650708.64</v>
      </c>
      <c r="F17" s="20" t="n">
        <v>683023.8</v>
      </c>
      <c r="G17" s="20" t="n">
        <v>742378.83</v>
      </c>
      <c r="H17" s="20" t="n">
        <v>754603.6500000001</v>
      </c>
      <c r="I17" s="20" t="n">
        <v>778712.3199999999</v>
      </c>
      <c r="J17" s="20" t="n">
        <v>804870.4400000001</v>
      </c>
      <c r="K17" s="20" t="n">
        <v>824584.0800000002</v>
      </c>
      <c r="L17" s="20" t="n">
        <v>844509.0400000002</v>
      </c>
      <c r="M17" s="20" t="n">
        <v>871784.7999999999</v>
      </c>
      <c r="N17" s="20" t="n">
        <v>951548.3599999999</v>
      </c>
      <c r="O17" s="20" t="n">
        <v>1086661.274</v>
      </c>
      <c r="P17" s="20" t="n">
        <v>1075380</v>
      </c>
      <c r="Q17" s="20" t="n">
        <v>1082874.96</v>
      </c>
    </row>
    <row r="18">
      <c r="A18" s="19" t="inlineStr">
        <is>
          <t>Company 7</t>
        </is>
      </c>
      <c r="B18" s="19" t="inlineStr">
        <is>
          <t>CVA</t>
        </is>
      </c>
      <c r="C18" s="19" t="inlineStr">
        <is>
          <t>CVA</t>
        </is>
      </c>
      <c r="D18" s="19" t="inlineStr">
        <is>
          <t>UK</t>
        </is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  <c r="L18" s="20" t="n">
        <v>0</v>
      </c>
      <c r="M18" s="20" t="n">
        <v>262500</v>
      </c>
      <c r="N18" s="20" t="n">
        <v>262500</v>
      </c>
      <c r="O18" s="20" t="n">
        <v>218750</v>
      </c>
      <c r="P18" s="20" t="n">
        <v>262500</v>
      </c>
      <c r="Q18" s="20" t="n">
        <v>262500</v>
      </c>
    </row>
    <row r="19">
      <c r="A19" s="19" t="inlineStr">
        <is>
          <t>Company 8</t>
        </is>
      </c>
      <c r="B19" s="19" t="inlineStr">
        <is>
          <t>Operations</t>
        </is>
      </c>
      <c r="C19" s="19" t="inlineStr">
        <is>
          <t>Shipper Gas</t>
        </is>
      </c>
      <c r="D19" s="19" t="inlineStr">
        <is>
          <t>UK</t>
        </is>
      </c>
      <c r="E19" s="20" t="n">
        <v>56820</v>
      </c>
      <c r="F19" s="20" t="n">
        <v>56820</v>
      </c>
      <c r="G19" s="20" t="n">
        <v>56820</v>
      </c>
      <c r="H19" s="20" t="n">
        <v>56915</v>
      </c>
      <c r="I19" s="20" t="n">
        <v>58800</v>
      </c>
      <c r="J19" s="20" t="n">
        <v>62100</v>
      </c>
      <c r="K19" s="20" t="n">
        <v>62100</v>
      </c>
      <c r="L19" s="20" t="n">
        <v>62400</v>
      </c>
      <c r="M19" s="20" t="n">
        <v>63300</v>
      </c>
      <c r="N19" s="20" t="n">
        <v>63300</v>
      </c>
      <c r="O19" s="20" t="n">
        <v>63680</v>
      </c>
      <c r="P19" s="20" t="n">
        <v>65580</v>
      </c>
      <c r="Q19" s="20" t="n">
        <v>69245.04760000001</v>
      </c>
    </row>
    <row r="20">
      <c r="A20" s="19" t="inlineStr">
        <is>
          <t>Company 9</t>
        </is>
      </c>
      <c r="B20" s="19" t="inlineStr">
        <is>
          <t>Software</t>
        </is>
      </c>
      <c r="C20" s="19" t="inlineStr">
        <is>
          <t>ENOM+</t>
        </is>
      </c>
      <c r="D20" s="19" t="inlineStr">
        <is>
          <t>Switzerland</t>
        </is>
      </c>
      <c r="E20" s="20" t="n">
        <v>2796.1</v>
      </c>
      <c r="F20" s="20" t="n">
        <v>16463.7</v>
      </c>
      <c r="G20" s="20" t="n">
        <v>15522.78</v>
      </c>
      <c r="H20" s="20" t="n">
        <v>18653.73</v>
      </c>
      <c r="I20" s="20" t="n">
        <v>18625.5</v>
      </c>
      <c r="J20" s="20" t="n">
        <v>18332.53</v>
      </c>
      <c r="K20" s="20" t="n">
        <v>18218.14</v>
      </c>
      <c r="L20" s="20" t="n">
        <v>18736.05</v>
      </c>
      <c r="M20" s="20" t="n">
        <v>18261.68</v>
      </c>
      <c r="N20" s="20" t="n">
        <v>19768.58999999999</v>
      </c>
      <c r="O20" s="20" t="n">
        <v>19166.85051282051</v>
      </c>
      <c r="P20" s="20" t="n">
        <v>19530.05</v>
      </c>
      <c r="Q20" s="20" t="n">
        <v>20088.62296851575</v>
      </c>
    </row>
    <row r="21">
      <c r="A21" s="19" t="inlineStr">
        <is>
          <t>Company 9</t>
        </is>
      </c>
      <c r="B21" s="19" t="inlineStr">
        <is>
          <t>Software</t>
        </is>
      </c>
      <c r="C21" s="19" t="inlineStr">
        <is>
          <t>Hosting</t>
        </is>
      </c>
      <c r="D21" s="19" t="inlineStr">
        <is>
          <t>Switzerland</t>
        </is>
      </c>
      <c r="E21" s="20" t="n">
        <v>0</v>
      </c>
      <c r="F21" s="20" t="n">
        <v>4784.44</v>
      </c>
      <c r="G21" s="20" t="n">
        <v>9410.52</v>
      </c>
      <c r="H21" s="20" t="n">
        <v>10021.35</v>
      </c>
      <c r="I21" s="20" t="n">
        <v>10104.52</v>
      </c>
      <c r="J21" s="20" t="n">
        <v>9981.68</v>
      </c>
      <c r="K21" s="20" t="n">
        <v>10142.84</v>
      </c>
      <c r="L21" s="20" t="n">
        <v>9759.769999999999</v>
      </c>
      <c r="M21" s="20" t="n">
        <v>9749.73</v>
      </c>
      <c r="N21" s="20" t="n">
        <v>9902.049999999999</v>
      </c>
      <c r="O21" s="20" t="n">
        <v>9662.408547008547</v>
      </c>
      <c r="P21" s="20" t="n">
        <v>9767.1</v>
      </c>
      <c r="Q21" s="20" t="n">
        <v>9885.103808095953</v>
      </c>
    </row>
    <row r="22">
      <c r="A22" s="19" t="inlineStr">
        <is>
          <t>Company 9</t>
        </is>
      </c>
      <c r="B22" s="19" t="inlineStr">
        <is>
          <t>Software</t>
        </is>
      </c>
      <c r="C22" s="19" t="inlineStr">
        <is>
          <t>Routing</t>
        </is>
      </c>
      <c r="D22" s="19" t="inlineStr">
        <is>
          <t>Switzerland</t>
        </is>
      </c>
      <c r="E22" s="20" t="n">
        <v>253.01</v>
      </c>
      <c r="F22" s="20" t="n">
        <v>2051.11</v>
      </c>
      <c r="G22" s="20" t="n">
        <v>6040.440000000001</v>
      </c>
      <c r="H22" s="20" t="n">
        <v>13221.1</v>
      </c>
      <c r="I22" s="20" t="n">
        <v>17255.5</v>
      </c>
      <c r="J22" s="20" t="n">
        <v>24039.3</v>
      </c>
      <c r="K22" s="20" t="n">
        <v>28875.92000000001</v>
      </c>
      <c r="L22" s="20" t="n">
        <v>34445.01</v>
      </c>
      <c r="M22" s="20" t="n">
        <v>36498.22</v>
      </c>
      <c r="N22" s="20" t="n">
        <v>40393.14999999999</v>
      </c>
      <c r="O22" s="20" t="n">
        <v>40099.71769230768</v>
      </c>
      <c r="P22" s="20" t="n">
        <v>42510.79</v>
      </c>
      <c r="Q22" s="20" t="n">
        <v>44256.00545727136</v>
      </c>
    </row>
    <row r="23">
      <c r="A23" s="19" t="inlineStr">
        <is>
          <t>Company 10</t>
        </is>
      </c>
      <c r="B23" s="19" t="inlineStr">
        <is>
          <t>Operations</t>
        </is>
      </c>
      <c r="C23" s="19" t="inlineStr">
        <is>
          <t>Shipper Gas</t>
        </is>
      </c>
      <c r="D23" s="19" t="inlineStr">
        <is>
          <t>Netherlands</t>
        </is>
      </c>
      <c r="E23" s="20" t="n">
        <v>68340</v>
      </c>
      <c r="F23" s="20" t="n">
        <v>68760</v>
      </c>
      <c r="G23" s="20" t="n">
        <v>49560</v>
      </c>
      <c r="H23" s="20" t="n">
        <v>49560</v>
      </c>
      <c r="I23" s="20" t="n">
        <v>49560</v>
      </c>
      <c r="J23" s="20" t="n">
        <v>49560</v>
      </c>
      <c r="K23" s="20" t="n">
        <v>49560</v>
      </c>
      <c r="L23" s="20" t="n">
        <v>49560</v>
      </c>
      <c r="M23" s="20" t="n">
        <v>49560</v>
      </c>
      <c r="N23" s="20" t="n">
        <v>49560</v>
      </c>
      <c r="O23" s="20" t="n">
        <v>50560</v>
      </c>
      <c r="P23" s="20" t="n">
        <v>56175.49</v>
      </c>
      <c r="Q23" s="20" t="n">
        <v>59075.16320000002</v>
      </c>
    </row>
    <row r="24">
      <c r="A24" s="19" t="inlineStr">
        <is>
          <t>Company 10</t>
        </is>
      </c>
      <c r="B24" s="19" t="inlineStr">
        <is>
          <t>Software</t>
        </is>
      </c>
      <c r="C24" s="19" t="inlineStr">
        <is>
          <t>ENOM+</t>
        </is>
      </c>
      <c r="D24" s="19" t="inlineStr">
        <is>
          <t>Netherlands</t>
        </is>
      </c>
      <c r="E24" s="20" t="n">
        <v>17391.72</v>
      </c>
      <c r="F24" s="20" t="n">
        <v>16362.15</v>
      </c>
      <c r="G24" s="20" t="n">
        <v>16061.7</v>
      </c>
      <c r="H24" s="20" t="n">
        <v>18099.24</v>
      </c>
      <c r="I24" s="20" t="n">
        <v>18708.63</v>
      </c>
      <c r="J24" s="20" t="n">
        <v>18675.78</v>
      </c>
      <c r="K24" s="20" t="n">
        <v>18792.09</v>
      </c>
      <c r="L24" s="20" t="n">
        <v>18774.18</v>
      </c>
      <c r="M24" s="20" t="n">
        <v>18577.83</v>
      </c>
      <c r="N24" s="20" t="n">
        <v>20489.72</v>
      </c>
      <c r="O24" s="20" t="n">
        <v>19894.11581196581</v>
      </c>
      <c r="P24" s="20" t="n">
        <v>20389.04</v>
      </c>
      <c r="Q24" s="20" t="n">
        <v>20816.02166416792</v>
      </c>
    </row>
    <row r="25">
      <c r="A25" s="19" t="inlineStr">
        <is>
          <t>Company 10</t>
        </is>
      </c>
      <c r="B25" s="19" t="inlineStr">
        <is>
          <t>Software</t>
        </is>
      </c>
      <c r="C25" s="19" t="inlineStr">
        <is>
          <t>Routing</t>
        </is>
      </c>
      <c r="D25" s="19" t="inlineStr">
        <is>
          <t>Netherlands</t>
        </is>
      </c>
      <c r="E25" s="20" t="n">
        <v>13594.98</v>
      </c>
      <c r="F25" s="20" t="n">
        <v>13298.51</v>
      </c>
      <c r="G25" s="20" t="n">
        <v>10743.71</v>
      </c>
      <c r="H25" s="20" t="n">
        <v>9709.309999999999</v>
      </c>
      <c r="I25" s="20" t="n">
        <v>11025.14</v>
      </c>
      <c r="J25" s="20" t="n">
        <v>10605.51</v>
      </c>
      <c r="K25" s="20" t="n">
        <v>11275.2</v>
      </c>
      <c r="L25" s="20" t="n">
        <v>12669.86</v>
      </c>
      <c r="M25" s="20" t="n">
        <v>11495.8</v>
      </c>
      <c r="N25" s="20" t="n">
        <v>13386.23</v>
      </c>
      <c r="O25" s="20" t="n">
        <v>13453.08008547009</v>
      </c>
      <c r="P25" s="20" t="n">
        <v>13101.37</v>
      </c>
      <c r="Q25" s="20" t="n">
        <v>13840.97700149925</v>
      </c>
    </row>
    <row r="26">
      <c r="A26" s="19" t="inlineStr">
        <is>
          <t>Company 10</t>
        </is>
      </c>
      <c r="B26" s="19" t="inlineStr">
        <is>
          <t>Software</t>
        </is>
      </c>
      <c r="C26" s="19" t="inlineStr">
        <is>
          <t>ENOM</t>
        </is>
      </c>
      <c r="D26" s="19" t="inlineStr">
        <is>
          <t>Netherlands</t>
        </is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6850</v>
      </c>
      <c r="N26" s="20" t="n">
        <v>11170.3</v>
      </c>
      <c r="O26" s="20" t="n">
        <v>11781.29811965812</v>
      </c>
      <c r="P26" s="20" t="n">
        <v>-19.55999999999938</v>
      </c>
      <c r="Q26" s="20" t="n">
        <v>11659.66422788606</v>
      </c>
    </row>
    <row r="27">
      <c r="A27" s="19" t="inlineStr">
        <is>
          <t>Company 10</t>
        </is>
      </c>
      <c r="B27" s="19" t="inlineStr">
        <is>
          <t>Software</t>
        </is>
      </c>
      <c r="C27" s="19" t="inlineStr">
        <is>
          <t>Routing</t>
        </is>
      </c>
      <c r="D27" s="19" t="inlineStr">
        <is>
          <t>Netherlands</t>
        </is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1027.49</v>
      </c>
      <c r="N27" s="20" t="n">
        <v>1675.54</v>
      </c>
      <c r="O27" s="20" t="n">
        <v>1766.819487179487</v>
      </c>
      <c r="P27" s="20" t="n">
        <v>-2.630000000000194</v>
      </c>
      <c r="Q27" s="20" t="n">
        <v>1744.932083958021</v>
      </c>
    </row>
    <row r="28">
      <c r="A28" s="19" t="inlineStr">
        <is>
          <t>Company 11</t>
        </is>
      </c>
      <c r="B28" s="19" t="inlineStr">
        <is>
          <t>Operations</t>
        </is>
      </c>
      <c r="C28" s="19" t="inlineStr">
        <is>
          <t>Shipper Gas</t>
        </is>
      </c>
      <c r="D28" s="19" t="inlineStr">
        <is>
          <t>Ireland</t>
        </is>
      </c>
      <c r="E28" s="20" t="n">
        <v>53727</v>
      </c>
      <c r="F28" s="20" t="n">
        <v>54096</v>
      </c>
      <c r="G28" s="20" t="n">
        <v>55296</v>
      </c>
      <c r="H28" s="20" t="n">
        <v>55149</v>
      </c>
      <c r="I28" s="20" t="n">
        <v>55500</v>
      </c>
      <c r="J28" s="20" t="n">
        <v>55500</v>
      </c>
      <c r="K28" s="20" t="n">
        <v>55500</v>
      </c>
      <c r="L28" s="20" t="n">
        <v>55500</v>
      </c>
      <c r="M28" s="20" t="n">
        <v>55500</v>
      </c>
      <c r="N28" s="20" t="n">
        <v>57800</v>
      </c>
      <c r="O28" s="20" t="n">
        <v>60480</v>
      </c>
      <c r="P28" s="20" t="n">
        <v>65980</v>
      </c>
      <c r="Q28" s="20" t="n">
        <v>70005.28599999999</v>
      </c>
    </row>
    <row r="29">
      <c r="A29" s="19" t="inlineStr">
        <is>
          <t>Company 12</t>
        </is>
      </c>
      <c r="B29" s="19" t="inlineStr">
        <is>
          <t>Software</t>
        </is>
      </c>
      <c r="C29" s="19" t="inlineStr">
        <is>
          <t>ENOM</t>
        </is>
      </c>
      <c r="D29" s="19" t="inlineStr">
        <is>
          <t>Netherlands</t>
        </is>
      </c>
      <c r="E29" s="20" t="n">
        <v>0</v>
      </c>
      <c r="F29" s="20" t="n">
        <v>4389</v>
      </c>
      <c r="G29" s="20" t="n">
        <v>9488.82</v>
      </c>
      <c r="H29" s="20" t="n">
        <v>10363.92</v>
      </c>
      <c r="I29" s="20" t="n">
        <v>10623.9</v>
      </c>
      <c r="J29" s="20" t="n">
        <v>10775.1</v>
      </c>
      <c r="K29" s="20" t="n">
        <v>10845.3</v>
      </c>
      <c r="L29" s="20" t="n">
        <v>10569.9</v>
      </c>
      <c r="M29" s="20" t="n">
        <v>10280.46</v>
      </c>
      <c r="N29" s="20" t="n">
        <v>10281.66</v>
      </c>
      <c r="O29" s="20" t="n">
        <v>10272.22991452991</v>
      </c>
      <c r="P29" s="20" t="n">
        <v>10524.64</v>
      </c>
      <c r="Q29" s="20" t="n">
        <v>10456.35416791604</v>
      </c>
    </row>
    <row r="30">
      <c r="A30" s="19" t="inlineStr">
        <is>
          <t>Company 12</t>
        </is>
      </c>
      <c r="B30" s="19" t="inlineStr">
        <is>
          <t>Software</t>
        </is>
      </c>
      <c r="C30" s="19" t="inlineStr">
        <is>
          <t>Routing</t>
        </is>
      </c>
      <c r="D30" s="19" t="inlineStr">
        <is>
          <t>Netherlands</t>
        </is>
      </c>
      <c r="E30" s="20" t="n">
        <v>0</v>
      </c>
      <c r="F30" s="20" t="n">
        <v>3291.72</v>
      </c>
      <c r="G30" s="20" t="n">
        <v>8264.110000000001</v>
      </c>
      <c r="H30" s="20" t="n">
        <v>12868.44</v>
      </c>
      <c r="I30" s="20" t="n">
        <v>15287.88</v>
      </c>
      <c r="J30" s="20" t="n">
        <v>17783.06</v>
      </c>
      <c r="K30" s="20" t="n">
        <v>18301.41</v>
      </c>
      <c r="L30" s="20" t="n">
        <v>18211.8</v>
      </c>
      <c r="M30" s="20" t="n">
        <v>18504.82</v>
      </c>
      <c r="N30" s="20" t="n">
        <v>14265.59</v>
      </c>
      <c r="O30" s="20" t="n">
        <v>9223.552991452993</v>
      </c>
      <c r="P30" s="20" t="n">
        <v>8684.620000000001</v>
      </c>
      <c r="Q30" s="20" t="n">
        <v>8510.563073463269</v>
      </c>
    </row>
    <row r="31">
      <c r="A31" s="19" t="inlineStr">
        <is>
          <t>Company 12</t>
        </is>
      </c>
      <c r="B31" s="19" t="inlineStr">
        <is>
          <t>Operations</t>
        </is>
      </c>
      <c r="C31" s="19" t="inlineStr">
        <is>
          <t>Market Gas</t>
        </is>
      </c>
      <c r="D31" s="19" t="inlineStr">
        <is>
          <t>Netherlands</t>
        </is>
      </c>
      <c r="E31" s="20" t="n">
        <v>0</v>
      </c>
      <c r="F31" s="20" t="n">
        <v>0</v>
      </c>
      <c r="G31" s="20" t="n">
        <v>15660.75</v>
      </c>
      <c r="H31" s="20" t="n">
        <v>63193.17999999999</v>
      </c>
      <c r="I31" s="20" t="n">
        <v>97880.70999999998</v>
      </c>
      <c r="J31" s="20" t="n">
        <v>112562.76</v>
      </c>
      <c r="K31" s="20" t="n">
        <v>119744.26</v>
      </c>
      <c r="L31" s="20" t="n">
        <v>118626.26</v>
      </c>
      <c r="M31" s="20" t="n">
        <v>121902.31</v>
      </c>
      <c r="N31" s="20" t="n">
        <v>162903.91</v>
      </c>
      <c r="O31" s="20" t="n">
        <v>131535.6766666667</v>
      </c>
      <c r="P31" s="20" t="n">
        <v>151443.51</v>
      </c>
      <c r="Q31" s="20" t="n">
        <v>152333.7569415293</v>
      </c>
    </row>
    <row r="32">
      <c r="A32" s="19" t="inlineStr">
        <is>
          <t>Company 13</t>
        </is>
      </c>
      <c r="B32" s="19" t="inlineStr">
        <is>
          <t>Operations</t>
        </is>
      </c>
      <c r="C32" s="19" t="inlineStr">
        <is>
          <t>Demand Text</t>
        </is>
      </c>
      <c r="D32" s="19" t="inlineStr">
        <is>
          <t>UK</t>
        </is>
      </c>
      <c r="E32" s="20" t="n">
        <v>3600</v>
      </c>
      <c r="F32" s="20" t="n">
        <v>3600</v>
      </c>
      <c r="G32" s="20" t="n">
        <v>3600</v>
      </c>
      <c r="H32" s="20" t="n">
        <v>2800</v>
      </c>
      <c r="I32" s="20" t="n">
        <v>3200</v>
      </c>
      <c r="J32" s="20" t="n">
        <v>3600</v>
      </c>
      <c r="K32" s="20" t="n">
        <v>3600</v>
      </c>
      <c r="L32" s="20" t="n">
        <v>3600</v>
      </c>
      <c r="M32" s="20" t="n">
        <v>3400</v>
      </c>
      <c r="N32" s="20" t="n">
        <v>2400</v>
      </c>
      <c r="O32" s="20" t="n">
        <v>2404.43</v>
      </c>
      <c r="P32" s="20" t="n">
        <v>4004.43</v>
      </c>
      <c r="Q32" s="20" t="n">
        <v>4892.34</v>
      </c>
    </row>
    <row r="33">
      <c r="A33" s="19" t="inlineStr">
        <is>
          <t>Company 13</t>
        </is>
      </c>
      <c r="B33" s="19" t="inlineStr">
        <is>
          <t>Operations</t>
        </is>
      </c>
      <c r="C33" s="19" t="inlineStr">
        <is>
          <t>Shipper Gas</t>
        </is>
      </c>
      <c r="D33" s="19" t="inlineStr">
        <is>
          <t>UK</t>
        </is>
      </c>
      <c r="E33" s="20" t="n">
        <v>2500</v>
      </c>
      <c r="F33" s="20" t="n">
        <v>69215</v>
      </c>
      <c r="G33" s="20" t="n">
        <v>75237</v>
      </c>
      <c r="H33" s="20" t="n">
        <v>79900</v>
      </c>
      <c r="I33" s="20" t="n">
        <v>106080</v>
      </c>
      <c r="J33" s="20" t="n">
        <v>106080</v>
      </c>
      <c r="K33" s="20" t="n">
        <v>106080</v>
      </c>
      <c r="L33" s="20" t="n">
        <v>106080</v>
      </c>
      <c r="M33" s="20" t="n">
        <v>93704</v>
      </c>
      <c r="N33" s="20" t="n">
        <v>93364</v>
      </c>
      <c r="O33" s="20" t="n">
        <v>97396.304</v>
      </c>
      <c r="P33" s="20" t="n">
        <v>100528</v>
      </c>
      <c r="Q33" s="20" t="n">
        <v>105710.64</v>
      </c>
    </row>
    <row r="34">
      <c r="A34" s="19" t="inlineStr">
        <is>
          <t>Company 13</t>
        </is>
      </c>
      <c r="B34" s="19" t="inlineStr">
        <is>
          <t>Software</t>
        </is>
      </c>
      <c r="C34" s="19" t="inlineStr">
        <is>
          <t>Chorus</t>
        </is>
      </c>
      <c r="D34" s="19" t="inlineStr">
        <is>
          <t>UK</t>
        </is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20974.25</v>
      </c>
      <c r="P34" s="20" t="n">
        <v>18168.25</v>
      </c>
      <c r="Q34" s="20" t="n">
        <v>15572.57999999999</v>
      </c>
    </row>
    <row r="35">
      <c r="A35" s="19" t="inlineStr">
        <is>
          <t>Company 13</t>
        </is>
      </c>
      <c r="B35" s="19" t="inlineStr">
        <is>
          <t>Software</t>
        </is>
      </c>
      <c r="C35" s="19" t="inlineStr">
        <is>
          <t>Routing</t>
        </is>
      </c>
      <c r="D35" s="19" t="inlineStr">
        <is>
          <t>UK</t>
        </is>
      </c>
      <c r="E35" s="20" t="n">
        <v>0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10318.86</v>
      </c>
      <c r="Q35" s="20" t="n">
        <v>15328.42</v>
      </c>
    </row>
    <row r="36">
      <c r="A36" s="19" t="inlineStr">
        <is>
          <t>Company 14</t>
        </is>
      </c>
      <c r="B36" s="19" t="inlineStr">
        <is>
          <t>Operations</t>
        </is>
      </c>
      <c r="C36" s="19" t="inlineStr">
        <is>
          <t>Shipper Gas</t>
        </is>
      </c>
      <c r="D36" s="19" t="inlineStr">
        <is>
          <t>UK</t>
        </is>
      </c>
      <c r="E36" s="20" t="n">
        <v>110622</v>
      </c>
      <c r="F36" s="20" t="n">
        <v>131808</v>
      </c>
      <c r="G36" s="20" t="n">
        <v>136512</v>
      </c>
      <c r="H36" s="20" t="n">
        <v>88892</v>
      </c>
      <c r="I36" s="20" t="n">
        <v>91380</v>
      </c>
      <c r="J36" s="20" t="n">
        <v>107080</v>
      </c>
      <c r="K36" s="20" t="n">
        <v>116880</v>
      </c>
      <c r="L36" s="20" t="n">
        <v>114480</v>
      </c>
      <c r="M36" s="20" t="n">
        <v>105800</v>
      </c>
      <c r="N36" s="20" t="n">
        <v>107460</v>
      </c>
      <c r="O36" s="20" t="n">
        <v>110020</v>
      </c>
      <c r="P36" s="20" t="n">
        <v>113340</v>
      </c>
      <c r="Q36" s="20" t="n">
        <v>117409.6</v>
      </c>
    </row>
    <row r="37">
      <c r="A37" s="19" t="inlineStr">
        <is>
          <t>Company 14</t>
        </is>
      </c>
      <c r="B37" s="19" t="inlineStr">
        <is>
          <t>Power</t>
        </is>
      </c>
      <c r="C37" s="19" t="inlineStr">
        <is>
          <t>Shipper Power</t>
        </is>
      </c>
      <c r="D37" s="19" t="inlineStr">
        <is>
          <t>UK</t>
        </is>
      </c>
      <c r="E37" s="20" t="n">
        <v>0</v>
      </c>
      <c r="F37" s="20" t="n">
        <v>0</v>
      </c>
      <c r="G37" s="20" t="n">
        <v>0</v>
      </c>
      <c r="H37" s="20" t="n">
        <v>54132</v>
      </c>
      <c r="I37" s="20" t="n">
        <v>55039</v>
      </c>
      <c r="J37" s="20" t="n">
        <v>54900</v>
      </c>
      <c r="K37" s="20" t="n">
        <v>54900</v>
      </c>
      <c r="L37" s="20" t="n">
        <v>54900</v>
      </c>
      <c r="M37" s="20" t="n">
        <v>56660</v>
      </c>
      <c r="N37" s="20" t="n">
        <v>61395</v>
      </c>
      <c r="O37" s="20" t="n">
        <v>74720</v>
      </c>
      <c r="P37" s="20" t="n">
        <v>76960</v>
      </c>
      <c r="Q37" s="20" t="n">
        <v>79710.40000000001</v>
      </c>
    </row>
    <row r="38">
      <c r="A38" s="19" t="inlineStr">
        <is>
          <t>Company 15</t>
        </is>
      </c>
      <c r="B38" s="19" t="inlineStr">
        <is>
          <t>Software</t>
        </is>
      </c>
      <c r="C38" s="19" t="inlineStr">
        <is>
          <t>CodeRunner</t>
        </is>
      </c>
      <c r="D38" s="19" t="inlineStr">
        <is>
          <t>USA</t>
        </is>
      </c>
      <c r="E38" s="20" t="n">
        <v>27000</v>
      </c>
      <c r="F38" s="20" t="n">
        <v>21400</v>
      </c>
      <c r="G38" s="20" t="n">
        <v>27262.5</v>
      </c>
      <c r="H38" s="20" t="n">
        <v>20036.5</v>
      </c>
      <c r="I38" s="20" t="n">
        <v>19800</v>
      </c>
      <c r="J38" s="20" t="n">
        <v>19800</v>
      </c>
      <c r="K38" s="20" t="n">
        <v>19800</v>
      </c>
      <c r="L38" s="20" t="n">
        <v>17400</v>
      </c>
      <c r="M38" s="20" t="n">
        <v>15000</v>
      </c>
      <c r="N38" s="20" t="n">
        <v>15000</v>
      </c>
      <c r="O38" s="20" t="n">
        <v>16291.77</v>
      </c>
      <c r="P38" s="20" t="n">
        <v>15000.2</v>
      </c>
      <c r="Q38" s="20" t="n">
        <v>4958.23</v>
      </c>
    </row>
    <row r="39">
      <c r="A39" s="19" t="inlineStr">
        <is>
          <t>Company 15</t>
        </is>
      </c>
      <c r="B39" s="19" t="inlineStr">
        <is>
          <t>Software</t>
        </is>
      </c>
      <c r="C39" s="19" t="inlineStr">
        <is>
          <t>Hosting</t>
        </is>
      </c>
      <c r="D39" s="19" t="inlineStr">
        <is>
          <t>USA</t>
        </is>
      </c>
      <c r="E39" s="20" t="n">
        <v>3600</v>
      </c>
      <c r="F39" s="20" t="n">
        <v>13600</v>
      </c>
      <c r="G39" s="20" t="n">
        <v>12600</v>
      </c>
      <c r="H39" s="20" t="n">
        <v>4600</v>
      </c>
      <c r="I39" s="20" t="n">
        <v>3600</v>
      </c>
      <c r="J39" s="20" t="n">
        <v>3600</v>
      </c>
      <c r="K39" s="20" t="n">
        <v>3600</v>
      </c>
      <c r="L39" s="20" t="n">
        <v>3600</v>
      </c>
      <c r="M39" s="20" t="n">
        <v>3600</v>
      </c>
      <c r="N39" s="20" t="n">
        <v>3600</v>
      </c>
      <c r="O39" s="20" t="n">
        <v>3007.12</v>
      </c>
      <c r="P39" s="20" t="n">
        <v>4570.880000000001</v>
      </c>
      <c r="Q39" s="20" t="n">
        <v>3782.42</v>
      </c>
    </row>
    <row r="40">
      <c r="A40" s="19" t="inlineStr">
        <is>
          <t>Company 15</t>
        </is>
      </c>
      <c r="B40" s="19" t="inlineStr">
        <is>
          <t>Software</t>
        </is>
      </c>
      <c r="C40" s="19" t="inlineStr">
        <is>
          <t>Hosting</t>
        </is>
      </c>
      <c r="D40" s="19" t="inlineStr">
        <is>
          <t>USA</t>
        </is>
      </c>
      <c r="E40" s="20" t="n">
        <v>0</v>
      </c>
      <c r="F40" s="20" t="n">
        <v>0</v>
      </c>
      <c r="G40" s="20" t="n">
        <v>0</v>
      </c>
      <c r="H40" s="20" t="n">
        <v>12182.5</v>
      </c>
      <c r="I40" s="20" t="n">
        <v>13419</v>
      </c>
      <c r="J40" s="20" t="n">
        <v>13502.34</v>
      </c>
      <c r="K40" s="20" t="n">
        <v>14418.99</v>
      </c>
      <c r="L40" s="20" t="n">
        <v>14419</v>
      </c>
      <c r="M40" s="20" t="n">
        <v>14419</v>
      </c>
      <c r="N40" s="20" t="n">
        <v>14419</v>
      </c>
      <c r="O40" s="20" t="n">
        <v>15660.56</v>
      </c>
      <c r="P40" s="20" t="n">
        <v>14419.3</v>
      </c>
      <c r="Q40" s="20" t="n">
        <v>4766.38</v>
      </c>
    </row>
    <row r="41">
      <c r="A41" s="19" t="inlineStr">
        <is>
          <t>Company 16</t>
        </is>
      </c>
      <c r="B41" s="19" t="inlineStr">
        <is>
          <t>Software</t>
        </is>
      </c>
      <c r="C41" s="19" t="inlineStr">
        <is>
          <t>ENOM</t>
        </is>
      </c>
      <c r="D41" s="19" t="inlineStr">
        <is>
          <t>Denmark</t>
        </is>
      </c>
      <c r="E41" s="20" t="n">
        <v>9938.65</v>
      </c>
      <c r="F41" s="20" t="n">
        <v>10950.77</v>
      </c>
      <c r="G41" s="20" t="n">
        <v>11031.06</v>
      </c>
      <c r="H41" s="20" t="n">
        <v>12314.7</v>
      </c>
      <c r="I41" s="20" t="n">
        <v>12726.93</v>
      </c>
      <c r="J41" s="20" t="n">
        <v>12652.82</v>
      </c>
      <c r="K41" s="20" t="n">
        <v>13340.17</v>
      </c>
      <c r="L41" s="20" t="n">
        <v>12588.81</v>
      </c>
      <c r="M41" s="20" t="n">
        <v>12230.74</v>
      </c>
      <c r="N41" s="20" t="n">
        <v>12592.76</v>
      </c>
      <c r="O41" s="20" t="n">
        <v>13009.37777777778</v>
      </c>
      <c r="P41" s="20" t="n">
        <v>12446.61</v>
      </c>
      <c r="Q41" s="20" t="n">
        <v>23307.10079460271</v>
      </c>
    </row>
    <row r="42">
      <c r="A42" s="19" t="inlineStr">
        <is>
          <t>Company 16</t>
        </is>
      </c>
      <c r="B42" s="19" t="inlineStr">
        <is>
          <t>Software</t>
        </is>
      </c>
      <c r="C42" s="19" t="inlineStr">
        <is>
          <t>Routing</t>
        </is>
      </c>
      <c r="D42" s="19" t="inlineStr">
        <is>
          <t>Denmark</t>
        </is>
      </c>
      <c r="E42" s="20" t="n">
        <v>0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</v>
      </c>
      <c r="K42" s="20" t="n">
        <v>4560</v>
      </c>
      <c r="L42" s="20" t="n">
        <v>7081.200000000001</v>
      </c>
      <c r="M42" s="20" t="n">
        <v>6181.029999999999</v>
      </c>
      <c r="N42" s="20" t="n">
        <v>6296.370000000001</v>
      </c>
      <c r="O42" s="20" t="n">
        <v>6446.96</v>
      </c>
      <c r="P42" s="20" t="n">
        <v>5939.059999999999</v>
      </c>
      <c r="Q42" s="20" t="n">
        <v>8410.99</v>
      </c>
    </row>
    <row r="43">
      <c r="A43" s="19" t="inlineStr">
        <is>
          <t>Company 17</t>
        </is>
      </c>
      <c r="B43" s="19" t="inlineStr">
        <is>
          <t>Software</t>
        </is>
      </c>
      <c r="C43" s="19" t="inlineStr">
        <is>
          <t>ENOM+</t>
        </is>
      </c>
      <c r="D43" s="19" t="inlineStr">
        <is>
          <t>Denmark</t>
        </is>
      </c>
      <c r="E43" s="20" t="n">
        <v>0</v>
      </c>
      <c r="F43" s="20" t="n">
        <v>0</v>
      </c>
      <c r="G43" s="20" t="n">
        <v>0</v>
      </c>
      <c r="H43" s="20" t="n">
        <v>0</v>
      </c>
      <c r="I43" s="20" t="n">
        <v>0</v>
      </c>
      <c r="J43" s="20" t="n">
        <v>10508.68</v>
      </c>
      <c r="K43" s="20" t="n">
        <v>6004.96</v>
      </c>
      <c r="L43" s="20" t="n">
        <v>0</v>
      </c>
      <c r="M43" s="20" t="n">
        <v>0</v>
      </c>
      <c r="N43" s="20" t="n">
        <v>13554.31</v>
      </c>
      <c r="O43" s="20" t="n">
        <v>20703.1</v>
      </c>
      <c r="P43" s="20" t="n">
        <v>19241.88</v>
      </c>
      <c r="Q43" s="20" t="n">
        <v>21414.36</v>
      </c>
    </row>
    <row r="44">
      <c r="A44" s="19" t="inlineStr">
        <is>
          <t>Company 17</t>
        </is>
      </c>
      <c r="B44" s="19" t="inlineStr">
        <is>
          <t>Software</t>
        </is>
      </c>
      <c r="C44" s="19" t="inlineStr">
        <is>
          <t>Routing</t>
        </is>
      </c>
      <c r="D44" s="19" t="inlineStr">
        <is>
          <t>Denmark</t>
        </is>
      </c>
      <c r="E44" s="20" t="n">
        <v>0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19365.99</v>
      </c>
      <c r="K44" s="20" t="n">
        <v>11066.28</v>
      </c>
      <c r="L44" s="20" t="n">
        <v>0</v>
      </c>
      <c r="M44" s="20" t="n">
        <v>0</v>
      </c>
      <c r="N44" s="20" t="n">
        <v>33111.22</v>
      </c>
      <c r="O44" s="20" t="n">
        <v>45215.5</v>
      </c>
      <c r="P44" s="20" t="n">
        <v>41688.32000000001</v>
      </c>
      <c r="Q44" s="20" t="n">
        <v>47683.39</v>
      </c>
    </row>
    <row r="45">
      <c r="A45" s="19" t="inlineStr">
        <is>
          <t>Company 18</t>
        </is>
      </c>
      <c r="B45" s="19" t="inlineStr">
        <is>
          <t>Operations</t>
        </is>
      </c>
      <c r="C45" s="19" t="inlineStr">
        <is>
          <t>Shipper Gas</t>
        </is>
      </c>
      <c r="D45" s="19" t="inlineStr">
        <is>
          <t>UK</t>
        </is>
      </c>
      <c r="E45" s="20" t="n">
        <v>74520</v>
      </c>
      <c r="F45" s="20" t="n">
        <v>74520</v>
      </c>
      <c r="G45" s="20" t="n">
        <v>74520</v>
      </c>
      <c r="H45" s="20" t="n">
        <v>74520</v>
      </c>
      <c r="I45" s="20" t="n">
        <v>74520</v>
      </c>
      <c r="J45" s="20" t="n">
        <v>74520</v>
      </c>
      <c r="K45" s="20" t="n">
        <v>74520</v>
      </c>
      <c r="L45" s="20" t="n">
        <v>74520</v>
      </c>
      <c r="M45" s="20" t="n">
        <v>75760</v>
      </c>
      <c r="N45" s="20" t="n">
        <v>78240</v>
      </c>
      <c r="O45" s="20" t="n">
        <v>78690</v>
      </c>
      <c r="P45" s="20" t="n">
        <v>80077.5</v>
      </c>
      <c r="Q45" s="20" t="n">
        <v>80715.43999999999</v>
      </c>
    </row>
    <row r="46">
      <c r="A46" s="19" t="inlineStr">
        <is>
          <t>Company 19</t>
        </is>
      </c>
      <c r="B46" s="19" t="inlineStr">
        <is>
          <t>Software</t>
        </is>
      </c>
      <c r="C46" s="19" t="inlineStr">
        <is>
          <t>Hosting</t>
        </is>
      </c>
      <c r="D46" s="19" t="inlineStr">
        <is>
          <t>Ireland</t>
        </is>
      </c>
      <c r="E46" s="20" t="n">
        <v>2250</v>
      </c>
      <c r="F46" s="20" t="n">
        <v>3000</v>
      </c>
      <c r="G46" s="20" t="n">
        <v>3000</v>
      </c>
      <c r="H46" s="20" t="n">
        <v>3000</v>
      </c>
      <c r="I46" s="20" t="n">
        <v>3000</v>
      </c>
      <c r="J46" s="20" t="n">
        <v>3000</v>
      </c>
      <c r="K46" s="20" t="n">
        <v>3000</v>
      </c>
      <c r="L46" s="20" t="n">
        <v>3000</v>
      </c>
      <c r="M46" s="20" t="n">
        <v>3000</v>
      </c>
      <c r="N46" s="20" t="n">
        <v>3000</v>
      </c>
      <c r="O46" s="20" t="n">
        <v>3008.08</v>
      </c>
      <c r="P46" s="20" t="n">
        <v>741.92</v>
      </c>
      <c r="Q46" s="20" t="n">
        <v>0</v>
      </c>
    </row>
    <row r="47">
      <c r="A47" s="19" t="inlineStr">
        <is>
          <t>Company 20</t>
        </is>
      </c>
      <c r="B47" s="19" t="inlineStr">
        <is>
          <t>Operations</t>
        </is>
      </c>
      <c r="C47" s="19" t="inlineStr">
        <is>
          <t>Shipper Gas</t>
        </is>
      </c>
      <c r="D47" s="19" t="inlineStr">
        <is>
          <t>UK</t>
        </is>
      </c>
      <c r="E47" s="20" t="n">
        <v>9000</v>
      </c>
      <c r="F47" s="20" t="n">
        <v>68000</v>
      </c>
      <c r="G47" s="20" t="n">
        <v>85200</v>
      </c>
      <c r="H47" s="20" t="n">
        <v>85200</v>
      </c>
      <c r="I47" s="20" t="n">
        <v>85200</v>
      </c>
      <c r="J47" s="20" t="n">
        <v>85200</v>
      </c>
      <c r="K47" s="20" t="n">
        <v>85200</v>
      </c>
      <c r="L47" s="20" t="n">
        <v>85200</v>
      </c>
      <c r="M47" s="20" t="n">
        <v>85200</v>
      </c>
      <c r="N47" s="20" t="n">
        <v>85200</v>
      </c>
      <c r="O47" s="20" t="n">
        <v>89886</v>
      </c>
      <c r="P47" s="20" t="n">
        <v>90312</v>
      </c>
      <c r="Q47" s="20" t="n">
        <v>93607.39999999998</v>
      </c>
    </row>
    <row r="48">
      <c r="A48" s="19" t="inlineStr">
        <is>
          <t>Company 20</t>
        </is>
      </c>
      <c r="B48" s="19" t="inlineStr">
        <is>
          <t>Software</t>
        </is>
      </c>
      <c r="C48" s="19" t="inlineStr">
        <is>
          <t>Chorus</t>
        </is>
      </c>
      <c r="D48" s="19" t="inlineStr">
        <is>
          <t>UK</t>
        </is>
      </c>
      <c r="E48" s="20" t="n">
        <v>0</v>
      </c>
      <c r="F48" s="20" t="n">
        <v>0</v>
      </c>
      <c r="G48" s="20" t="n">
        <v>0</v>
      </c>
      <c r="H48" s="20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10664.99</v>
      </c>
      <c r="P48" s="20" t="n">
        <v>8649.749999999998</v>
      </c>
      <c r="Q48" s="20" t="n">
        <v>8092.859999999998</v>
      </c>
    </row>
    <row r="49">
      <c r="A49" s="19" t="inlineStr">
        <is>
          <t>Company 20</t>
        </is>
      </c>
      <c r="B49" s="19" t="inlineStr">
        <is>
          <t>Software</t>
        </is>
      </c>
      <c r="C49" s="19" t="inlineStr">
        <is>
          <t>Routing</t>
        </is>
      </c>
      <c r="D49" s="19" t="inlineStr">
        <is>
          <t>UK</t>
        </is>
      </c>
      <c r="E49" s="20" t="n">
        <v>0</v>
      </c>
      <c r="F49" s="20" t="n">
        <v>0</v>
      </c>
      <c r="G49" s="20" t="n">
        <v>0</v>
      </c>
      <c r="H49" s="20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4418.639999999999</v>
      </c>
      <c r="Q49" s="20" t="n">
        <v>5101.360000000001</v>
      </c>
    </row>
    <row r="50">
      <c r="A50" s="19" t="inlineStr">
        <is>
          <t>Company 21</t>
        </is>
      </c>
      <c r="B50" s="19" t="inlineStr">
        <is>
          <t>Operations</t>
        </is>
      </c>
      <c r="C50" s="19" t="inlineStr">
        <is>
          <t>Shipper Gas</t>
        </is>
      </c>
      <c r="D50" s="19" t="inlineStr">
        <is>
          <t>USA</t>
        </is>
      </c>
      <c r="E50" s="20" t="n">
        <v>0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0</v>
      </c>
      <c r="K50" s="20" t="n">
        <v>0</v>
      </c>
      <c r="L50" s="20" t="n">
        <v>0</v>
      </c>
      <c r="M50" s="20" t="n">
        <v>0</v>
      </c>
      <c r="N50" s="20" t="n">
        <v>2500</v>
      </c>
      <c r="O50" s="20" t="n">
        <v>0</v>
      </c>
      <c r="P50" s="20" t="n">
        <v>13250</v>
      </c>
      <c r="Q50" s="20" t="n">
        <v>27080</v>
      </c>
    </row>
    <row r="51">
      <c r="A51" s="19" t="inlineStr">
        <is>
          <t>Company 21</t>
        </is>
      </c>
      <c r="B51" s="19" t="inlineStr">
        <is>
          <t>Software</t>
        </is>
      </c>
      <c r="C51" s="19" t="inlineStr">
        <is>
          <t>Chorus</t>
        </is>
      </c>
      <c r="D51" s="19" t="inlineStr">
        <is>
          <t>USA</t>
        </is>
      </c>
      <c r="E51" s="20" t="n">
        <v>0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12750</v>
      </c>
      <c r="Q51" s="20" t="n">
        <v>25575</v>
      </c>
    </row>
    <row r="52">
      <c r="A52" s="19" t="inlineStr">
        <is>
          <t>Company 21</t>
        </is>
      </c>
      <c r="B52" s="19" t="inlineStr">
        <is>
          <t>Software</t>
        </is>
      </c>
      <c r="C52" s="19" t="inlineStr">
        <is>
          <t>PowerTrak</t>
        </is>
      </c>
      <c r="D52" s="19" t="inlineStr">
        <is>
          <t>USA</t>
        </is>
      </c>
      <c r="E52" s="20" t="n">
        <v>0</v>
      </c>
      <c r="F52" s="20" t="n">
        <v>0</v>
      </c>
      <c r="G52" s="20" t="n">
        <v>0</v>
      </c>
      <c r="H52" s="20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10500</v>
      </c>
      <c r="Q52" s="20" t="n">
        <v>21065</v>
      </c>
    </row>
    <row r="53">
      <c r="A53" s="19" t="inlineStr">
        <is>
          <t>Company 22</t>
        </is>
      </c>
      <c r="B53" s="19" t="inlineStr">
        <is>
          <t>Software</t>
        </is>
      </c>
      <c r="C53" s="19" t="inlineStr">
        <is>
          <t>ENOM+</t>
        </is>
      </c>
      <c r="D53" s="19" t="inlineStr">
        <is>
          <t>UK</t>
        </is>
      </c>
      <c r="E53" s="20" t="n">
        <v>18849.8</v>
      </c>
      <c r="F53" s="20" t="n">
        <v>18850</v>
      </c>
      <c r="G53" s="20" t="n">
        <v>18850</v>
      </c>
      <c r="H53" s="20" t="n">
        <v>18850</v>
      </c>
      <c r="I53" s="20" t="n">
        <v>19320.82</v>
      </c>
      <c r="J53" s="20" t="n">
        <v>19852.5</v>
      </c>
      <c r="K53" s="20" t="n">
        <v>19940</v>
      </c>
      <c r="L53" s="20" t="n">
        <v>19940</v>
      </c>
      <c r="M53" s="20" t="n">
        <v>20440</v>
      </c>
      <c r="N53" s="20" t="n">
        <v>21048.34</v>
      </c>
      <c r="O53" s="20" t="n">
        <v>21786.24</v>
      </c>
      <c r="P53" s="20" t="n">
        <v>22332.74</v>
      </c>
      <c r="Q53" s="20" t="n">
        <v>23218.468</v>
      </c>
    </row>
    <row r="54">
      <c r="A54" s="19" t="inlineStr">
        <is>
          <t>Company 22</t>
        </is>
      </c>
      <c r="B54" s="19" t="inlineStr">
        <is>
          <t>Software</t>
        </is>
      </c>
      <c r="C54" s="19" t="inlineStr">
        <is>
          <t>EuroRunner</t>
        </is>
      </c>
      <c r="D54" s="19" t="inlineStr">
        <is>
          <t>UK</t>
        </is>
      </c>
      <c r="E54" s="20" t="n">
        <v>396911.44</v>
      </c>
      <c r="F54" s="20" t="n">
        <v>319355</v>
      </c>
      <c r="G54" s="20" t="n">
        <v>322977.36</v>
      </c>
      <c r="H54" s="20" t="n">
        <v>356000.59</v>
      </c>
      <c r="I54" s="20" t="n">
        <v>333352.68</v>
      </c>
      <c r="J54" s="20" t="n">
        <v>321693.0400000001</v>
      </c>
      <c r="K54" s="20" t="n">
        <v>329542.0000000001</v>
      </c>
      <c r="L54" s="20" t="n">
        <v>334716.6400000001</v>
      </c>
      <c r="M54" s="20" t="n">
        <v>342541.64</v>
      </c>
      <c r="N54" s="20" t="n">
        <v>359886.22</v>
      </c>
      <c r="O54" s="20" t="n">
        <v>394648.2020000001</v>
      </c>
      <c r="P54" s="20" t="n">
        <v>373946.46</v>
      </c>
      <c r="Q54" s="20" t="n">
        <v>390584.21128</v>
      </c>
    </row>
    <row r="55">
      <c r="A55" s="19" t="inlineStr">
        <is>
          <t>Company 22</t>
        </is>
      </c>
      <c r="B55" s="19" t="inlineStr">
        <is>
          <t>Software</t>
        </is>
      </c>
      <c r="C55" s="19" t="inlineStr">
        <is>
          <t>Hosting</t>
        </is>
      </c>
      <c r="D55" s="19" t="inlineStr">
        <is>
          <t>UK</t>
        </is>
      </c>
      <c r="E55" s="20" t="n">
        <v>0</v>
      </c>
      <c r="F55" s="20" t="n">
        <v>0</v>
      </c>
      <c r="G55" s="20" t="n">
        <v>25925.01000000001</v>
      </c>
      <c r="H55" s="20" t="n">
        <v>25900.00000000001</v>
      </c>
      <c r="I55" s="20" t="n">
        <v>26481.23</v>
      </c>
      <c r="J55" s="20" t="n">
        <v>27181.24999999999</v>
      </c>
      <c r="K55" s="20" t="n">
        <v>27349.99999999999</v>
      </c>
      <c r="L55" s="20" t="n">
        <v>27349.99999999999</v>
      </c>
      <c r="M55" s="20" t="n">
        <v>28427.02</v>
      </c>
      <c r="N55" s="20" t="n">
        <v>29546.50000000001</v>
      </c>
      <c r="O55" s="20" t="n">
        <v>30204.33</v>
      </c>
      <c r="P55" s="20" t="n">
        <v>30875.5</v>
      </c>
      <c r="Q55" s="20" t="n">
        <v>32093.81256</v>
      </c>
    </row>
    <row r="56">
      <c r="A56" s="19" t="inlineStr">
        <is>
          <t>Company 22</t>
        </is>
      </c>
      <c r="B56" s="19" t="inlineStr">
        <is>
          <t>Software</t>
        </is>
      </c>
      <c r="C56" s="19" t="inlineStr">
        <is>
          <t>PowerTrak</t>
        </is>
      </c>
      <c r="D56" s="19" t="inlineStr">
        <is>
          <t>UK</t>
        </is>
      </c>
      <c r="E56" s="20" t="n">
        <v>0</v>
      </c>
      <c r="F56" s="20" t="n">
        <v>0</v>
      </c>
      <c r="G56" s="20" t="n">
        <v>58984.86999999999</v>
      </c>
      <c r="H56" s="20" t="n">
        <v>44599.94000000001</v>
      </c>
      <c r="I56" s="20" t="n">
        <v>47935.00000000001</v>
      </c>
      <c r="J56" s="20" t="n">
        <v>54632.47999999999</v>
      </c>
      <c r="K56" s="20" t="n">
        <v>55849.99999999999</v>
      </c>
      <c r="L56" s="20" t="n">
        <v>59449.99999999999</v>
      </c>
      <c r="M56" s="20" t="n">
        <v>70310</v>
      </c>
      <c r="N56" s="20" t="n">
        <v>58823.74999999999</v>
      </c>
      <c r="O56" s="20" t="n">
        <v>73069.08</v>
      </c>
      <c r="P56" s="20" t="n">
        <v>92921.69</v>
      </c>
      <c r="Q56" s="20" t="n">
        <v>93088.38</v>
      </c>
    </row>
    <row r="57">
      <c r="A57" s="19" t="inlineStr">
        <is>
          <t>Company 22</t>
        </is>
      </c>
      <c r="B57" s="19" t="inlineStr">
        <is>
          <t>Software</t>
        </is>
      </c>
      <c r="C57" s="19" t="inlineStr">
        <is>
          <t>Routing</t>
        </is>
      </c>
      <c r="D57" s="19" t="inlineStr">
        <is>
          <t>UK</t>
        </is>
      </c>
      <c r="E57" s="20" t="n">
        <v>16400</v>
      </c>
      <c r="F57" s="20" t="n">
        <v>16800</v>
      </c>
      <c r="G57" s="20" t="n">
        <v>19342.84</v>
      </c>
      <c r="H57" s="20" t="n">
        <v>18125.5</v>
      </c>
      <c r="I57" s="20" t="n">
        <v>19116.66</v>
      </c>
      <c r="J57" s="20" t="n">
        <v>20136.68</v>
      </c>
      <c r="K57" s="20" t="n">
        <v>21907.5</v>
      </c>
      <c r="L57" s="20" t="n">
        <v>24870.81999999999</v>
      </c>
      <c r="M57" s="20" t="n">
        <v>27158.34</v>
      </c>
      <c r="N57" s="20" t="n">
        <v>33272.5</v>
      </c>
      <c r="O57" s="20" t="n">
        <v>37784.03999999999</v>
      </c>
      <c r="P57" s="20" t="n">
        <v>41545.10000000001</v>
      </c>
      <c r="Q57" s="20" t="n">
        <v>41067.99080000001</v>
      </c>
    </row>
    <row r="58">
      <c r="A58" s="19" t="inlineStr">
        <is>
          <t>Company 22</t>
        </is>
      </c>
      <c r="B58" s="19" t="inlineStr">
        <is>
          <t>Software</t>
        </is>
      </c>
      <c r="C58" s="19" t="inlineStr">
        <is>
          <t>ENOM</t>
        </is>
      </c>
      <c r="D58" s="19" t="inlineStr">
        <is>
          <t>UK</t>
        </is>
      </c>
      <c r="E58" s="20" t="n">
        <v>0</v>
      </c>
      <c r="F58" s="20" t="n">
        <v>0</v>
      </c>
      <c r="G58" s="20" t="n">
        <v>0</v>
      </c>
      <c r="H58" s="20" t="n">
        <v>8493</v>
      </c>
      <c r="I58" s="20" t="n">
        <v>6250</v>
      </c>
      <c r="J58" s="20" t="n">
        <v>17291.28</v>
      </c>
      <c r="K58" s="20" t="n">
        <v>23449.88</v>
      </c>
      <c r="L58" s="20" t="n">
        <v>23450</v>
      </c>
      <c r="M58" s="20" t="n">
        <v>23979.18</v>
      </c>
      <c r="N58" s="20" t="n">
        <v>14175.01</v>
      </c>
      <c r="O58" s="20" t="n">
        <v>11456.938</v>
      </c>
      <c r="P58" s="20" t="n">
        <v>11723.07</v>
      </c>
      <c r="Q58" s="20" t="n">
        <v>12247.98344768</v>
      </c>
    </row>
    <row r="59">
      <c r="A59" s="19" t="inlineStr">
        <is>
          <t>Company 22</t>
        </is>
      </c>
      <c r="B59" s="19" t="inlineStr">
        <is>
          <t>Software</t>
        </is>
      </c>
      <c r="C59" s="19" t="inlineStr">
        <is>
          <t>Routing</t>
        </is>
      </c>
      <c r="D59" s="19" t="inlineStr">
        <is>
          <t>UK</t>
        </is>
      </c>
      <c r="E59" s="20" t="n">
        <v>0</v>
      </c>
      <c r="F59" s="20" t="n">
        <v>0</v>
      </c>
      <c r="G59" s="20" t="n">
        <v>0</v>
      </c>
      <c r="H59" s="20" t="n">
        <v>790.0000000000001</v>
      </c>
      <c r="I59" s="20" t="n">
        <v>675</v>
      </c>
      <c r="J59" s="20" t="n">
        <v>4425.879999999999</v>
      </c>
      <c r="K59" s="20" t="n">
        <v>8300.77</v>
      </c>
      <c r="L59" s="20" t="n">
        <v>9130</v>
      </c>
      <c r="M59" s="20" t="n">
        <v>9338.35</v>
      </c>
      <c r="N59" s="20" t="n">
        <v>9026.650000000001</v>
      </c>
      <c r="O59" s="20" t="n">
        <v>9008.245999999999</v>
      </c>
      <c r="P59" s="20" t="n">
        <v>9241.34</v>
      </c>
      <c r="Q59" s="20" t="n">
        <v>9448.057439360002</v>
      </c>
    </row>
    <row r="60">
      <c r="A60" s="19" t="inlineStr">
        <is>
          <t>Company 22</t>
        </is>
      </c>
      <c r="B60" s="19" t="inlineStr">
        <is>
          <t>Software</t>
        </is>
      </c>
      <c r="C60" s="19" t="inlineStr">
        <is>
          <t>Routing</t>
        </is>
      </c>
      <c r="D60" s="19" t="inlineStr">
        <is>
          <t>UK</t>
        </is>
      </c>
      <c r="E60" s="20" t="n">
        <v>0</v>
      </c>
      <c r="F60" s="20" t="n">
        <v>0</v>
      </c>
      <c r="G60" s="20" t="n">
        <v>2468.92</v>
      </c>
      <c r="H60" s="20" t="n">
        <v>5073.19</v>
      </c>
      <c r="I60" s="20" t="n">
        <v>5837.49</v>
      </c>
      <c r="J60" s="20" t="n">
        <v>7222.5</v>
      </c>
      <c r="K60" s="20" t="n">
        <v>7470</v>
      </c>
      <c r="L60" s="20" t="n">
        <v>7470</v>
      </c>
      <c r="M60" s="20" t="n">
        <v>6356.25</v>
      </c>
      <c r="N60" s="20" t="n">
        <v>6116.259999999999</v>
      </c>
      <c r="O60" s="20" t="n">
        <v>9727.6</v>
      </c>
      <c r="P60" s="20" t="n">
        <v>14487.65</v>
      </c>
      <c r="Q60" s="20" t="n">
        <v>14805.43</v>
      </c>
    </row>
    <row r="61">
      <c r="A61" s="19" t="inlineStr">
        <is>
          <t>Company 23</t>
        </is>
      </c>
      <c r="B61" s="19" t="inlineStr">
        <is>
          <t>Operations</t>
        </is>
      </c>
      <c r="C61" s="19" t="inlineStr">
        <is>
          <t>Shipper Gas</t>
        </is>
      </c>
      <c r="D61" s="19" t="inlineStr">
        <is>
          <t>Italy</t>
        </is>
      </c>
      <c r="E61" s="20" t="n">
        <v>15842.26</v>
      </c>
      <c r="F61" s="20" t="n">
        <v>29336.12</v>
      </c>
      <c r="G61" s="20" t="n">
        <v>34670.32</v>
      </c>
      <c r="H61" s="20" t="n">
        <v>36920.72</v>
      </c>
      <c r="I61" s="20" t="n">
        <v>37227.18</v>
      </c>
      <c r="J61" s="20" t="n">
        <v>36774.63999999999</v>
      </c>
      <c r="K61" s="20" t="n">
        <v>37368.34</v>
      </c>
      <c r="L61" s="20" t="n">
        <v>35957.07</v>
      </c>
      <c r="M61" s="20" t="n">
        <v>35920.05</v>
      </c>
      <c r="N61" s="20" t="n">
        <v>36481.19</v>
      </c>
      <c r="O61" s="20" t="n">
        <v>35670.10598290598</v>
      </c>
      <c r="P61" s="20" t="n">
        <v>35983.99999999999</v>
      </c>
      <c r="Q61" s="20" t="n">
        <v>37631.97848575712</v>
      </c>
    </row>
    <row r="62">
      <c r="A62" s="19" t="inlineStr">
        <is>
          <t>Company 23</t>
        </is>
      </c>
      <c r="B62" s="19" t="inlineStr">
        <is>
          <t>Software</t>
        </is>
      </c>
      <c r="C62" s="19" t="inlineStr">
        <is>
          <t>ENOM</t>
        </is>
      </c>
      <c r="D62" s="19" t="inlineStr">
        <is>
          <t>Italy</t>
        </is>
      </c>
      <c r="E62" s="20" t="n">
        <v>10240.65</v>
      </c>
      <c r="F62" s="20" t="n">
        <v>9583.820000000002</v>
      </c>
      <c r="G62" s="20" t="n">
        <v>9549.790000000001</v>
      </c>
      <c r="H62" s="20" t="n">
        <v>10884.34</v>
      </c>
      <c r="I62" s="20" t="n">
        <v>11047.01</v>
      </c>
      <c r="J62" s="20" t="n">
        <v>11027.63</v>
      </c>
      <c r="K62" s="20" t="n">
        <v>11096.28</v>
      </c>
      <c r="L62" s="20" t="n">
        <v>11085.7</v>
      </c>
      <c r="M62" s="20" t="n">
        <v>10969.72</v>
      </c>
      <c r="N62" s="20" t="n">
        <v>12098.7</v>
      </c>
      <c r="O62" s="20" t="n">
        <v>11830.19076923077</v>
      </c>
      <c r="P62" s="20" t="n">
        <v>11944.35</v>
      </c>
      <c r="Q62" s="20" t="n">
        <v>11992.38857571214</v>
      </c>
    </row>
    <row r="63">
      <c r="A63" s="19" t="inlineStr">
        <is>
          <t>Company 23</t>
        </is>
      </c>
      <c r="B63" s="19" t="inlineStr">
        <is>
          <t>Software</t>
        </is>
      </c>
      <c r="C63" s="19" t="inlineStr">
        <is>
          <t>Routing</t>
        </is>
      </c>
      <c r="D63" s="19" t="inlineStr">
        <is>
          <t>Italy</t>
        </is>
      </c>
      <c r="E63" s="20" t="n">
        <v>784.51</v>
      </c>
      <c r="F63" s="20" t="n">
        <v>1258.57</v>
      </c>
      <c r="G63" s="20" t="n">
        <v>2926.490000000001</v>
      </c>
      <c r="H63" s="20" t="n">
        <v>3335.52</v>
      </c>
      <c r="I63" s="20" t="n">
        <v>2963.14</v>
      </c>
      <c r="J63" s="20" t="n">
        <v>2324.16</v>
      </c>
      <c r="K63" s="20" t="n">
        <v>4250.570000000001</v>
      </c>
      <c r="L63" s="20" t="n">
        <v>4246.599999999999</v>
      </c>
      <c r="M63" s="20" t="n">
        <v>4202.099999999999</v>
      </c>
      <c r="N63" s="20" t="n">
        <v>4634.559999999999</v>
      </c>
      <c r="O63" s="20" t="n">
        <v>4530.656153846155</v>
      </c>
      <c r="P63" s="20" t="n">
        <v>4881.07</v>
      </c>
      <c r="Q63" s="20" t="n">
        <v>4590.329220389805</v>
      </c>
    </row>
    <row r="64">
      <c r="A64" s="19" t="inlineStr">
        <is>
          <t>Company 24</t>
        </is>
      </c>
      <c r="B64" s="19" t="inlineStr">
        <is>
          <t>Software</t>
        </is>
      </c>
      <c r="C64" s="19" t="inlineStr">
        <is>
          <t>Fluxys Software</t>
        </is>
      </c>
      <c r="D64" s="19" t="inlineStr">
        <is>
          <t>France</t>
        </is>
      </c>
      <c r="E64" s="20" t="n">
        <v>108833.69</v>
      </c>
      <c r="F64" s="20" t="n">
        <v>198950.13</v>
      </c>
      <c r="G64" s="20" t="n">
        <v>229376.99</v>
      </c>
      <c r="H64" s="20" t="n">
        <v>32157.69</v>
      </c>
      <c r="I64" s="20" t="n">
        <v>177412.25</v>
      </c>
      <c r="J64" s="20" t="n">
        <v>246573.84</v>
      </c>
      <c r="K64" s="20" t="n">
        <v>207880.61</v>
      </c>
      <c r="L64" s="20" t="n">
        <v>142937.72</v>
      </c>
      <c r="M64" s="20" t="n">
        <v>139314.34</v>
      </c>
      <c r="N64" s="20" t="n">
        <v>148364.78</v>
      </c>
      <c r="O64" s="20" t="n">
        <v>173847.68</v>
      </c>
      <c r="P64" s="20" t="n">
        <v>0</v>
      </c>
      <c r="Q64" s="20" t="n">
        <v>0</v>
      </c>
    </row>
    <row r="65">
      <c r="A65" s="19" t="inlineStr">
        <is>
          <t>Company 25</t>
        </is>
      </c>
      <c r="B65" s="19" t="inlineStr">
        <is>
          <t>Operations</t>
        </is>
      </c>
      <c r="C65" s="19" t="inlineStr">
        <is>
          <t>Demand Text</t>
        </is>
      </c>
      <c r="D65" s="19" t="inlineStr">
        <is>
          <t>Italy</t>
        </is>
      </c>
      <c r="E65" s="20" t="n">
        <v>7200</v>
      </c>
      <c r="F65" s="20" t="n">
        <v>5400</v>
      </c>
      <c r="G65" s="20" t="n">
        <v>5400</v>
      </c>
      <c r="H65" s="20" t="n">
        <v>5400</v>
      </c>
      <c r="I65" s="20" t="n">
        <v>5400</v>
      </c>
      <c r="J65" s="20" t="n">
        <v>3600</v>
      </c>
      <c r="K65" s="20" t="n">
        <v>2700</v>
      </c>
      <c r="L65" s="20" t="n">
        <v>2700</v>
      </c>
      <c r="M65" s="20" t="n">
        <v>2700</v>
      </c>
      <c r="N65" s="20" t="n">
        <v>2700</v>
      </c>
      <c r="O65" s="20" t="n">
        <v>2713</v>
      </c>
      <c r="P65" s="20" t="n">
        <v>-39.14999999999986</v>
      </c>
      <c r="Q65" s="20" t="n">
        <v>2828.937999999999</v>
      </c>
    </row>
    <row r="66">
      <c r="A66" s="19" t="inlineStr">
        <is>
          <t>Company 26</t>
        </is>
      </c>
      <c r="B66" s="19" t="inlineStr">
        <is>
          <t>Operations</t>
        </is>
      </c>
      <c r="C66" s="19" t="inlineStr">
        <is>
          <t>Market Gas</t>
        </is>
      </c>
      <c r="D66" s="19" t="inlineStr">
        <is>
          <t>Singapore</t>
        </is>
      </c>
      <c r="E66" s="20" t="n">
        <v>0</v>
      </c>
      <c r="F66" s="20" t="n">
        <v>64500</v>
      </c>
      <c r="G66" s="20" t="n">
        <v>82560</v>
      </c>
      <c r="H66" s="20" t="n">
        <v>83590</v>
      </c>
      <c r="I66" s="20" t="n">
        <v>85032</v>
      </c>
      <c r="J66" s="20" t="n">
        <v>87717</v>
      </c>
      <c r="K66" s="20" t="n">
        <v>105485</v>
      </c>
      <c r="L66" s="20" t="n">
        <v>105120</v>
      </c>
      <c r="M66" s="20" t="n">
        <v>107745</v>
      </c>
      <c r="N66" s="20" t="n">
        <v>113270</v>
      </c>
      <c r="O66" s="20" t="n">
        <v>115860</v>
      </c>
      <c r="P66" s="20" t="n">
        <v>117785</v>
      </c>
      <c r="Q66" s="20" t="n">
        <v>122488</v>
      </c>
    </row>
    <row r="67">
      <c r="A67" s="19" t="inlineStr">
        <is>
          <t>Company 27</t>
        </is>
      </c>
      <c r="B67" s="19" t="inlineStr">
        <is>
          <t>Software</t>
        </is>
      </c>
      <c r="C67" s="19" t="inlineStr">
        <is>
          <t>ENOM</t>
        </is>
      </c>
      <c r="D67" s="19" t="inlineStr">
        <is>
          <t>Netherlands</t>
        </is>
      </c>
      <c r="E67" s="20" t="n">
        <v>4129.47</v>
      </c>
      <c r="F67" s="20" t="n">
        <v>13998.47</v>
      </c>
      <c r="G67" s="20" t="n">
        <v>9465.110000000001</v>
      </c>
      <c r="H67" s="20" t="n">
        <v>10799.08</v>
      </c>
      <c r="I67" s="20" t="n">
        <v>11121.33</v>
      </c>
      <c r="J67" s="20" t="n">
        <v>11174.65</v>
      </c>
      <c r="K67" s="20" t="n">
        <v>11309.69</v>
      </c>
      <c r="L67" s="20" t="n">
        <v>10923.97</v>
      </c>
      <c r="M67" s="20" t="n">
        <v>10473.46</v>
      </c>
      <c r="N67" s="20" t="n">
        <v>10516.72</v>
      </c>
      <c r="O67" s="20" t="n">
        <v>10780.32478632479</v>
      </c>
      <c r="P67" s="20" t="n">
        <v>11130.58</v>
      </c>
      <c r="Q67" s="20" t="n">
        <v>11707.41790104948</v>
      </c>
    </row>
    <row r="68">
      <c r="A68" s="19" t="inlineStr">
        <is>
          <t>Company 27</t>
        </is>
      </c>
      <c r="B68" s="19" t="inlineStr">
        <is>
          <t>Software</t>
        </is>
      </c>
      <c r="C68" s="19" t="inlineStr">
        <is>
          <t>Routing</t>
        </is>
      </c>
      <c r="D68" s="19" t="inlineStr">
        <is>
          <t>Netherlands</t>
        </is>
      </c>
      <c r="E68" s="20" t="n">
        <v>632.73</v>
      </c>
      <c r="F68" s="20" t="n">
        <v>1442.19</v>
      </c>
      <c r="G68" s="20" t="n">
        <v>1450.32</v>
      </c>
      <c r="H68" s="20" t="n">
        <v>1654.7</v>
      </c>
      <c r="I68" s="20" t="n">
        <v>1704.08</v>
      </c>
      <c r="J68" s="20" t="n">
        <v>1712.2</v>
      </c>
      <c r="K68" s="20" t="n">
        <v>1733.04</v>
      </c>
      <c r="L68" s="20" t="n">
        <v>2010.51</v>
      </c>
      <c r="M68" s="20" t="n">
        <v>2407.23</v>
      </c>
      <c r="N68" s="20" t="n">
        <v>2691.52</v>
      </c>
      <c r="O68" s="20" t="n">
        <v>4129.180085470086</v>
      </c>
      <c r="P68" s="20" t="n">
        <v>4247.79</v>
      </c>
      <c r="Q68" s="20" t="n">
        <v>4462.003883058472</v>
      </c>
    </row>
    <row r="69">
      <c r="A69" s="19" t="inlineStr">
        <is>
          <t>Company 28</t>
        </is>
      </c>
      <c r="B69" s="19" t="inlineStr">
        <is>
          <t>Operations</t>
        </is>
      </c>
      <c r="C69" s="19" t="inlineStr">
        <is>
          <t>Shipper Gas</t>
        </is>
      </c>
      <c r="D69" s="19" t="inlineStr">
        <is>
          <t>UK</t>
        </is>
      </c>
      <c r="E69" s="20" t="n">
        <v>60500</v>
      </c>
      <c r="F69" s="20" t="n">
        <v>129120</v>
      </c>
      <c r="G69" s="20" t="n">
        <v>136800</v>
      </c>
      <c r="H69" s="20" t="n">
        <v>136800</v>
      </c>
      <c r="I69" s="20" t="n">
        <v>128960</v>
      </c>
      <c r="J69" s="20" t="n">
        <v>107520</v>
      </c>
      <c r="K69" s="20" t="n">
        <v>107520</v>
      </c>
      <c r="L69" s="20" t="n">
        <v>104640</v>
      </c>
      <c r="M69" s="20" t="n">
        <v>96000</v>
      </c>
      <c r="N69" s="20" t="n">
        <v>96750</v>
      </c>
      <c r="O69" s="20" t="n">
        <v>105896</v>
      </c>
      <c r="P69" s="20" t="n">
        <v>123207</v>
      </c>
      <c r="Q69" s="20" t="n">
        <v>128400</v>
      </c>
    </row>
    <row r="70">
      <c r="A70" s="19" t="inlineStr">
        <is>
          <t>Company 28</t>
        </is>
      </c>
      <c r="B70" s="19" t="inlineStr">
        <is>
          <t>Software</t>
        </is>
      </c>
      <c r="C70" s="19" t="inlineStr">
        <is>
          <t>ENOM+</t>
        </is>
      </c>
      <c r="D70" s="19" t="inlineStr">
        <is>
          <t>UK</t>
        </is>
      </c>
      <c r="E70" s="20" t="n">
        <v>17500</v>
      </c>
      <c r="F70" s="20" t="n">
        <v>17500</v>
      </c>
      <c r="G70" s="20" t="n">
        <v>17500</v>
      </c>
      <c r="H70" s="20" t="n">
        <v>17500</v>
      </c>
      <c r="I70" s="20" t="n">
        <v>17500</v>
      </c>
      <c r="J70" s="20" t="n">
        <v>17500</v>
      </c>
      <c r="K70" s="20" t="n">
        <v>17500</v>
      </c>
      <c r="L70" s="20" t="n">
        <v>17500</v>
      </c>
      <c r="M70" s="20" t="n">
        <v>17500</v>
      </c>
      <c r="N70" s="20" t="n">
        <v>17500</v>
      </c>
      <c r="O70" s="20" t="n">
        <v>17586.33</v>
      </c>
      <c r="P70" s="20" t="n">
        <v>18104.81</v>
      </c>
      <c r="Q70" s="20" t="n">
        <v>18984.96</v>
      </c>
    </row>
    <row r="71">
      <c r="A71" s="19" t="inlineStr">
        <is>
          <t>Company 28</t>
        </is>
      </c>
      <c r="B71" s="19" t="inlineStr">
        <is>
          <t>Software</t>
        </is>
      </c>
      <c r="C71" s="19" t="inlineStr">
        <is>
          <t>Routing</t>
        </is>
      </c>
      <c r="D71" s="19" t="inlineStr">
        <is>
          <t>UK</t>
        </is>
      </c>
      <c r="E71" s="20" t="n">
        <v>5398.3</v>
      </c>
      <c r="F71" s="20" t="n">
        <v>9085</v>
      </c>
      <c r="G71" s="20" t="n">
        <v>11586.7</v>
      </c>
      <c r="H71" s="20" t="n">
        <v>13833.3</v>
      </c>
      <c r="I71" s="20" t="n">
        <v>11316.7</v>
      </c>
      <c r="J71" s="20" t="n">
        <v>8166.7</v>
      </c>
      <c r="K71" s="20" t="n">
        <v>7000</v>
      </c>
      <c r="L71" s="20" t="n">
        <v>6766.6</v>
      </c>
      <c r="M71" s="20" t="n">
        <v>5833.4</v>
      </c>
      <c r="N71" s="20" t="n">
        <v>7233.3</v>
      </c>
      <c r="O71" s="20" t="n">
        <v>9166.110000000001</v>
      </c>
      <c r="P71" s="20" t="n">
        <v>13053.33</v>
      </c>
      <c r="Q71" s="20" t="n">
        <v>13665.36</v>
      </c>
    </row>
    <row r="72">
      <c r="A72" s="19" t="inlineStr">
        <is>
          <t>Company 28</t>
        </is>
      </c>
      <c r="B72" s="19" t="inlineStr">
        <is>
          <t>Power</t>
        </is>
      </c>
      <c r="C72" s="19" t="inlineStr">
        <is>
          <t>Shipper Power</t>
        </is>
      </c>
      <c r="D72" s="19" t="inlineStr">
        <is>
          <t>UK</t>
        </is>
      </c>
      <c r="E72" s="20" t="n">
        <v>0</v>
      </c>
      <c r="F72" s="20" t="n">
        <v>0</v>
      </c>
      <c r="G72" s="20" t="n">
        <v>3000</v>
      </c>
      <c r="H72" s="20" t="n">
        <v>0</v>
      </c>
      <c r="I72" s="20" t="n">
        <v>0</v>
      </c>
      <c r="J72" s="20" t="n">
        <v>0</v>
      </c>
      <c r="K72" s="20" t="n">
        <v>0</v>
      </c>
      <c r="L72" s="20" t="n">
        <v>0</v>
      </c>
      <c r="M72" s="20" t="n">
        <v>0</v>
      </c>
      <c r="N72" s="20" t="n">
        <v>75090</v>
      </c>
      <c r="O72" s="20" t="n">
        <v>95660.8</v>
      </c>
      <c r="P72" s="20" t="n">
        <v>115138</v>
      </c>
      <c r="Q72" s="20" t="n">
        <v>109031.52</v>
      </c>
    </row>
    <row r="73">
      <c r="A73" s="19" t="inlineStr">
        <is>
          <t>Company 29</t>
        </is>
      </c>
      <c r="B73" s="19" t="inlineStr">
        <is>
          <t>Operations</t>
        </is>
      </c>
      <c r="C73" s="19" t="inlineStr">
        <is>
          <t>Demand Text</t>
        </is>
      </c>
      <c r="D73" s="19" t="inlineStr">
        <is>
          <t>UK</t>
        </is>
      </c>
      <c r="E73" s="20" t="n">
        <v>0</v>
      </c>
      <c r="F73" s="20" t="n">
        <v>6000</v>
      </c>
      <c r="G73" s="20" t="n">
        <v>7200</v>
      </c>
      <c r="H73" s="20" t="n">
        <v>7200</v>
      </c>
      <c r="I73" s="20" t="n">
        <v>7800</v>
      </c>
      <c r="J73" s="20" t="n">
        <v>11200</v>
      </c>
      <c r="K73" s="20" t="n">
        <v>12000</v>
      </c>
      <c r="L73" s="20" t="n">
        <v>12000</v>
      </c>
      <c r="M73" s="20" t="n">
        <v>10000</v>
      </c>
      <c r="N73" s="20" t="n">
        <v>4800</v>
      </c>
      <c r="O73" s="20" t="n">
        <v>9826.58</v>
      </c>
      <c r="P73" s="20" t="n">
        <v>8008.860000000001</v>
      </c>
      <c r="Q73" s="20" t="n">
        <v>9784.559999999999</v>
      </c>
    </row>
    <row r="74">
      <c r="A74" s="19" t="inlineStr">
        <is>
          <t>Company 29</t>
        </is>
      </c>
      <c r="B74" s="19" t="inlineStr">
        <is>
          <t>Power</t>
        </is>
      </c>
      <c r="C74" s="19" t="inlineStr">
        <is>
          <t>Shipper Power</t>
        </is>
      </c>
      <c r="D74" s="19" t="inlineStr">
        <is>
          <t>UK</t>
        </is>
      </c>
      <c r="E74" s="20" t="n">
        <v>0</v>
      </c>
      <c r="F74" s="20" t="n">
        <v>69440</v>
      </c>
      <c r="G74" s="20" t="n">
        <v>106560</v>
      </c>
      <c r="H74" s="20" t="n">
        <v>107560</v>
      </c>
      <c r="I74" s="20" t="n">
        <v>108960</v>
      </c>
      <c r="J74" s="20" t="n">
        <v>108960</v>
      </c>
      <c r="K74" s="20" t="n">
        <v>109113.17</v>
      </c>
      <c r="L74" s="20" t="n">
        <v>108960</v>
      </c>
      <c r="M74" s="20" t="n">
        <v>108960</v>
      </c>
      <c r="N74" s="20" t="n">
        <v>108960</v>
      </c>
      <c r="O74" s="20" t="n">
        <v>73820</v>
      </c>
      <c r="P74" s="20" t="n">
        <v>0</v>
      </c>
      <c r="Q74" s="20" t="n">
        <v>0</v>
      </c>
    </row>
    <row r="75">
      <c r="A75" s="19" t="inlineStr">
        <is>
          <t>Company 30</t>
        </is>
      </c>
      <c r="B75" s="19" t="inlineStr">
        <is>
          <t>Software</t>
        </is>
      </c>
      <c r="C75" s="19" t="inlineStr">
        <is>
          <t>ENOM+</t>
        </is>
      </c>
      <c r="D75" s="19" t="inlineStr">
        <is>
          <t>Sweden</t>
        </is>
      </c>
      <c r="E75" s="20" t="n">
        <v>17500</v>
      </c>
      <c r="F75" s="20" t="n">
        <v>17500</v>
      </c>
      <c r="G75" s="20" t="n">
        <v>17500</v>
      </c>
      <c r="H75" s="20" t="n">
        <v>17500</v>
      </c>
      <c r="I75" s="20" t="n">
        <v>17500</v>
      </c>
      <c r="J75" s="20" t="n">
        <v>17500</v>
      </c>
      <c r="K75" s="20" t="n">
        <v>17499.96</v>
      </c>
      <c r="L75" s="20" t="n">
        <v>17500</v>
      </c>
      <c r="M75" s="20" t="n">
        <v>17645.84</v>
      </c>
      <c r="N75" s="20" t="n">
        <v>19250</v>
      </c>
      <c r="O75" s="20" t="n">
        <v>19249.66</v>
      </c>
      <c r="P75" s="20" t="n">
        <v>20080.35</v>
      </c>
      <c r="Q75" s="20" t="n">
        <v>21008.28</v>
      </c>
    </row>
    <row r="76">
      <c r="A76" s="19" t="inlineStr">
        <is>
          <t>Company 30</t>
        </is>
      </c>
      <c r="B76" s="19" t="inlineStr">
        <is>
          <t>Software</t>
        </is>
      </c>
      <c r="C76" s="19" t="inlineStr">
        <is>
          <t>Routing</t>
        </is>
      </c>
      <c r="D76" s="19" t="inlineStr">
        <is>
          <t>Sweden</t>
        </is>
      </c>
      <c r="E76" s="20" t="n">
        <v>4740</v>
      </c>
      <c r="F76" s="20" t="n">
        <v>4740</v>
      </c>
      <c r="G76" s="20" t="n">
        <v>4740</v>
      </c>
      <c r="H76" s="20" t="n">
        <v>4740</v>
      </c>
      <c r="I76" s="20" t="n">
        <v>4740</v>
      </c>
      <c r="J76" s="20" t="n">
        <v>7965.87</v>
      </c>
      <c r="K76" s="20" t="n">
        <v>5529.96</v>
      </c>
      <c r="L76" s="20" t="n">
        <v>5464.17</v>
      </c>
      <c r="M76" s="20" t="n">
        <v>4779.5</v>
      </c>
      <c r="N76" s="20" t="n">
        <v>5214</v>
      </c>
      <c r="O76" s="20" t="n">
        <v>5215</v>
      </c>
      <c r="P76" s="20" t="n">
        <v>5441.97</v>
      </c>
      <c r="Q76" s="20" t="n">
        <v>5666.83</v>
      </c>
    </row>
    <row r="77">
      <c r="A77" s="19" t="inlineStr">
        <is>
          <t>Company 31</t>
        </is>
      </c>
      <c r="B77" s="19" t="inlineStr">
        <is>
          <t>Operations</t>
        </is>
      </c>
      <c r="C77" s="19" t="inlineStr">
        <is>
          <t>Market Gas</t>
        </is>
      </c>
      <c r="D77" s="19" t="inlineStr">
        <is>
          <t>Netherlands</t>
        </is>
      </c>
      <c r="E77" s="20" t="n">
        <v>0</v>
      </c>
      <c r="F77" s="20" t="n">
        <v>103469.38</v>
      </c>
      <c r="G77" s="20" t="n">
        <v>122393.37</v>
      </c>
      <c r="H77" s="20" t="n">
        <v>181980.41</v>
      </c>
      <c r="I77" s="20" t="n">
        <v>177491.48</v>
      </c>
      <c r="J77" s="20" t="n">
        <v>150066.38</v>
      </c>
      <c r="K77" s="20" t="n">
        <v>152209.57</v>
      </c>
      <c r="L77" s="20" t="n">
        <v>138637.11</v>
      </c>
      <c r="M77" s="20" t="n">
        <v>186868.49</v>
      </c>
      <c r="N77" s="20" t="n">
        <v>198509.25</v>
      </c>
      <c r="O77" s="20" t="n">
        <v>195829.0808547009</v>
      </c>
      <c r="P77" s="20" t="n">
        <v>150786.67</v>
      </c>
      <c r="Q77" s="20" t="n">
        <v>163331.4679910045</v>
      </c>
    </row>
    <row r="78">
      <c r="A78" s="19" t="inlineStr">
        <is>
          <t>Company 31</t>
        </is>
      </c>
      <c r="B78" s="19" t="inlineStr">
        <is>
          <t>Software</t>
        </is>
      </c>
      <c r="C78" s="19" t="inlineStr">
        <is>
          <t>ENOM</t>
        </is>
      </c>
      <c r="D78" s="19" t="inlineStr">
        <is>
          <t>Netherlands</t>
        </is>
      </c>
      <c r="E78" s="20" t="n">
        <v>9914.599999999999</v>
      </c>
      <c r="F78" s="20" t="n">
        <v>9205</v>
      </c>
      <c r="G78" s="20" t="n">
        <v>9014.400000000001</v>
      </c>
      <c r="H78" s="20" t="n">
        <v>10324.1</v>
      </c>
      <c r="I78" s="20" t="n">
        <v>10633.2</v>
      </c>
      <c r="J78" s="20" t="n">
        <v>10719</v>
      </c>
      <c r="K78" s="20" t="n">
        <v>10793.4</v>
      </c>
      <c r="L78" s="20" t="n">
        <v>10574.4</v>
      </c>
      <c r="M78" s="20" t="n">
        <v>10311.12</v>
      </c>
      <c r="N78" s="20" t="n">
        <v>10330.04</v>
      </c>
      <c r="O78" s="20" t="n">
        <v>10278.49111111111</v>
      </c>
      <c r="P78" s="20" t="n">
        <v>10575.55</v>
      </c>
      <c r="Q78" s="20" t="n">
        <v>11326.01821589206</v>
      </c>
    </row>
    <row r="79">
      <c r="A79" s="19" t="inlineStr">
        <is>
          <t>Company 31</t>
        </is>
      </c>
      <c r="B79" s="19" t="inlineStr">
        <is>
          <t>Software</t>
        </is>
      </c>
      <c r="C79" s="19" t="inlineStr">
        <is>
          <t>Routing</t>
        </is>
      </c>
      <c r="D79" s="19" t="inlineStr">
        <is>
          <t>Netherlands</t>
        </is>
      </c>
      <c r="E79" s="20" t="n">
        <v>1483.61</v>
      </c>
      <c r="F79" s="20" t="n">
        <v>1380.79</v>
      </c>
      <c r="G79" s="20" t="n">
        <v>1352.1</v>
      </c>
      <c r="H79" s="20" t="n">
        <v>1548.65</v>
      </c>
      <c r="I79" s="20" t="n">
        <v>1595</v>
      </c>
      <c r="J79" s="20" t="n">
        <v>1878.65</v>
      </c>
      <c r="K79" s="20" t="n">
        <v>2428.5</v>
      </c>
      <c r="L79" s="20" t="n">
        <v>2379.21</v>
      </c>
      <c r="M79" s="20" t="n">
        <v>2319.99</v>
      </c>
      <c r="N79" s="20" t="n">
        <v>2580.86</v>
      </c>
      <c r="O79" s="20" t="n">
        <v>3082.720512820513</v>
      </c>
      <c r="P79" s="20" t="n">
        <v>3448.159999999999</v>
      </c>
      <c r="Q79" s="20" t="n">
        <v>4236.549205397301</v>
      </c>
    </row>
    <row r="80">
      <c r="A80" s="19" t="inlineStr">
        <is>
          <t>Company 32</t>
        </is>
      </c>
      <c r="B80" s="19" t="inlineStr">
        <is>
          <t>Operations</t>
        </is>
      </c>
      <c r="C80" s="19" t="inlineStr">
        <is>
          <t>Shipper Gas</t>
        </is>
      </c>
      <c r="D80" s="19" t="inlineStr">
        <is>
          <t>Malta</t>
        </is>
      </c>
      <c r="E80" s="20" t="n">
        <v>19986</v>
      </c>
      <c r="F80" s="20" t="n">
        <v>39000</v>
      </c>
      <c r="G80" s="20" t="n">
        <v>53300</v>
      </c>
      <c r="H80" s="20" t="n">
        <v>54400</v>
      </c>
      <c r="I80" s="20" t="n">
        <v>65400</v>
      </c>
      <c r="J80" s="20" t="n">
        <v>65400</v>
      </c>
      <c r="K80" s="20" t="n">
        <v>65400</v>
      </c>
      <c r="L80" s="20" t="n">
        <v>65400</v>
      </c>
      <c r="M80" s="20" t="n">
        <v>65400</v>
      </c>
      <c r="N80" s="20" t="n">
        <v>65400</v>
      </c>
      <c r="O80" s="20" t="n">
        <v>65400</v>
      </c>
      <c r="P80" s="20" t="n">
        <v>65400</v>
      </c>
      <c r="Q80" s="20" t="n">
        <v>0</v>
      </c>
    </row>
    <row r="81">
      <c r="A81" s="19" t="inlineStr">
        <is>
          <t>Company 32</t>
        </is>
      </c>
      <c r="B81" s="19" t="inlineStr">
        <is>
          <t>Power</t>
        </is>
      </c>
      <c r="C81" s="19" t="inlineStr">
        <is>
          <t>Shipper Power</t>
        </is>
      </c>
      <c r="D81" s="19" t="inlineStr">
        <is>
          <t>Malta</t>
        </is>
      </c>
      <c r="E81" s="20" t="n">
        <v>0</v>
      </c>
      <c r="F81" s="20" t="n">
        <v>37800</v>
      </c>
      <c r="G81" s="20" t="n">
        <v>55200</v>
      </c>
      <c r="H81" s="20" t="n">
        <v>55200</v>
      </c>
      <c r="I81" s="20" t="n">
        <v>55200</v>
      </c>
      <c r="J81" s="20" t="n">
        <v>55200</v>
      </c>
      <c r="K81" s="20" t="n">
        <v>55200</v>
      </c>
      <c r="L81" s="20" t="n">
        <v>55200</v>
      </c>
      <c r="M81" s="20" t="n">
        <v>55200</v>
      </c>
      <c r="N81" s="20" t="n">
        <v>55200</v>
      </c>
      <c r="O81" s="20" t="n">
        <v>55200</v>
      </c>
      <c r="P81" s="20" t="n">
        <v>36719</v>
      </c>
      <c r="Q81" s="20" t="n">
        <v>0</v>
      </c>
    </row>
    <row r="82">
      <c r="A82" s="19" t="inlineStr">
        <is>
          <t>Company 32</t>
        </is>
      </c>
      <c r="B82" s="19" t="inlineStr">
        <is>
          <t>Software</t>
        </is>
      </c>
      <c r="C82" s="19" t="inlineStr">
        <is>
          <t>Hosting</t>
        </is>
      </c>
      <c r="D82" s="19" t="inlineStr">
        <is>
          <t>Malta</t>
        </is>
      </c>
      <c r="E82" s="20" t="n">
        <v>0</v>
      </c>
      <c r="F82" s="20" t="n">
        <v>0</v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0</v>
      </c>
      <c r="L82" s="20" t="n">
        <v>0</v>
      </c>
      <c r="M82" s="20" t="n">
        <v>0</v>
      </c>
      <c r="N82" s="20" t="n">
        <v>0</v>
      </c>
      <c r="O82" s="20" t="n">
        <v>0</v>
      </c>
      <c r="P82" s="20" t="n">
        <v>0</v>
      </c>
      <c r="Q82" s="20" t="n">
        <v>3600</v>
      </c>
    </row>
    <row r="83">
      <c r="A83" s="19" t="inlineStr">
        <is>
          <t>Company 33</t>
        </is>
      </c>
      <c r="B83" s="19" t="inlineStr">
        <is>
          <t>Software</t>
        </is>
      </c>
      <c r="C83" s="19" t="inlineStr">
        <is>
          <t>ENOM+</t>
        </is>
      </c>
      <c r="D83" s="19" t="inlineStr">
        <is>
          <t>Portugal</t>
        </is>
      </c>
      <c r="E83" s="20" t="n">
        <v>5569.860000000001</v>
      </c>
      <c r="F83" s="20" t="n">
        <v>16260.3</v>
      </c>
      <c r="G83" s="20" t="n">
        <v>16532.74</v>
      </c>
      <c r="H83" s="20" t="n">
        <v>19005.32</v>
      </c>
      <c r="I83" s="20" t="n">
        <v>19153.07</v>
      </c>
      <c r="J83" s="20" t="n">
        <v>18936.75</v>
      </c>
      <c r="K83" s="20" t="n">
        <v>18947.95</v>
      </c>
      <c r="L83" s="20" t="n">
        <v>18624.14</v>
      </c>
      <c r="M83" s="20" t="n">
        <v>18375.79</v>
      </c>
      <c r="N83" s="20" t="n">
        <v>19219.1</v>
      </c>
      <c r="O83" s="20" t="n">
        <v>19332.33863247863</v>
      </c>
      <c r="P83" s="20" t="n">
        <v>19367.1</v>
      </c>
      <c r="Q83" s="20" t="n">
        <v>19667.17661169415</v>
      </c>
    </row>
    <row r="84">
      <c r="A84" s="19" t="inlineStr">
        <is>
          <t>Company 33</t>
        </is>
      </c>
      <c r="B84" s="19" t="inlineStr">
        <is>
          <t>Software</t>
        </is>
      </c>
      <c r="C84" s="19" t="inlineStr">
        <is>
          <t>Routing</t>
        </is>
      </c>
      <c r="D84" s="19" t="inlineStr">
        <is>
          <t>Portugal</t>
        </is>
      </c>
      <c r="E84" s="20" t="n">
        <v>1007.9</v>
      </c>
      <c r="F84" s="20" t="n">
        <v>2942.34</v>
      </c>
      <c r="G84" s="20" t="n">
        <v>3560.88</v>
      </c>
      <c r="H84" s="20" t="n">
        <v>4886.92</v>
      </c>
      <c r="I84" s="20" t="n">
        <v>4369.89</v>
      </c>
      <c r="J84" s="20" t="n">
        <v>4283.27</v>
      </c>
      <c r="K84" s="20" t="n">
        <v>4285.87</v>
      </c>
      <c r="L84" s="20" t="n">
        <v>3941.14</v>
      </c>
      <c r="M84" s="20" t="n">
        <v>3325.2</v>
      </c>
      <c r="N84" s="20" t="n">
        <v>3477.719999999999</v>
      </c>
      <c r="O84" s="20" t="n">
        <v>3497.955384615384</v>
      </c>
      <c r="P84" s="20" t="n">
        <v>3808.150000000001</v>
      </c>
      <c r="Q84" s="20" t="n">
        <v>4648.665892053974</v>
      </c>
    </row>
    <row r="85">
      <c r="A85" s="19" t="inlineStr">
        <is>
          <t>Company 34</t>
        </is>
      </c>
      <c r="B85" s="19" t="inlineStr">
        <is>
          <t>Operations</t>
        </is>
      </c>
      <c r="C85" s="19" t="inlineStr">
        <is>
          <t>Shipper Gas</t>
        </is>
      </c>
      <c r="D85" s="19" t="inlineStr">
        <is>
          <t>Ireland</t>
        </is>
      </c>
      <c r="E85" s="20" t="n">
        <v>0</v>
      </c>
      <c r="F85" s="20" t="n">
        <v>11037.1</v>
      </c>
      <c r="G85" s="20" t="n">
        <v>129600</v>
      </c>
      <c r="H85" s="20" t="n">
        <v>129600</v>
      </c>
      <c r="I85" s="20" t="n">
        <v>129600</v>
      </c>
      <c r="J85" s="20" t="n">
        <v>136985.48</v>
      </c>
      <c r="K85" s="20" t="n">
        <v>126900</v>
      </c>
      <c r="L85" s="20" t="n">
        <v>123120</v>
      </c>
      <c r="M85" s="20" t="n">
        <v>127370</v>
      </c>
      <c r="N85" s="20" t="n">
        <v>120451</v>
      </c>
      <c r="O85" s="20" t="n">
        <v>153484</v>
      </c>
      <c r="P85" s="20" t="n">
        <v>215292</v>
      </c>
      <c r="Q85" s="20" t="n">
        <v>220692</v>
      </c>
    </row>
    <row r="86">
      <c r="A86" s="19" t="inlineStr">
        <is>
          <t>Company 35</t>
        </is>
      </c>
      <c r="B86" s="19" t="inlineStr">
        <is>
          <t>Operations</t>
        </is>
      </c>
      <c r="C86" s="19" t="inlineStr">
        <is>
          <t>Shipper Gas</t>
        </is>
      </c>
      <c r="D86" s="19" t="inlineStr">
        <is>
          <t>UK</t>
        </is>
      </c>
      <c r="E86" s="20" t="n">
        <v>0</v>
      </c>
      <c r="F86" s="20" t="n">
        <v>0</v>
      </c>
      <c r="G86" s="20" t="n">
        <v>3500</v>
      </c>
      <c r="H86" s="20" t="n">
        <v>12750</v>
      </c>
      <c r="I86" s="20" t="n">
        <v>9000</v>
      </c>
      <c r="J86" s="20" t="n">
        <v>9000</v>
      </c>
      <c r="K86" s="20" t="n">
        <v>12666.67</v>
      </c>
      <c r="L86" s="20" t="n">
        <v>39000</v>
      </c>
      <c r="M86" s="20" t="n">
        <v>39000</v>
      </c>
      <c r="N86" s="20" t="n">
        <v>39000</v>
      </c>
      <c r="O86" s="20" t="n">
        <v>39000</v>
      </c>
      <c r="P86" s="20" t="n">
        <v>39000</v>
      </c>
      <c r="Q86" s="20" t="n">
        <v>40369.94</v>
      </c>
    </row>
    <row r="87">
      <c r="A87" s="19" t="inlineStr">
        <is>
          <t>Company 35</t>
        </is>
      </c>
      <c r="B87" s="19" t="inlineStr">
        <is>
          <t>Software</t>
        </is>
      </c>
      <c r="C87" s="19" t="inlineStr">
        <is>
          <t>ENOM</t>
        </is>
      </c>
      <c r="D87" s="19" t="inlineStr">
        <is>
          <t>UK</t>
        </is>
      </c>
      <c r="E87" s="20" t="n">
        <v>0</v>
      </c>
      <c r="F87" s="20" t="n">
        <v>1733.3</v>
      </c>
      <c r="G87" s="20" t="n">
        <v>10400</v>
      </c>
      <c r="H87" s="20" t="n">
        <v>10400</v>
      </c>
      <c r="I87" s="20" t="n">
        <v>10400</v>
      </c>
      <c r="J87" s="20" t="n">
        <v>10400</v>
      </c>
      <c r="K87" s="20" t="n">
        <v>10400</v>
      </c>
      <c r="L87" s="20" t="n">
        <v>10400</v>
      </c>
      <c r="M87" s="20" t="n">
        <v>10400</v>
      </c>
      <c r="N87" s="20" t="n">
        <v>10400</v>
      </c>
      <c r="O87" s="20" t="n">
        <v>10400.03</v>
      </c>
      <c r="P87" s="20" t="n">
        <v>10062.68</v>
      </c>
      <c r="Q87" s="20" t="n">
        <v>10347.61</v>
      </c>
    </row>
    <row r="88">
      <c r="A88" s="19" t="inlineStr">
        <is>
          <t>Company 35</t>
        </is>
      </c>
      <c r="B88" s="19" t="inlineStr">
        <is>
          <t>Software</t>
        </is>
      </c>
      <c r="C88" s="19" t="inlineStr">
        <is>
          <t>Routing</t>
        </is>
      </c>
      <c r="D88" s="19" t="inlineStr">
        <is>
          <t>UK</t>
        </is>
      </c>
      <c r="E88" s="20" t="n">
        <v>0</v>
      </c>
      <c r="F88" s="20" t="n">
        <v>0</v>
      </c>
      <c r="G88" s="20" t="n">
        <v>140</v>
      </c>
      <c r="H88" s="20" t="n">
        <v>840</v>
      </c>
      <c r="I88" s="20" t="n">
        <v>910</v>
      </c>
      <c r="J88" s="20" t="n">
        <v>770</v>
      </c>
      <c r="K88" s="20" t="n">
        <v>840</v>
      </c>
      <c r="L88" s="20" t="n">
        <v>840</v>
      </c>
      <c r="M88" s="20" t="n">
        <v>1120</v>
      </c>
      <c r="N88" s="20" t="n">
        <v>2520</v>
      </c>
      <c r="O88" s="20" t="n">
        <v>2520</v>
      </c>
      <c r="P88" s="20" t="n">
        <v>2438.1</v>
      </c>
      <c r="Q88" s="20" t="n">
        <v>2507.1</v>
      </c>
    </row>
    <row r="89">
      <c r="A89" s="19" t="inlineStr">
        <is>
          <t>Company 36</t>
        </is>
      </c>
      <c r="B89" s="19" t="inlineStr">
        <is>
          <t>Operations</t>
        </is>
      </c>
      <c r="C89" s="19" t="inlineStr">
        <is>
          <t>Shipper Gas</t>
        </is>
      </c>
      <c r="D89" s="19" t="inlineStr">
        <is>
          <t>UK</t>
        </is>
      </c>
      <c r="E89" s="20" t="n">
        <v>0</v>
      </c>
      <c r="F89" s="20" t="n">
        <v>0</v>
      </c>
      <c r="G89" s="20" t="n">
        <v>95399.19</v>
      </c>
      <c r="H89" s="20" t="n">
        <v>120300</v>
      </c>
      <c r="I89" s="20" t="n">
        <v>120300</v>
      </c>
      <c r="J89" s="20" t="n">
        <v>120300</v>
      </c>
      <c r="K89" s="20" t="n">
        <v>120300</v>
      </c>
      <c r="L89" s="20" t="n">
        <v>120300</v>
      </c>
      <c r="M89" s="20" t="n">
        <v>120300</v>
      </c>
      <c r="N89" s="20" t="n">
        <v>127050</v>
      </c>
      <c r="O89" s="20" t="n">
        <v>134115</v>
      </c>
      <c r="P89" s="20" t="n">
        <v>139365</v>
      </c>
      <c r="Q89" s="20" t="n">
        <v>145054.1208</v>
      </c>
    </row>
    <row r="90">
      <c r="A90" s="19" t="inlineStr">
        <is>
          <t>Company 37</t>
        </is>
      </c>
      <c r="B90" s="19" t="inlineStr">
        <is>
          <t>Software</t>
        </is>
      </c>
      <c r="C90" s="19" t="inlineStr">
        <is>
          <t>Hosting</t>
        </is>
      </c>
      <c r="D90" s="19" t="inlineStr">
        <is>
          <t>Isle of Man</t>
        </is>
      </c>
      <c r="E90" s="20" t="n">
        <v>0</v>
      </c>
      <c r="F90" s="20" t="n">
        <v>0</v>
      </c>
      <c r="G90" s="20" t="n">
        <v>6750</v>
      </c>
      <c r="H90" s="20" t="n">
        <v>9000</v>
      </c>
      <c r="I90" s="20" t="n">
        <v>9000</v>
      </c>
      <c r="J90" s="20" t="n">
        <v>9000</v>
      </c>
      <c r="K90" s="20" t="n">
        <v>9000</v>
      </c>
      <c r="L90" s="20" t="n">
        <v>9000</v>
      </c>
      <c r="M90" s="20" t="n">
        <v>9000</v>
      </c>
      <c r="N90" s="20" t="n">
        <v>9225</v>
      </c>
      <c r="O90" s="20" t="n">
        <v>9300</v>
      </c>
      <c r="P90" s="20" t="n">
        <v>0</v>
      </c>
      <c r="Q90" s="20" t="n">
        <v>0</v>
      </c>
    </row>
    <row r="91">
      <c r="A91" s="19" t="inlineStr">
        <is>
          <t>Company 38</t>
        </is>
      </c>
      <c r="B91" s="19" t="inlineStr">
        <is>
          <t>Operations</t>
        </is>
      </c>
      <c r="C91" s="19" t="inlineStr">
        <is>
          <t>Shipper Gas</t>
        </is>
      </c>
      <c r="D91" s="19" t="inlineStr">
        <is>
          <t>UK</t>
        </is>
      </c>
      <c r="E91" s="20" t="n">
        <v>0</v>
      </c>
      <c r="F91" s="20" t="n">
        <v>0</v>
      </c>
      <c r="G91" s="20" t="n">
        <v>6250</v>
      </c>
      <c r="H91" s="20" t="n">
        <v>32000</v>
      </c>
      <c r="I91" s="20" t="n">
        <v>36600</v>
      </c>
      <c r="J91" s="20" t="n">
        <v>36600</v>
      </c>
      <c r="K91" s="20" t="n">
        <v>36600</v>
      </c>
      <c r="L91" s="20" t="n">
        <v>36600</v>
      </c>
      <c r="M91" s="20" t="n">
        <v>36600</v>
      </c>
      <c r="N91" s="20" t="n">
        <v>41100</v>
      </c>
      <c r="O91" s="20" t="n">
        <v>56730</v>
      </c>
      <c r="P91" s="20" t="n">
        <v>65640</v>
      </c>
      <c r="Q91" s="20" t="n">
        <v>64720</v>
      </c>
    </row>
    <row r="92">
      <c r="A92" s="19" t="inlineStr">
        <is>
          <t>Company 38</t>
        </is>
      </c>
      <c r="B92" s="19" t="inlineStr">
        <is>
          <t>Software</t>
        </is>
      </c>
      <c r="C92" s="19" t="inlineStr">
        <is>
          <t>PowerTrak</t>
        </is>
      </c>
      <c r="D92" s="19" t="inlineStr">
        <is>
          <t>UK</t>
        </is>
      </c>
      <c r="E92" s="20" t="n">
        <v>0</v>
      </c>
      <c r="F92" s="20" t="n">
        <v>0</v>
      </c>
      <c r="G92" s="20" t="n">
        <v>12500.02</v>
      </c>
      <c r="H92" s="20" t="n">
        <v>25000.00000000001</v>
      </c>
      <c r="I92" s="20" t="n">
        <v>25000.00000000001</v>
      </c>
      <c r="J92" s="20" t="n">
        <v>32860.00000000001</v>
      </c>
      <c r="K92" s="20" t="n">
        <v>25000.00000000001</v>
      </c>
      <c r="L92" s="20" t="n">
        <v>25000.00000000001</v>
      </c>
      <c r="M92" s="20" t="n">
        <v>25000.00000000001</v>
      </c>
      <c r="N92" s="20" t="n">
        <v>41332.98</v>
      </c>
      <c r="O92" s="20" t="n">
        <v>45994.25</v>
      </c>
      <c r="P92" s="20" t="n">
        <v>50985.00000000001</v>
      </c>
      <c r="Q92" s="20" t="n">
        <v>53404.25088</v>
      </c>
    </row>
    <row r="93">
      <c r="A93" s="19" t="inlineStr">
        <is>
          <t>Company 38</t>
        </is>
      </c>
      <c r="B93" s="19" t="inlineStr">
        <is>
          <t>Software</t>
        </is>
      </c>
      <c r="C93" s="19" t="inlineStr">
        <is>
          <t>Routing</t>
        </is>
      </c>
      <c r="D93" s="19" t="inlineStr">
        <is>
          <t>UK</t>
        </is>
      </c>
      <c r="E93" s="20" t="n">
        <v>0</v>
      </c>
      <c r="F93" s="20" t="n">
        <v>0</v>
      </c>
      <c r="G93" s="20" t="n">
        <v>395.0199999999999</v>
      </c>
      <c r="H93" s="20" t="n">
        <v>790.0000000000001</v>
      </c>
      <c r="I93" s="20" t="n">
        <v>790.0000000000001</v>
      </c>
      <c r="J93" s="20" t="n">
        <v>790.0000000000001</v>
      </c>
      <c r="K93" s="20" t="n">
        <v>790.0000000000001</v>
      </c>
      <c r="L93" s="20" t="n">
        <v>790.0000000000001</v>
      </c>
      <c r="M93" s="20" t="n">
        <v>790.0000000000001</v>
      </c>
      <c r="N93" s="20" t="n">
        <v>4475.96</v>
      </c>
      <c r="O93" s="20" t="n">
        <v>6426.02</v>
      </c>
      <c r="P93" s="20" t="n">
        <v>6480</v>
      </c>
      <c r="Q93" s="20" t="n">
        <v>6447.25</v>
      </c>
    </row>
    <row r="94">
      <c r="A94" s="19" t="inlineStr">
        <is>
          <t>Company 38</t>
        </is>
      </c>
      <c r="B94" s="19" t="inlineStr">
        <is>
          <t>Software</t>
        </is>
      </c>
      <c r="C94" s="19" t="inlineStr">
        <is>
          <t>Hosting</t>
        </is>
      </c>
      <c r="D94" s="19" t="inlineStr">
        <is>
          <t>UK</t>
        </is>
      </c>
      <c r="E94" s="20" t="n">
        <v>0</v>
      </c>
      <c r="F94" s="20" t="n">
        <v>0</v>
      </c>
      <c r="G94" s="20" t="n">
        <v>15875.02</v>
      </c>
      <c r="H94" s="20" t="n">
        <v>19750</v>
      </c>
      <c r="I94" s="20" t="n">
        <v>19750</v>
      </c>
      <c r="J94" s="20" t="n">
        <v>19750</v>
      </c>
      <c r="K94" s="20" t="n">
        <v>19750</v>
      </c>
      <c r="L94" s="20" t="n">
        <v>19750</v>
      </c>
      <c r="M94" s="20" t="n">
        <v>19750</v>
      </c>
      <c r="N94" s="20" t="n">
        <v>19810</v>
      </c>
      <c r="O94" s="20" t="n">
        <v>20153.02</v>
      </c>
      <c r="P94" s="20" t="n">
        <v>20465</v>
      </c>
      <c r="Q94" s="20" t="n">
        <v>19868.13</v>
      </c>
    </row>
    <row r="95">
      <c r="A95" s="19" t="inlineStr">
        <is>
          <t>Company 39</t>
        </is>
      </c>
      <c r="B95" s="19" t="inlineStr">
        <is>
          <t>Operations</t>
        </is>
      </c>
      <c r="C95" s="19" t="inlineStr">
        <is>
          <t>Shipper Gas</t>
        </is>
      </c>
      <c r="D95" s="19" t="inlineStr">
        <is>
          <t>Switzerland</t>
        </is>
      </c>
      <c r="E95" s="20" t="n">
        <v>0</v>
      </c>
      <c r="F95" s="20" t="n">
        <v>0</v>
      </c>
      <c r="G95" s="20" t="n">
        <v>9481.530000000001</v>
      </c>
      <c r="H95" s="20" t="n">
        <v>53611.34</v>
      </c>
      <c r="I95" s="20" t="n">
        <v>78350.433</v>
      </c>
      <c r="J95" s="20" t="n">
        <v>82260.89999999999</v>
      </c>
      <c r="K95" s="20" t="n">
        <v>83703.86</v>
      </c>
      <c r="L95" s="20" t="n">
        <v>84339.64999999999</v>
      </c>
      <c r="M95" s="20" t="n">
        <v>70433.61</v>
      </c>
      <c r="N95" s="20" t="n">
        <v>41901.23</v>
      </c>
      <c r="O95" s="20" t="n">
        <v>39802.73923076923</v>
      </c>
      <c r="P95" s="20" t="n">
        <v>26853.02</v>
      </c>
      <c r="Q95" s="20" t="n">
        <v>0</v>
      </c>
    </row>
    <row r="96">
      <c r="A96" s="19" t="inlineStr">
        <is>
          <t>Company 40</t>
        </is>
      </c>
      <c r="B96" s="19" t="inlineStr">
        <is>
          <t>Operations</t>
        </is>
      </c>
      <c r="C96" s="19" t="inlineStr">
        <is>
          <t>Shipper Gas</t>
        </is>
      </c>
      <c r="D96" s="19" t="inlineStr">
        <is>
          <t>Germany</t>
        </is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5446</v>
      </c>
      <c r="Q96" s="20" t="n">
        <v>26967.69715142428</v>
      </c>
    </row>
    <row r="97">
      <c r="A97" s="19" t="inlineStr">
        <is>
          <t>Company 40</t>
        </is>
      </c>
      <c r="B97" s="19" t="inlineStr">
        <is>
          <t>Power</t>
        </is>
      </c>
      <c r="C97" s="19" t="inlineStr">
        <is>
          <t>Shipper Power</t>
        </is>
      </c>
      <c r="D97" s="19" t="inlineStr">
        <is>
          <t>Germany</t>
        </is>
      </c>
      <c r="E97" s="20" t="n">
        <v>0</v>
      </c>
      <c r="F97" s="20" t="n">
        <v>0</v>
      </c>
      <c r="G97" s="20" t="n">
        <v>0</v>
      </c>
      <c r="H97" s="20" t="n">
        <v>0</v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0" t="n">
        <v>0</v>
      </c>
      <c r="O97" s="20" t="n">
        <v>0</v>
      </c>
      <c r="P97" s="20" t="n">
        <v>4000</v>
      </c>
      <c r="Q97" s="20" t="n">
        <v>16540.69715142429</v>
      </c>
    </row>
    <row r="98">
      <c r="A98" s="19" t="inlineStr">
        <is>
          <t>Company 41</t>
        </is>
      </c>
      <c r="B98" s="19" t="inlineStr">
        <is>
          <t>Operations</t>
        </is>
      </c>
      <c r="C98" s="19" t="inlineStr">
        <is>
          <t>Shipper Gas</t>
        </is>
      </c>
      <c r="D98" s="19" t="inlineStr">
        <is>
          <t>UK</t>
        </is>
      </c>
      <c r="E98" s="20" t="n">
        <v>0</v>
      </c>
      <c r="F98" s="20" t="n">
        <v>0</v>
      </c>
      <c r="G98" s="20" t="n">
        <v>0</v>
      </c>
      <c r="H98" s="20" t="n">
        <v>28334.67</v>
      </c>
      <c r="I98" s="20" t="n">
        <v>48000</v>
      </c>
      <c r="J98" s="20" t="n">
        <v>49720</v>
      </c>
      <c r="K98" s="20" t="n">
        <v>50580</v>
      </c>
      <c r="L98" s="20" t="n">
        <v>49225.18</v>
      </c>
      <c r="M98" s="20" t="n">
        <v>50580</v>
      </c>
      <c r="N98" s="20" t="n">
        <v>52680</v>
      </c>
      <c r="O98" s="20" t="n">
        <v>55300</v>
      </c>
      <c r="P98" s="20" t="n">
        <v>38000</v>
      </c>
      <c r="Q98" s="20" t="n">
        <v>0</v>
      </c>
    </row>
    <row r="99">
      <c r="A99" s="19" t="inlineStr">
        <is>
          <t>Company 41</t>
        </is>
      </c>
      <c r="B99" s="19" t="inlineStr">
        <is>
          <t>Operations</t>
        </is>
      </c>
      <c r="C99" s="19" t="inlineStr">
        <is>
          <t>Market Gas</t>
        </is>
      </c>
      <c r="D99" s="19" t="inlineStr">
        <is>
          <t>UK</t>
        </is>
      </c>
      <c r="E99" s="20" t="n">
        <v>0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19140</v>
      </c>
      <c r="Q99" s="20" t="n">
        <v>57994.2</v>
      </c>
    </row>
    <row r="100">
      <c r="A100" s="19" t="inlineStr">
        <is>
          <t>Company 42</t>
        </is>
      </c>
      <c r="B100" s="19" t="inlineStr">
        <is>
          <t>Software</t>
        </is>
      </c>
      <c r="C100" s="19" t="inlineStr">
        <is>
          <t>ENOM</t>
        </is>
      </c>
      <c r="D100" s="19" t="inlineStr">
        <is>
          <t>Hungary</t>
        </is>
      </c>
      <c r="E100" s="20" t="n">
        <v>0</v>
      </c>
      <c r="F100" s="20" t="n">
        <v>0</v>
      </c>
      <c r="G100" s="20" t="n">
        <v>0</v>
      </c>
      <c r="H100" s="20" t="n">
        <v>4643.69</v>
      </c>
      <c r="I100" s="20" t="n">
        <v>11124.48</v>
      </c>
      <c r="J100" s="20" t="n">
        <v>11219.7</v>
      </c>
      <c r="K100" s="20" t="n">
        <v>11309.69</v>
      </c>
      <c r="L100" s="20" t="n">
        <v>10923.97</v>
      </c>
      <c r="M100" s="20" t="n">
        <v>10473.46</v>
      </c>
      <c r="N100" s="20" t="n">
        <v>10516.72</v>
      </c>
      <c r="O100" s="20" t="n">
        <v>10602.17478632479</v>
      </c>
      <c r="P100" s="20" t="n">
        <v>11270.93</v>
      </c>
      <c r="Q100" s="20" t="n">
        <v>0</v>
      </c>
    </row>
    <row r="101">
      <c r="A101" s="19" t="inlineStr">
        <is>
          <t>Company 42</t>
        </is>
      </c>
      <c r="B101" s="19" t="inlineStr">
        <is>
          <t>Software</t>
        </is>
      </c>
      <c r="C101" s="19" t="inlineStr">
        <is>
          <t>Routing</t>
        </is>
      </c>
      <c r="D101" s="19" t="inlineStr">
        <is>
          <t>Hungary</t>
        </is>
      </c>
      <c r="E101" s="20" t="n">
        <v>0</v>
      </c>
      <c r="F101" s="20" t="n">
        <v>0</v>
      </c>
      <c r="G101" s="20" t="n">
        <v>0</v>
      </c>
      <c r="H101" s="20" t="n">
        <v>355.79</v>
      </c>
      <c r="I101" s="20" t="n">
        <v>852.2500000000001</v>
      </c>
      <c r="J101" s="20" t="n">
        <v>1223.25</v>
      </c>
      <c r="K101" s="20" t="n">
        <v>1732.96</v>
      </c>
      <c r="L101" s="20" t="n">
        <v>1673.82</v>
      </c>
      <c r="M101" s="20" t="n">
        <v>1935.85</v>
      </c>
      <c r="N101" s="20" t="n">
        <v>2417.160000000001</v>
      </c>
      <c r="O101" s="20" t="n">
        <v>2629.786410256411</v>
      </c>
      <c r="P101" s="20" t="n">
        <v>2660.32</v>
      </c>
      <c r="Q101" s="20" t="n">
        <v>0</v>
      </c>
    </row>
    <row r="102">
      <c r="A102" s="19" t="inlineStr">
        <is>
          <t>Company 43</t>
        </is>
      </c>
      <c r="B102" s="19" t="inlineStr">
        <is>
          <t>Software</t>
        </is>
      </c>
      <c r="C102" s="19" t="inlineStr">
        <is>
          <t>Routing</t>
        </is>
      </c>
      <c r="D102" s="19" t="inlineStr">
        <is>
          <t>Germany</t>
        </is>
      </c>
      <c r="E102" s="20" t="n">
        <v>0</v>
      </c>
      <c r="F102" s="20" t="n">
        <v>0</v>
      </c>
      <c r="G102" s="20" t="n">
        <v>0</v>
      </c>
      <c r="H102" s="20" t="n">
        <v>1707.69</v>
      </c>
      <c r="I102" s="20" t="n">
        <v>5107.32</v>
      </c>
      <c r="J102" s="20" t="n">
        <v>5098.749999999999</v>
      </c>
      <c r="K102" s="20" t="n">
        <v>5126.889999999999</v>
      </c>
      <c r="L102" s="20" t="n">
        <v>5022.83</v>
      </c>
      <c r="M102" s="20" t="n">
        <v>4897.77</v>
      </c>
      <c r="N102" s="20" t="n">
        <v>4906.78</v>
      </c>
      <c r="O102" s="20" t="n">
        <v>5260.910683760685</v>
      </c>
      <c r="P102" s="20" t="n">
        <v>4842.43</v>
      </c>
      <c r="Q102" s="20" t="n">
        <v>5008.604242878561</v>
      </c>
    </row>
    <row r="103">
      <c r="A103" s="19" t="inlineStr">
        <is>
          <t>Company 44</t>
        </is>
      </c>
      <c r="B103" s="19" t="inlineStr">
        <is>
          <t>Operations</t>
        </is>
      </c>
      <c r="C103" s="19" t="inlineStr">
        <is>
          <t>Shipper Gas</t>
        </is>
      </c>
      <c r="D103" s="19" t="inlineStr">
        <is>
          <t>Spain</t>
        </is>
      </c>
      <c r="E103" s="20" t="n">
        <v>0</v>
      </c>
      <c r="F103" s="20" t="n">
        <v>0</v>
      </c>
      <c r="G103" s="20" t="n">
        <v>0</v>
      </c>
      <c r="H103" s="20" t="n">
        <v>14000</v>
      </c>
      <c r="I103" s="20" t="n">
        <v>28000</v>
      </c>
      <c r="J103" s="20" t="n">
        <v>48000</v>
      </c>
      <c r="K103" s="20" t="n">
        <v>48000</v>
      </c>
      <c r="L103" s="20" t="n">
        <v>48000</v>
      </c>
      <c r="M103" s="20" t="n">
        <v>48000</v>
      </c>
      <c r="N103" s="20" t="n">
        <v>48000</v>
      </c>
      <c r="O103" s="20" t="n">
        <v>48400</v>
      </c>
      <c r="P103" s="20" t="n">
        <v>53355</v>
      </c>
      <c r="Q103" s="20" t="n">
        <v>54402</v>
      </c>
    </row>
    <row r="104">
      <c r="A104" s="19" t="inlineStr">
        <is>
          <t>Company 45</t>
        </is>
      </c>
      <c r="B104" s="19" t="inlineStr">
        <is>
          <t>Software</t>
        </is>
      </c>
      <c r="C104" s="19" t="inlineStr">
        <is>
          <t>Hosting</t>
        </is>
      </c>
      <c r="D104" s="19" t="inlineStr">
        <is>
          <t>Ireland</t>
        </is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17200</v>
      </c>
      <c r="J104" s="20" t="n">
        <v>18266.92</v>
      </c>
      <c r="K104" s="20" t="n">
        <v>17200.09</v>
      </c>
      <c r="L104" s="20" t="n">
        <v>17200</v>
      </c>
      <c r="M104" s="20" t="n">
        <v>17650</v>
      </c>
      <c r="N104" s="20" t="n">
        <v>17800</v>
      </c>
      <c r="O104" s="20" t="n">
        <v>17861.08</v>
      </c>
      <c r="P104" s="20" t="n">
        <v>16895.25</v>
      </c>
      <c r="Q104" s="20" t="n">
        <v>16783.32</v>
      </c>
    </row>
    <row r="105">
      <c r="A105" s="19" t="inlineStr">
        <is>
          <t>Company 45</t>
        </is>
      </c>
      <c r="B105" s="19" t="inlineStr">
        <is>
          <t>Software</t>
        </is>
      </c>
      <c r="C105" s="19" t="inlineStr">
        <is>
          <t>Routing</t>
        </is>
      </c>
      <c r="D105" s="19" t="inlineStr">
        <is>
          <t>Ireland</t>
        </is>
      </c>
      <c r="E105" s="20" t="n">
        <v>0</v>
      </c>
      <c r="F105" s="20" t="n">
        <v>0</v>
      </c>
      <c r="G105" s="20" t="n">
        <v>0</v>
      </c>
      <c r="H105" s="20" t="n">
        <v>0</v>
      </c>
      <c r="I105" s="20" t="n">
        <v>1777.5</v>
      </c>
      <c r="J105" s="20" t="n">
        <v>2370</v>
      </c>
      <c r="K105" s="20" t="n">
        <v>2370</v>
      </c>
      <c r="L105" s="20" t="n">
        <v>1185.01</v>
      </c>
      <c r="M105" s="20" t="n">
        <v>790.0000000000001</v>
      </c>
      <c r="N105" s="20" t="n">
        <v>790.0000000000001</v>
      </c>
      <c r="O105" s="20" t="n">
        <v>791.49</v>
      </c>
      <c r="P105" s="20" t="n">
        <v>790</v>
      </c>
      <c r="Q105" s="20" t="n">
        <v>785.7400000000001</v>
      </c>
    </row>
    <row r="106">
      <c r="A106" s="19" t="inlineStr">
        <is>
          <t>Company 45</t>
        </is>
      </c>
      <c r="B106" s="19" t="inlineStr">
        <is>
          <t>Software</t>
        </is>
      </c>
      <c r="C106" s="19" t="inlineStr">
        <is>
          <t>ENOM</t>
        </is>
      </c>
      <c r="D106" s="19" t="inlineStr">
        <is>
          <t>Ireland</t>
        </is>
      </c>
      <c r="E106" s="20" t="n">
        <v>0</v>
      </c>
      <c r="F106" s="20" t="n">
        <v>0</v>
      </c>
      <c r="G106" s="20" t="n">
        <v>0</v>
      </c>
      <c r="H106" s="20" t="n">
        <v>0</v>
      </c>
      <c r="I106" s="20" t="n">
        <v>7799.99</v>
      </c>
      <c r="J106" s="20" t="n">
        <v>10400</v>
      </c>
      <c r="K106" s="20" t="n">
        <v>10400</v>
      </c>
      <c r="L106" s="20" t="n">
        <v>10400</v>
      </c>
      <c r="M106" s="20" t="n">
        <v>10400</v>
      </c>
      <c r="N106" s="20" t="n">
        <v>10400</v>
      </c>
      <c r="O106" s="20" t="n">
        <v>10434.76</v>
      </c>
      <c r="P106" s="20" t="n">
        <v>10400</v>
      </c>
      <c r="Q106" s="20" t="n">
        <v>10510.91</v>
      </c>
    </row>
    <row r="107">
      <c r="A107" s="19" t="inlineStr">
        <is>
          <t>Company 46</t>
        </is>
      </c>
      <c r="B107" s="19" t="inlineStr">
        <is>
          <t>Software</t>
        </is>
      </c>
      <c r="C107" s="19" t="inlineStr">
        <is>
          <t>EuroRunner</t>
        </is>
      </c>
      <c r="D107" s="19" t="inlineStr">
        <is>
          <t>UK</t>
        </is>
      </c>
      <c r="E107" s="20" t="n">
        <v>0</v>
      </c>
      <c r="F107" s="20" t="n">
        <v>0</v>
      </c>
      <c r="G107" s="20" t="n">
        <v>0</v>
      </c>
      <c r="H107" s="20" t="n">
        <v>0</v>
      </c>
      <c r="I107" s="20" t="n">
        <v>49999.8</v>
      </c>
      <c r="J107" s="20" t="n">
        <v>100000.04</v>
      </c>
      <c r="K107" s="20" t="n">
        <v>100000.04</v>
      </c>
      <c r="L107" s="20" t="n">
        <v>100000.04</v>
      </c>
      <c r="M107" s="20" t="n">
        <v>100000.04</v>
      </c>
      <c r="N107" s="20" t="n">
        <v>75000.01999999999</v>
      </c>
      <c r="O107" s="20" t="n">
        <v>50206.83999999999</v>
      </c>
      <c r="P107" s="20" t="n">
        <v>49999.99999999999</v>
      </c>
      <c r="Q107" s="20" t="n">
        <v>51571.68999999999</v>
      </c>
    </row>
    <row r="108">
      <c r="A108" s="19" t="inlineStr">
        <is>
          <t>Company 46</t>
        </is>
      </c>
      <c r="B108" s="19" t="inlineStr">
        <is>
          <t>Software</t>
        </is>
      </c>
      <c r="C108" s="19" t="inlineStr">
        <is>
          <t>CodeRunner</t>
        </is>
      </c>
      <c r="D108" s="19" t="inlineStr">
        <is>
          <t>UK</t>
        </is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12500.18</v>
      </c>
      <c r="J108" s="20" t="n">
        <v>24999.96000000001</v>
      </c>
      <c r="K108" s="20" t="n">
        <v>24999.96000000001</v>
      </c>
      <c r="L108" s="20" t="n">
        <v>24999.96000000001</v>
      </c>
      <c r="M108" s="20" t="n">
        <v>24999.96000000001</v>
      </c>
      <c r="N108" s="20" t="n">
        <v>19999.98</v>
      </c>
      <c r="O108" s="20" t="n">
        <v>15062.4</v>
      </c>
      <c r="P108" s="20" t="n">
        <v>15000</v>
      </c>
      <c r="Q108" s="20" t="n">
        <v>14924.9</v>
      </c>
    </row>
    <row r="109">
      <c r="A109" s="19" t="inlineStr">
        <is>
          <t>Company 46</t>
        </is>
      </c>
      <c r="B109" s="19" t="inlineStr">
        <is>
          <t>Software</t>
        </is>
      </c>
      <c r="C109" s="19" t="inlineStr">
        <is>
          <t>ENOM</t>
        </is>
      </c>
      <c r="D109" s="19" t="inlineStr">
        <is>
          <t>UK</t>
        </is>
      </c>
      <c r="E109" s="20" t="n">
        <v>0</v>
      </c>
      <c r="F109" s="20" t="n">
        <v>0</v>
      </c>
      <c r="G109" s="20" t="n">
        <v>0</v>
      </c>
      <c r="H109" s="20" t="n">
        <v>0</v>
      </c>
      <c r="I109" s="20" t="n">
        <v>5199.98</v>
      </c>
      <c r="J109" s="20" t="n">
        <v>10400.04</v>
      </c>
      <c r="K109" s="20" t="n">
        <v>13000.05</v>
      </c>
      <c r="L109" s="20" t="n">
        <v>20800</v>
      </c>
      <c r="M109" s="20" t="n">
        <v>15600.02</v>
      </c>
      <c r="N109" s="20" t="n">
        <v>10400</v>
      </c>
      <c r="O109" s="20" t="n">
        <v>7389.50752</v>
      </c>
      <c r="P109" s="20" t="n">
        <v>12780.4</v>
      </c>
      <c r="Q109" s="20" t="n">
        <v>10722.83</v>
      </c>
    </row>
    <row r="110">
      <c r="A110" s="19" t="inlineStr">
        <is>
          <t>Company 46</t>
        </is>
      </c>
      <c r="B110" s="19" t="inlineStr">
        <is>
          <t>Operations</t>
        </is>
      </c>
      <c r="C110" s="19" t="inlineStr">
        <is>
          <t>Shipper Gas</t>
        </is>
      </c>
      <c r="D110" s="19" t="inlineStr">
        <is>
          <t>UK</t>
        </is>
      </c>
      <c r="E110" s="20" t="n">
        <v>0</v>
      </c>
      <c r="F110" s="20" t="n">
        <v>0</v>
      </c>
      <c r="G110" s="20" t="n">
        <v>0</v>
      </c>
      <c r="H110" s="20" t="n">
        <v>0</v>
      </c>
      <c r="I110" s="20" t="n">
        <v>33177</v>
      </c>
      <c r="J110" s="20" t="n">
        <v>100170</v>
      </c>
      <c r="K110" s="20" t="n">
        <v>120908.16</v>
      </c>
      <c r="L110" s="20" t="n">
        <v>90950.59</v>
      </c>
      <c r="M110" s="20" t="n">
        <v>80031.60000000001</v>
      </c>
      <c r="N110" s="20" t="n">
        <v>76807.5</v>
      </c>
      <c r="O110" s="20" t="n">
        <v>96916</v>
      </c>
      <c r="P110" s="20" t="n">
        <v>107205</v>
      </c>
      <c r="Q110" s="20" t="n">
        <v>110135</v>
      </c>
    </row>
    <row r="111">
      <c r="A111" s="19" t="inlineStr">
        <is>
          <t>Company 46</t>
        </is>
      </c>
      <c r="B111" s="19" t="inlineStr">
        <is>
          <t>Software</t>
        </is>
      </c>
      <c r="C111" s="19" t="inlineStr">
        <is>
          <t>Routing</t>
        </is>
      </c>
      <c r="D111" s="19" t="inlineStr">
        <is>
          <t>UK</t>
        </is>
      </c>
      <c r="E111" s="20" t="n">
        <v>0</v>
      </c>
      <c r="F111" s="20" t="n">
        <v>0</v>
      </c>
      <c r="G111" s="20" t="n">
        <v>0</v>
      </c>
      <c r="H111" s="20" t="n">
        <v>0</v>
      </c>
      <c r="I111" s="20" t="n">
        <v>2400</v>
      </c>
      <c r="J111" s="20" t="n">
        <v>5933.37</v>
      </c>
      <c r="K111" s="20" t="n">
        <v>6400</v>
      </c>
      <c r="L111" s="20" t="n">
        <v>6400</v>
      </c>
      <c r="M111" s="20" t="n">
        <v>4799.96</v>
      </c>
      <c r="N111" s="20" t="n">
        <v>3200</v>
      </c>
      <c r="O111" s="20" t="n">
        <v>7200.02</v>
      </c>
      <c r="P111" s="20" t="n">
        <v>3225.52</v>
      </c>
      <c r="Q111" s="20" t="n">
        <v>6464.27</v>
      </c>
    </row>
    <row r="112">
      <c r="A112" s="19" t="inlineStr">
        <is>
          <t>Company 46</t>
        </is>
      </c>
      <c r="B112" s="19" t="inlineStr">
        <is>
          <t>Software</t>
        </is>
      </c>
      <c r="C112" s="19" t="inlineStr">
        <is>
          <t>Hosting</t>
        </is>
      </c>
      <c r="D112" s="19" t="inlineStr">
        <is>
          <t>UK</t>
        </is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78245</v>
      </c>
      <c r="J112" s="20" t="n">
        <v>94800</v>
      </c>
      <c r="K112" s="20" t="n">
        <v>94800</v>
      </c>
      <c r="L112" s="20" t="n">
        <v>95100</v>
      </c>
      <c r="M112" s="20" t="n">
        <v>95100</v>
      </c>
      <c r="N112" s="20" t="n">
        <v>95400</v>
      </c>
      <c r="O112" s="20" t="n">
        <v>95788.48</v>
      </c>
      <c r="P112" s="20" t="n">
        <v>94498.23999999999</v>
      </c>
      <c r="Q112" s="20" t="n">
        <v>97146.72</v>
      </c>
    </row>
    <row r="113">
      <c r="A113" s="19" t="inlineStr">
        <is>
          <t>Company 47</t>
        </is>
      </c>
      <c r="B113" s="19" t="inlineStr">
        <is>
          <t>Software</t>
        </is>
      </c>
      <c r="C113" s="19" t="inlineStr">
        <is>
          <t>ENOM+</t>
        </is>
      </c>
      <c r="D113" s="19" t="inlineStr">
        <is>
          <t>UK</t>
        </is>
      </c>
      <c r="E113" s="20" t="n">
        <v>0</v>
      </c>
      <c r="F113" s="20" t="n">
        <v>0</v>
      </c>
      <c r="G113" s="20" t="n">
        <v>0</v>
      </c>
      <c r="H113" s="20" t="n">
        <v>0</v>
      </c>
      <c r="I113" s="20" t="n">
        <v>6247.5</v>
      </c>
      <c r="J113" s="20" t="n">
        <v>10710</v>
      </c>
      <c r="K113" s="20" t="n">
        <v>8925</v>
      </c>
      <c r="L113" s="20" t="n">
        <v>10710</v>
      </c>
      <c r="M113" s="20" t="n">
        <v>3570</v>
      </c>
      <c r="N113" s="20" t="n">
        <v>7140</v>
      </c>
      <c r="O113" s="20" t="n">
        <v>10759.3</v>
      </c>
      <c r="P113" s="20" t="n">
        <v>10710</v>
      </c>
      <c r="Q113" s="20" t="n">
        <v>10831.06</v>
      </c>
    </row>
    <row r="114">
      <c r="A114" s="19" t="inlineStr">
        <is>
          <t>Company 47</t>
        </is>
      </c>
      <c r="B114" s="19" t="inlineStr">
        <is>
          <t>Software</t>
        </is>
      </c>
      <c r="C114" s="19" t="inlineStr">
        <is>
          <t>Routing</t>
        </is>
      </c>
      <c r="D114" s="19" t="inlineStr">
        <is>
          <t>UK</t>
        </is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332.5</v>
      </c>
      <c r="J114" s="20" t="n">
        <v>570</v>
      </c>
      <c r="K114" s="20" t="n">
        <v>2280</v>
      </c>
      <c r="L114" s="20" t="n">
        <v>570</v>
      </c>
      <c r="M114" s="20" t="n">
        <v>190</v>
      </c>
      <c r="N114" s="20" t="n">
        <v>380</v>
      </c>
      <c r="O114" s="20" t="n">
        <v>573.2</v>
      </c>
      <c r="P114" s="20" t="n">
        <v>570</v>
      </c>
      <c r="Q114" s="20" t="n">
        <v>572.04</v>
      </c>
    </row>
    <row r="115">
      <c r="A115" s="19" t="inlineStr">
        <is>
          <t>Company 48</t>
        </is>
      </c>
      <c r="B115" s="19" t="inlineStr">
        <is>
          <t>Operations</t>
        </is>
      </c>
      <c r="C115" s="19" t="inlineStr">
        <is>
          <t>Shipper Gas</t>
        </is>
      </c>
      <c r="D115" s="19" t="inlineStr">
        <is>
          <t>Singapore</t>
        </is>
      </c>
      <c r="E115" s="20" t="n">
        <v>0</v>
      </c>
      <c r="F115" s="20" t="n">
        <v>0</v>
      </c>
      <c r="G115" s="20" t="n">
        <v>0</v>
      </c>
      <c r="H115" s="20" t="n">
        <v>0</v>
      </c>
      <c r="I115" s="20" t="n">
        <v>27183</v>
      </c>
      <c r="J115" s="20" t="n">
        <v>37060</v>
      </c>
      <c r="K115" s="20" t="n">
        <v>46380</v>
      </c>
      <c r="L115" s="20" t="n">
        <v>49164</v>
      </c>
      <c r="M115" s="20" t="n">
        <v>57436.65</v>
      </c>
      <c r="N115" s="20" t="n">
        <v>59364.27</v>
      </c>
      <c r="O115" s="20" t="n">
        <v>60288.45</v>
      </c>
      <c r="P115" s="20" t="n">
        <v>62136.70999999999</v>
      </c>
      <c r="Q115" s="20" t="n">
        <v>64328.17184000002</v>
      </c>
    </row>
    <row r="116">
      <c r="A116" s="19" t="inlineStr">
        <is>
          <t>Company 49</t>
        </is>
      </c>
      <c r="B116" s="19" t="inlineStr">
        <is>
          <t>Operations</t>
        </is>
      </c>
      <c r="C116" s="19" t="inlineStr">
        <is>
          <t>Market Gas</t>
        </is>
      </c>
      <c r="D116" s="19" t="inlineStr">
        <is>
          <t>Ireland</t>
        </is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37000</v>
      </c>
      <c r="J116" s="20" t="n">
        <v>162000</v>
      </c>
      <c r="K116" s="20" t="n">
        <v>162000</v>
      </c>
      <c r="L116" s="20" t="n">
        <v>162000</v>
      </c>
      <c r="M116" s="20" t="n">
        <v>162000</v>
      </c>
      <c r="N116" s="20" t="n">
        <v>162000</v>
      </c>
      <c r="O116" s="20" t="n">
        <v>162864</v>
      </c>
      <c r="P116" s="20" t="n">
        <v>162000</v>
      </c>
      <c r="Q116" s="20" t="n">
        <v>164665</v>
      </c>
    </row>
    <row r="117">
      <c r="A117" s="19" t="inlineStr">
        <is>
          <t>Company 49</t>
        </is>
      </c>
      <c r="B117" s="19" t="inlineStr">
        <is>
          <t>Operations</t>
        </is>
      </c>
      <c r="C117" s="19" t="inlineStr">
        <is>
          <t>Shipper Gas</t>
        </is>
      </c>
      <c r="D117" s="19" t="inlineStr">
        <is>
          <t>Ireland</t>
        </is>
      </c>
      <c r="E117" s="20" t="n">
        <v>0</v>
      </c>
      <c r="F117" s="20" t="n">
        <v>0</v>
      </c>
      <c r="G117" s="20" t="n">
        <v>0</v>
      </c>
      <c r="H117" s="20" t="n">
        <v>0</v>
      </c>
      <c r="I117" s="20" t="n">
        <v>7385.48</v>
      </c>
      <c r="J117" s="20" t="n">
        <v>57414.52</v>
      </c>
      <c r="K117" s="20" t="n">
        <v>63450</v>
      </c>
      <c r="L117" s="20" t="n">
        <v>61560</v>
      </c>
      <c r="M117" s="20" t="n">
        <v>61560</v>
      </c>
      <c r="N117" s="20" t="n">
        <v>71820</v>
      </c>
      <c r="O117" s="20" t="n">
        <v>61560</v>
      </c>
      <c r="P117" s="20" t="n">
        <v>51300</v>
      </c>
      <c r="Q117" s="20" t="n">
        <v>0</v>
      </c>
    </row>
    <row r="118">
      <c r="A118" s="19" t="inlineStr">
        <is>
          <t>Company 50</t>
        </is>
      </c>
      <c r="B118" s="19" t="inlineStr">
        <is>
          <t>Software</t>
        </is>
      </c>
      <c r="C118" s="19" t="inlineStr">
        <is>
          <t>Routing</t>
        </is>
      </c>
      <c r="D118" s="19" t="inlineStr">
        <is>
          <t>USA</t>
        </is>
      </c>
      <c r="E118" s="20" t="n">
        <v>0</v>
      </c>
      <c r="F118" s="20" t="n">
        <v>0</v>
      </c>
      <c r="G118" s="20" t="n">
        <v>0</v>
      </c>
      <c r="H118" s="20" t="n">
        <v>0</v>
      </c>
      <c r="I118" s="20" t="n">
        <v>1125</v>
      </c>
      <c r="J118" s="20" t="n">
        <v>18050</v>
      </c>
      <c r="K118" s="20" t="n">
        <v>17700</v>
      </c>
      <c r="L118" s="20" t="n">
        <v>17175</v>
      </c>
      <c r="M118" s="20" t="n">
        <v>16650</v>
      </c>
      <c r="N118" s="20" t="n">
        <v>21600</v>
      </c>
      <c r="O118" s="20" t="n">
        <v>25100</v>
      </c>
      <c r="P118" s="20" t="n">
        <v>26904.84</v>
      </c>
      <c r="Q118" s="20" t="n">
        <v>32999.92000000001</v>
      </c>
    </row>
    <row r="119">
      <c r="A119" s="19" t="inlineStr">
        <is>
          <t>Company 50</t>
        </is>
      </c>
      <c r="B119" s="19" t="inlineStr">
        <is>
          <t>Operations</t>
        </is>
      </c>
      <c r="C119" s="19" t="inlineStr">
        <is>
          <t>Shipper Power</t>
        </is>
      </c>
      <c r="D119" s="19" t="inlineStr">
        <is>
          <t>USA</t>
        </is>
      </c>
      <c r="E119" s="20" t="n">
        <v>0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15095</v>
      </c>
      <c r="O119" s="20" t="n">
        <v>41940</v>
      </c>
      <c r="P119" s="20" t="n">
        <v>74810</v>
      </c>
      <c r="Q119" s="20" t="n">
        <v>81420</v>
      </c>
    </row>
    <row r="120">
      <c r="A120" s="19" t="inlineStr">
        <is>
          <t>Company 51</t>
        </is>
      </c>
      <c r="B120" s="19" t="inlineStr">
        <is>
          <t>Software</t>
        </is>
      </c>
      <c r="C120" s="19" t="inlineStr">
        <is>
          <t>ENOM+</t>
        </is>
      </c>
      <c r="D120" s="19" t="inlineStr">
        <is>
          <t>Ireland</t>
        </is>
      </c>
      <c r="E120" s="20" t="n">
        <v>0</v>
      </c>
      <c r="F120" s="20" t="n">
        <v>0</v>
      </c>
      <c r="G120" s="20" t="n">
        <v>0</v>
      </c>
      <c r="H120" s="20" t="n">
        <v>0</v>
      </c>
      <c r="I120" s="20" t="n">
        <v>0</v>
      </c>
      <c r="J120" s="20" t="n">
        <v>10427.08</v>
      </c>
      <c r="K120" s="20" t="n">
        <v>11375</v>
      </c>
      <c r="L120" s="20" t="n">
        <v>11375</v>
      </c>
      <c r="M120" s="20" t="n">
        <v>11375</v>
      </c>
      <c r="N120" s="20" t="n">
        <v>16989.59</v>
      </c>
      <c r="O120" s="20" t="n">
        <v>17474.02</v>
      </c>
      <c r="P120" s="20" t="n">
        <v>16875.6</v>
      </c>
      <c r="Q120" s="20" t="n">
        <v>18543.4516</v>
      </c>
    </row>
    <row r="121">
      <c r="A121" s="19" t="inlineStr">
        <is>
          <t>Company 51</t>
        </is>
      </c>
      <c r="B121" s="19" t="inlineStr">
        <is>
          <t>Software</t>
        </is>
      </c>
      <c r="C121" s="19" t="inlineStr">
        <is>
          <t>Routing</t>
        </is>
      </c>
      <c r="D121" s="19" t="inlineStr">
        <is>
          <t>Ireland</t>
        </is>
      </c>
      <c r="E121" s="20" t="n">
        <v>0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4950</v>
      </c>
      <c r="K121" s="20" t="n">
        <v>7875</v>
      </c>
      <c r="L121" s="20" t="n">
        <v>9750</v>
      </c>
      <c r="M121" s="20" t="n">
        <v>9900</v>
      </c>
      <c r="N121" s="20" t="n">
        <v>10725</v>
      </c>
      <c r="O121" s="20" t="n">
        <v>10843.45</v>
      </c>
      <c r="P121" s="20" t="n">
        <v>11995.07</v>
      </c>
      <c r="Q121" s="20" t="n">
        <v>12045.31176</v>
      </c>
    </row>
    <row r="122">
      <c r="A122" s="19" t="inlineStr">
        <is>
          <t>Company 52</t>
        </is>
      </c>
      <c r="B122" s="19" t="inlineStr">
        <is>
          <t>Software</t>
        </is>
      </c>
      <c r="C122" s="19" t="inlineStr">
        <is>
          <t>CodeRunner</t>
        </is>
      </c>
      <c r="D122" s="19" t="inlineStr">
        <is>
          <t>UK</t>
        </is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43146.65999999999</v>
      </c>
      <c r="K122" s="20" t="n">
        <v>37999.99999999999</v>
      </c>
      <c r="L122" s="20" t="n">
        <v>37999.99999999999</v>
      </c>
      <c r="M122" s="20" t="n">
        <v>37999.99999999999</v>
      </c>
      <c r="N122" s="20" t="n">
        <v>37999.99999999999</v>
      </c>
      <c r="O122" s="20" t="n">
        <v>23099.74</v>
      </c>
      <c r="P122" s="20" t="n">
        <v>21982.88</v>
      </c>
      <c r="Q122" s="20" t="n">
        <v>21611.9784</v>
      </c>
    </row>
    <row r="123">
      <c r="A123" s="19" t="inlineStr">
        <is>
          <t>Company 52</t>
        </is>
      </c>
      <c r="B123" s="19" t="inlineStr">
        <is>
          <t>Software</t>
        </is>
      </c>
      <c r="C123" s="19" t="inlineStr">
        <is>
          <t>Hosting</t>
        </is>
      </c>
      <c r="D123" s="19" t="inlineStr">
        <is>
          <t>UK</t>
        </is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0</v>
      </c>
      <c r="J123" s="20" t="n">
        <v>28500</v>
      </c>
      <c r="K123" s="20" t="n">
        <v>34700</v>
      </c>
      <c r="L123" s="20" t="n">
        <v>33800</v>
      </c>
      <c r="M123" s="20" t="n">
        <v>36100</v>
      </c>
      <c r="N123" s="20" t="n">
        <v>37100</v>
      </c>
      <c r="O123" s="20" t="n">
        <v>39902.84</v>
      </c>
      <c r="P123" s="20" t="n">
        <v>41313.84</v>
      </c>
      <c r="Q123" s="20" t="n">
        <v>40213.32</v>
      </c>
    </row>
    <row r="124">
      <c r="A124" s="19" t="inlineStr">
        <is>
          <t>Company 53</t>
        </is>
      </c>
      <c r="B124" s="19" t="inlineStr">
        <is>
          <t>Software</t>
        </is>
      </c>
      <c r="C124" s="19" t="inlineStr">
        <is>
          <t>Hosting</t>
        </is>
      </c>
      <c r="D124" s="19" t="inlineStr">
        <is>
          <t>Netherlands</t>
        </is>
      </c>
      <c r="E124" s="20" t="n">
        <v>3600</v>
      </c>
      <c r="F124" s="20" t="n">
        <v>2700</v>
      </c>
      <c r="G124" s="20" t="n">
        <v>3600</v>
      </c>
      <c r="H124" s="20" t="n">
        <v>3600</v>
      </c>
      <c r="I124" s="20" t="n">
        <v>3600</v>
      </c>
      <c r="J124" s="20" t="n">
        <v>3600</v>
      </c>
      <c r="K124" s="20" t="n">
        <v>3600</v>
      </c>
      <c r="L124" s="20" t="n">
        <v>3600</v>
      </c>
      <c r="M124" s="20" t="n">
        <v>3600</v>
      </c>
      <c r="N124" s="20" t="n">
        <v>3600</v>
      </c>
      <c r="O124" s="20" t="n">
        <v>3596.58</v>
      </c>
      <c r="P124" s="20" t="n">
        <v>303.42</v>
      </c>
      <c r="Q124" s="20" t="n">
        <v>0</v>
      </c>
    </row>
    <row r="125">
      <c r="A125" s="19" t="inlineStr">
        <is>
          <t>Company 53</t>
        </is>
      </c>
      <c r="B125" s="19" t="inlineStr">
        <is>
          <t>Software</t>
        </is>
      </c>
      <c r="C125" s="19" t="inlineStr">
        <is>
          <t>Chorus</t>
        </is>
      </c>
      <c r="D125" s="19" t="inlineStr">
        <is>
          <t>Netherlands</t>
        </is>
      </c>
      <c r="E125" s="20" t="n">
        <v>0</v>
      </c>
      <c r="F125" s="20" t="n">
        <v>0</v>
      </c>
      <c r="G125" s="20" t="n">
        <v>0</v>
      </c>
      <c r="H125" s="20" t="n">
        <v>0</v>
      </c>
      <c r="I125" s="20" t="n">
        <v>0</v>
      </c>
      <c r="J125" s="20" t="n">
        <v>0</v>
      </c>
      <c r="K125" s="20" t="n">
        <v>0</v>
      </c>
      <c r="L125" s="20" t="n">
        <v>3900</v>
      </c>
      <c r="M125" s="20" t="n">
        <v>9400</v>
      </c>
      <c r="N125" s="20" t="n">
        <v>9600</v>
      </c>
      <c r="O125" s="20" t="n">
        <v>9600</v>
      </c>
      <c r="P125" s="20" t="n">
        <v>7597.879999999999</v>
      </c>
      <c r="Q125" s="20" t="n">
        <v>4821.72</v>
      </c>
    </row>
    <row r="126">
      <c r="A126" s="19" t="inlineStr">
        <is>
          <t>Company 53</t>
        </is>
      </c>
      <c r="B126" s="19" t="inlineStr">
        <is>
          <t>Software</t>
        </is>
      </c>
      <c r="C126" s="19" t="inlineStr">
        <is>
          <t>Routing</t>
        </is>
      </c>
      <c r="D126" s="19" t="inlineStr">
        <is>
          <t>Netherlands</t>
        </is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0</v>
      </c>
      <c r="K126" s="20" t="n">
        <v>0</v>
      </c>
      <c r="L126" s="20" t="n">
        <v>0</v>
      </c>
      <c r="M126" s="20" t="n">
        <v>0</v>
      </c>
      <c r="N126" s="20" t="n">
        <v>0</v>
      </c>
      <c r="O126" s="20" t="n">
        <v>0</v>
      </c>
      <c r="P126" s="20" t="n">
        <v>840.5799999999999</v>
      </c>
      <c r="Q126" s="20" t="n">
        <v>5101.9072</v>
      </c>
    </row>
    <row r="127">
      <c r="A127" s="19" t="inlineStr">
        <is>
          <t>Company 54</t>
        </is>
      </c>
      <c r="B127" s="19" t="inlineStr">
        <is>
          <t>Software</t>
        </is>
      </c>
      <c r="C127" s="19" t="inlineStr">
        <is>
          <t>CodeRunner</t>
        </is>
      </c>
      <c r="D127" s="19" t="inlineStr">
        <is>
          <t>UK</t>
        </is>
      </c>
      <c r="E127" s="20" t="n">
        <v>15800.01</v>
      </c>
      <c r="F127" s="20" t="n">
        <v>15000</v>
      </c>
      <c r="G127" s="20" t="n">
        <v>15000</v>
      </c>
      <c r="H127" s="20" t="n">
        <v>15146.25</v>
      </c>
      <c r="I127" s="20" t="n">
        <v>15717.47</v>
      </c>
      <c r="J127" s="20" t="n">
        <v>16231.25</v>
      </c>
      <c r="K127" s="20" t="n">
        <v>16647.5</v>
      </c>
      <c r="L127" s="20" t="n">
        <v>16955</v>
      </c>
      <c r="M127" s="20" t="n">
        <v>17702.56</v>
      </c>
      <c r="N127" s="20" t="n">
        <v>32987.47</v>
      </c>
      <c r="O127" s="20" t="n">
        <v>33862.96</v>
      </c>
      <c r="P127" s="20" t="n">
        <v>15455.96</v>
      </c>
      <c r="Q127" s="20" t="n">
        <v>0</v>
      </c>
    </row>
    <row r="128">
      <c r="A128" s="19" t="inlineStr">
        <is>
          <t>Company 54</t>
        </is>
      </c>
      <c r="B128" s="19" t="inlineStr">
        <is>
          <t>Software</t>
        </is>
      </c>
      <c r="C128" s="19" t="inlineStr">
        <is>
          <t>Routing</t>
        </is>
      </c>
      <c r="D128" s="19" t="inlineStr">
        <is>
          <t>UK</t>
        </is>
      </c>
      <c r="E128" s="20" t="n">
        <v>8821.689999999999</v>
      </c>
      <c r="F128" s="20" t="n">
        <v>34759.98</v>
      </c>
      <c r="G128" s="20" t="n">
        <v>40289.97</v>
      </c>
      <c r="H128" s="20" t="n">
        <v>52401.67000000001</v>
      </c>
      <c r="I128" s="20" t="n">
        <v>59527.47000000001</v>
      </c>
      <c r="J128" s="20" t="n">
        <v>74500.85999999999</v>
      </c>
      <c r="K128" s="20" t="n">
        <v>89429.17</v>
      </c>
      <c r="L128" s="20" t="n">
        <v>96094.94</v>
      </c>
      <c r="M128" s="20" t="n">
        <v>107647.53</v>
      </c>
      <c r="N128" s="20" t="n">
        <v>117600</v>
      </c>
      <c r="O128" s="20" t="n">
        <v>119557.6</v>
      </c>
      <c r="P128" s="20" t="n">
        <v>54147.8</v>
      </c>
      <c r="Q128" s="20" t="n">
        <v>0</v>
      </c>
    </row>
    <row r="129">
      <c r="A129" s="19" t="inlineStr">
        <is>
          <t>Company 54</t>
        </is>
      </c>
      <c r="B129" s="19" t="inlineStr">
        <is>
          <t>Software</t>
        </is>
      </c>
      <c r="C129" s="19" t="inlineStr">
        <is>
          <t>PowerTrak</t>
        </is>
      </c>
      <c r="D129" s="19" t="inlineStr">
        <is>
          <t>UK</t>
        </is>
      </c>
      <c r="E129" s="20" t="n">
        <v>0</v>
      </c>
      <c r="F129" s="20" t="n">
        <v>0</v>
      </c>
      <c r="G129" s="20" t="n">
        <v>13249.97</v>
      </c>
      <c r="H129" s="20" t="n">
        <v>78584.99999999999</v>
      </c>
      <c r="I129" s="20" t="n">
        <v>88299.99999999999</v>
      </c>
      <c r="J129" s="20" t="n">
        <v>65390.02999999999</v>
      </c>
      <c r="K129" s="20" t="n">
        <v>69555</v>
      </c>
      <c r="L129" s="20" t="n">
        <v>73219.25</v>
      </c>
      <c r="M129" s="20" t="n">
        <v>84226.22</v>
      </c>
      <c r="N129" s="20" t="n">
        <v>87393.78</v>
      </c>
      <c r="O129" s="20" t="n">
        <v>91608.68599999999</v>
      </c>
      <c r="P129" s="20" t="n">
        <v>95026.19999999998</v>
      </c>
      <c r="Q129" s="20" t="n">
        <v>100478.06</v>
      </c>
    </row>
    <row r="130">
      <c r="A130" s="19" t="inlineStr">
        <is>
          <t>Company 54</t>
        </is>
      </c>
      <c r="B130" s="19" t="inlineStr">
        <is>
          <t>Software</t>
        </is>
      </c>
      <c r="C130" s="19" t="inlineStr">
        <is>
          <t>Hosting</t>
        </is>
      </c>
      <c r="D130" s="19" t="inlineStr">
        <is>
          <t>UK</t>
        </is>
      </c>
      <c r="E130" s="20" t="n">
        <v>0</v>
      </c>
      <c r="F130" s="20" t="n">
        <v>0</v>
      </c>
      <c r="G130" s="20" t="n">
        <v>14312.53</v>
      </c>
      <c r="H130" s="20" t="n">
        <v>109997.57</v>
      </c>
      <c r="I130" s="20" t="n">
        <v>92700</v>
      </c>
      <c r="J130" s="20" t="n">
        <v>105558.78</v>
      </c>
      <c r="K130" s="20" t="n">
        <v>110939.97</v>
      </c>
      <c r="L130" s="20" t="n">
        <v>113248.78</v>
      </c>
      <c r="M130" s="20" t="n">
        <v>116801.22</v>
      </c>
      <c r="N130" s="20" t="n">
        <v>126102.47</v>
      </c>
      <c r="O130" s="20" t="n">
        <v>113621.54</v>
      </c>
      <c r="P130" s="20" t="n">
        <v>111829.36</v>
      </c>
      <c r="Q130" s="20" t="n">
        <v>80001.65000000001</v>
      </c>
    </row>
    <row r="131">
      <c r="A131" s="19" t="inlineStr">
        <is>
          <t>Company 54</t>
        </is>
      </c>
      <c r="B131" s="19" t="inlineStr">
        <is>
          <t>Software</t>
        </is>
      </c>
      <c r="C131" s="19" t="inlineStr">
        <is>
          <t>Routing</t>
        </is>
      </c>
      <c r="D131" s="19" t="inlineStr">
        <is>
          <t>UK</t>
        </is>
      </c>
      <c r="E131" s="20" t="n">
        <v>0</v>
      </c>
      <c r="F131" s="20" t="n">
        <v>0</v>
      </c>
      <c r="G131" s="20" t="n">
        <v>0</v>
      </c>
      <c r="H131" s="20" t="n">
        <v>4538.33</v>
      </c>
      <c r="I131" s="20" t="n">
        <v>15525.03</v>
      </c>
      <c r="J131" s="20" t="n">
        <v>21758.72</v>
      </c>
      <c r="K131" s="20" t="n">
        <v>25350.03</v>
      </c>
      <c r="L131" s="20" t="n">
        <v>25761.28</v>
      </c>
      <c r="M131" s="20" t="n">
        <v>41862.44</v>
      </c>
      <c r="N131" s="20" t="n">
        <v>64403.74999999999</v>
      </c>
      <c r="O131" s="20" t="n">
        <v>61809.63999999999</v>
      </c>
      <c r="P131" s="20" t="n">
        <v>38278.76</v>
      </c>
      <c r="Q131" s="20" t="n">
        <v>42292.58</v>
      </c>
    </row>
    <row r="132">
      <c r="A132" s="19" t="inlineStr">
        <is>
          <t>Company 54</t>
        </is>
      </c>
      <c r="B132" s="19" t="inlineStr">
        <is>
          <t>Operations</t>
        </is>
      </c>
      <c r="C132" s="19" t="inlineStr">
        <is>
          <t>Shipper Gas</t>
        </is>
      </c>
      <c r="D132" s="19" t="inlineStr">
        <is>
          <t>UK</t>
        </is>
      </c>
      <c r="E132" s="20" t="n">
        <v>0</v>
      </c>
      <c r="F132" s="20" t="n">
        <v>0</v>
      </c>
      <c r="G132" s="20" t="n">
        <v>0</v>
      </c>
      <c r="H132" s="20" t="n">
        <v>222706.97</v>
      </c>
      <c r="I132" s="20" t="n">
        <v>423300</v>
      </c>
      <c r="J132" s="20" t="n">
        <v>432060</v>
      </c>
      <c r="K132" s="20" t="n">
        <v>438450</v>
      </c>
      <c r="L132" s="20" t="n">
        <v>441060</v>
      </c>
      <c r="M132" s="20" t="n">
        <v>441060</v>
      </c>
      <c r="N132" s="20" t="n">
        <v>395560</v>
      </c>
      <c r="O132" s="20" t="n">
        <v>346400</v>
      </c>
      <c r="P132" s="20" t="n">
        <v>156930</v>
      </c>
      <c r="Q132" s="20" t="n">
        <v>0</v>
      </c>
    </row>
    <row r="133">
      <c r="A133" s="19" t="inlineStr">
        <is>
          <t>Company 54</t>
        </is>
      </c>
      <c r="B133" s="19" t="inlineStr">
        <is>
          <t>Software</t>
        </is>
      </c>
      <c r="C133" s="19" t="inlineStr">
        <is>
          <t>Routing</t>
        </is>
      </c>
      <c r="D133" s="19" t="inlineStr">
        <is>
          <t>UK</t>
        </is>
      </c>
      <c r="E133" s="20" t="n">
        <v>0</v>
      </c>
      <c r="F133" s="20" t="n">
        <v>0</v>
      </c>
      <c r="G133" s="20" t="n">
        <v>0</v>
      </c>
      <c r="H133" s="20" t="n">
        <v>0</v>
      </c>
      <c r="I133" s="20" t="n">
        <v>0</v>
      </c>
      <c r="J133" s="20" t="n">
        <v>0</v>
      </c>
      <c r="K133" s="20" t="n">
        <v>0</v>
      </c>
      <c r="L133" s="20" t="n">
        <v>43230</v>
      </c>
      <c r="M133" s="20" t="n">
        <v>12300</v>
      </c>
      <c r="N133" s="20" t="n">
        <v>13365</v>
      </c>
      <c r="O133" s="20" t="n">
        <v>11662.61</v>
      </c>
      <c r="P133" s="20" t="n">
        <v>40293.12</v>
      </c>
      <c r="Q133" s="20" t="n">
        <v>93987.3</v>
      </c>
    </row>
    <row r="134">
      <c r="A134" s="19" t="inlineStr">
        <is>
          <t>Company 55</t>
        </is>
      </c>
      <c r="B134" s="19" t="inlineStr">
        <is>
          <t>Software</t>
        </is>
      </c>
      <c r="C134" s="19" t="inlineStr">
        <is>
          <t>CodeRunner</t>
        </is>
      </c>
      <c r="D134" s="19" t="inlineStr">
        <is>
          <t>UK</t>
        </is>
      </c>
      <c r="E134" s="20" t="n">
        <v>64029.86</v>
      </c>
      <c r="F134" s="20" t="n">
        <v>65910.42999999999</v>
      </c>
      <c r="G134" s="20" t="n">
        <v>66213.63</v>
      </c>
      <c r="H134" s="20" t="n">
        <v>67545.10000000001</v>
      </c>
      <c r="I134" s="20" t="n">
        <v>69980.11</v>
      </c>
      <c r="J134" s="20" t="n">
        <v>95000.09</v>
      </c>
      <c r="K134" s="20" t="n">
        <v>109959.04</v>
      </c>
      <c r="L134" s="20" t="n">
        <v>110125</v>
      </c>
      <c r="M134" s="20" t="n">
        <v>112887.44</v>
      </c>
      <c r="N134" s="20" t="n">
        <v>122650.03</v>
      </c>
      <c r="O134" s="20" t="n">
        <v>127513.4</v>
      </c>
      <c r="P134" s="20" t="n">
        <v>132896.02</v>
      </c>
      <c r="Q134" s="20" t="n">
        <v>137859.57328</v>
      </c>
    </row>
    <row r="135">
      <c r="A135" s="19" t="inlineStr">
        <is>
          <t>Company 55</t>
        </is>
      </c>
      <c r="B135" s="19" t="inlineStr">
        <is>
          <t>Software</t>
        </is>
      </c>
      <c r="C135" s="19" t="inlineStr">
        <is>
          <t>ENOM</t>
        </is>
      </c>
      <c r="D135" s="19" t="inlineStr">
        <is>
          <t>UK</t>
        </is>
      </c>
      <c r="E135" s="20" t="n">
        <v>9349.969999999999</v>
      </c>
      <c r="F135" s="20" t="n">
        <v>9500</v>
      </c>
      <c r="G135" s="20" t="n">
        <v>9500</v>
      </c>
      <c r="H135" s="20" t="n">
        <v>9587.889999999999</v>
      </c>
      <c r="I135" s="20" t="n">
        <v>14249.01</v>
      </c>
      <c r="J135" s="20" t="n">
        <v>17750.88</v>
      </c>
      <c r="K135" s="20" t="n">
        <v>18001.22</v>
      </c>
      <c r="L135" s="20" t="n">
        <v>17870</v>
      </c>
      <c r="M135" s="20" t="n">
        <v>18376.25</v>
      </c>
      <c r="N135" s="20" t="n">
        <v>20142.5</v>
      </c>
      <c r="O135" s="20" t="n">
        <v>21041.13</v>
      </c>
      <c r="P135" s="20" t="n">
        <v>21818.52</v>
      </c>
      <c r="Q135" s="20" t="n">
        <v>21960.92</v>
      </c>
    </row>
    <row r="136">
      <c r="A136" s="19" t="inlineStr">
        <is>
          <t>Company 55</t>
        </is>
      </c>
      <c r="B136" s="19" t="inlineStr">
        <is>
          <t>Software</t>
        </is>
      </c>
      <c r="C136" s="19" t="inlineStr">
        <is>
          <t>EuroRunner</t>
        </is>
      </c>
      <c r="D136" s="19" t="inlineStr">
        <is>
          <t>UK</t>
        </is>
      </c>
      <c r="E136" s="20" t="n">
        <v>48062.92</v>
      </c>
      <c r="F136" s="20" t="n">
        <v>59095.09999999999</v>
      </c>
      <c r="G136" s="20" t="n">
        <v>63556.23999999999</v>
      </c>
      <c r="H136" s="20" t="n">
        <v>60518.15</v>
      </c>
      <c r="I136" s="20" t="n">
        <v>62702.55</v>
      </c>
      <c r="J136" s="20" t="n">
        <v>64707.52999999999</v>
      </c>
      <c r="K136" s="20" t="n">
        <v>66105</v>
      </c>
      <c r="L136" s="20" t="n">
        <v>66105</v>
      </c>
      <c r="M136" s="20" t="n">
        <v>67767.47</v>
      </c>
      <c r="N136" s="20" t="n">
        <v>73625.06</v>
      </c>
      <c r="O136" s="20" t="n">
        <v>76184.59600000002</v>
      </c>
      <c r="P136" s="20" t="n">
        <v>80012.45999999999</v>
      </c>
      <c r="Q136" s="20" t="n">
        <v>81054.2432</v>
      </c>
    </row>
    <row r="137">
      <c r="A137" s="19" t="inlineStr">
        <is>
          <t>Company 55</t>
        </is>
      </c>
      <c r="B137" s="19" t="inlineStr">
        <is>
          <t>Software</t>
        </is>
      </c>
      <c r="C137" s="19" t="inlineStr">
        <is>
          <t>Routing</t>
        </is>
      </c>
      <c r="D137" s="19" t="inlineStr">
        <is>
          <t>UK</t>
        </is>
      </c>
      <c r="E137" s="20" t="n">
        <v>0</v>
      </c>
      <c r="F137" s="20" t="n">
        <v>0</v>
      </c>
      <c r="G137" s="20" t="n">
        <v>0</v>
      </c>
      <c r="H137" s="20" t="n">
        <v>875</v>
      </c>
      <c r="I137" s="20" t="n">
        <v>13150</v>
      </c>
      <c r="J137" s="20" t="n">
        <v>23025</v>
      </c>
      <c r="K137" s="20" t="n">
        <v>23925</v>
      </c>
      <c r="L137" s="20" t="n">
        <v>28725</v>
      </c>
      <c r="M137" s="20" t="n">
        <v>31350</v>
      </c>
      <c r="N137" s="20" t="n">
        <v>34038.75</v>
      </c>
      <c r="O137" s="20" t="n">
        <v>37239.82</v>
      </c>
      <c r="P137" s="20" t="n">
        <v>34337.40000000001</v>
      </c>
      <c r="Q137" s="20" t="n">
        <v>36541.0896</v>
      </c>
    </row>
    <row r="138">
      <c r="A138" s="19" t="inlineStr">
        <is>
          <t>Company 55</t>
        </is>
      </c>
      <c r="B138" s="19" t="inlineStr">
        <is>
          <t>Software</t>
        </is>
      </c>
      <c r="C138" s="19" t="inlineStr">
        <is>
          <t>Hosting</t>
        </is>
      </c>
      <c r="D138" s="19" t="inlineStr">
        <is>
          <t>UK</t>
        </is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0</v>
      </c>
      <c r="M138" s="20" t="n">
        <v>241899.67</v>
      </c>
      <c r="N138" s="20" t="n">
        <v>191785</v>
      </c>
      <c r="O138" s="20" t="n">
        <v>203649.82</v>
      </c>
      <c r="P138" s="20" t="n">
        <v>203308.4</v>
      </c>
      <c r="Q138" s="20" t="n">
        <v>214686.1740000001</v>
      </c>
    </row>
    <row r="139">
      <c r="A139" s="19" t="inlineStr">
        <is>
          <t>Company 56</t>
        </is>
      </c>
      <c r="B139" s="19" t="inlineStr">
        <is>
          <t>Software</t>
        </is>
      </c>
      <c r="C139" s="19" t="inlineStr">
        <is>
          <t>ENOM+</t>
        </is>
      </c>
      <c r="D139" s="19" t="inlineStr">
        <is>
          <t>UK</t>
        </is>
      </c>
      <c r="E139" s="20" t="n">
        <v>0</v>
      </c>
      <c r="F139" s="20" t="n">
        <v>0</v>
      </c>
      <c r="G139" s="20" t="n">
        <v>0</v>
      </c>
      <c r="H139" s="20" t="n">
        <v>0</v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0" t="n">
        <v>19600</v>
      </c>
      <c r="O139" s="20" t="n">
        <v>44891.56</v>
      </c>
      <c r="P139" s="20" t="n">
        <v>50429.63999999999</v>
      </c>
      <c r="Q139" s="20" t="n">
        <v>36517.1</v>
      </c>
    </row>
    <row r="140">
      <c r="A140" s="19" t="inlineStr">
        <is>
          <t>Company 56</t>
        </is>
      </c>
      <c r="B140" s="19" t="inlineStr">
        <is>
          <t>Software</t>
        </is>
      </c>
      <c r="C140" s="19" t="inlineStr">
        <is>
          <t>Routing</t>
        </is>
      </c>
      <c r="D140" s="19" t="inlineStr">
        <is>
          <t>UK</t>
        </is>
      </c>
      <c r="E140" s="20" t="n">
        <v>0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0</v>
      </c>
      <c r="K140" s="20" t="n">
        <v>0</v>
      </c>
      <c r="L140" s="20" t="n">
        <v>0</v>
      </c>
      <c r="M140" s="20" t="n">
        <v>0</v>
      </c>
      <c r="N140" s="20" t="n">
        <v>4217.5</v>
      </c>
      <c r="O140" s="20" t="n">
        <v>61895.19</v>
      </c>
      <c r="P140" s="20" t="n">
        <v>101189.99</v>
      </c>
      <c r="Q140" s="20" t="n">
        <v>103597.83</v>
      </c>
    </row>
    <row r="141">
      <c r="A141" s="19" t="inlineStr">
        <is>
          <t>Company 56</t>
        </is>
      </c>
      <c r="B141" s="19" t="inlineStr">
        <is>
          <t>Software</t>
        </is>
      </c>
      <c r="C141" s="19" t="inlineStr">
        <is>
          <t>Routing</t>
        </is>
      </c>
      <c r="D141" s="19" t="inlineStr">
        <is>
          <t>UK</t>
        </is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0</v>
      </c>
      <c r="J141" s="20" t="n">
        <v>0</v>
      </c>
      <c r="K141" s="20" t="n">
        <v>0</v>
      </c>
      <c r="L141" s="20" t="n">
        <v>0</v>
      </c>
      <c r="M141" s="20" t="n">
        <v>0</v>
      </c>
      <c r="N141" s="20" t="n">
        <v>0</v>
      </c>
      <c r="O141" s="20" t="n">
        <v>6978.02</v>
      </c>
      <c r="P141" s="20" t="n">
        <v>13161.81</v>
      </c>
      <c r="Q141" s="20" t="n">
        <v>15842.87</v>
      </c>
    </row>
    <row r="142">
      <c r="A142" s="19" t="inlineStr">
        <is>
          <t>Company 56</t>
        </is>
      </c>
      <c r="B142" s="19" t="inlineStr">
        <is>
          <t>Power</t>
        </is>
      </c>
      <c r="C142" s="19" t="inlineStr">
        <is>
          <t>Shipper Power</t>
        </is>
      </c>
      <c r="D142" s="19" t="inlineStr">
        <is>
          <t>UK</t>
        </is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M142" s="20" t="n">
        <v>0</v>
      </c>
      <c r="N142" s="20" t="n">
        <v>0</v>
      </c>
      <c r="O142" s="20" t="n">
        <v>0</v>
      </c>
      <c r="P142" s="20" t="n">
        <v>180410</v>
      </c>
      <c r="Q142" s="20" t="n">
        <v>265354</v>
      </c>
    </row>
    <row r="143">
      <c r="A143" s="19" t="inlineStr">
        <is>
          <t>Company 57</t>
        </is>
      </c>
      <c r="B143" s="19" t="inlineStr">
        <is>
          <t>Operations</t>
        </is>
      </c>
      <c r="C143" s="19" t="inlineStr">
        <is>
          <t>Demand Text</t>
        </is>
      </c>
      <c r="D143" s="19" t="inlineStr">
        <is>
          <t>UK</t>
        </is>
      </c>
      <c r="E143" s="20" t="n">
        <v>12600</v>
      </c>
      <c r="F143" s="20" t="n">
        <v>16762.5</v>
      </c>
      <c r="G143" s="20" t="n">
        <v>11362.5</v>
      </c>
      <c r="H143" s="20" t="n">
        <v>13500</v>
      </c>
      <c r="I143" s="20" t="n">
        <v>11475</v>
      </c>
      <c r="J143" s="20" t="n">
        <v>10800</v>
      </c>
      <c r="K143" s="20" t="n">
        <v>10800</v>
      </c>
      <c r="L143" s="20" t="n">
        <v>10800</v>
      </c>
      <c r="M143" s="20" t="n">
        <v>10800</v>
      </c>
      <c r="N143" s="20" t="n">
        <v>10800</v>
      </c>
      <c r="O143" s="20" t="n">
        <v>11739.26</v>
      </c>
      <c r="P143" s="20" t="n">
        <v>9891.1</v>
      </c>
      <c r="Q143" s="20" t="n">
        <v>8069.639999999999</v>
      </c>
    </row>
    <row r="144">
      <c r="A144" s="19" t="inlineStr">
        <is>
          <t>Company 57</t>
        </is>
      </c>
      <c r="B144" s="19" t="inlineStr">
        <is>
          <t>Software</t>
        </is>
      </c>
      <c r="C144" s="19" t="inlineStr">
        <is>
          <t>CodeRunner</t>
        </is>
      </c>
      <c r="D144" s="19" t="inlineStr">
        <is>
          <t>UK</t>
        </is>
      </c>
      <c r="E144" s="20" t="n">
        <v>34999.99999999999</v>
      </c>
      <c r="F144" s="20" t="n">
        <v>34999.99999999999</v>
      </c>
      <c r="G144" s="20" t="n">
        <v>34999.99999999999</v>
      </c>
      <c r="H144" s="20" t="n">
        <v>34999.99999999999</v>
      </c>
      <c r="I144" s="20" t="n">
        <v>34999.99999999999</v>
      </c>
      <c r="J144" s="20" t="n">
        <v>34999.99999999999</v>
      </c>
      <c r="K144" s="20" t="n">
        <v>34999.99999999999</v>
      </c>
      <c r="L144" s="20" t="n">
        <v>34999.99999999999</v>
      </c>
      <c r="M144" s="20" t="n">
        <v>34999.99999999999</v>
      </c>
      <c r="N144" s="20" t="n">
        <v>34999.99999999999</v>
      </c>
      <c r="O144" s="20" t="n">
        <v>36555.02</v>
      </c>
      <c r="P144" s="20" t="n">
        <v>36739.77000000001</v>
      </c>
      <c r="Q144" s="20" t="n">
        <v>39007.61759999999</v>
      </c>
    </row>
    <row r="145">
      <c r="A145" s="19" t="inlineStr">
        <is>
          <t>Company 57</t>
        </is>
      </c>
      <c r="B145" s="19" t="inlineStr">
        <is>
          <t>Software</t>
        </is>
      </c>
      <c r="C145" s="19" t="inlineStr">
        <is>
          <t>ENOM+</t>
        </is>
      </c>
      <c r="D145" s="19" t="inlineStr">
        <is>
          <t>UK</t>
        </is>
      </c>
      <c r="E145" s="20" t="n">
        <v>14500</v>
      </c>
      <c r="F145" s="20" t="n">
        <v>31226.5</v>
      </c>
      <c r="G145" s="20" t="n">
        <v>14500</v>
      </c>
      <c r="H145" s="20" t="n">
        <v>14500</v>
      </c>
      <c r="I145" s="20" t="n">
        <v>14500</v>
      </c>
      <c r="J145" s="20" t="n">
        <v>14500</v>
      </c>
      <c r="K145" s="20" t="n">
        <v>14500</v>
      </c>
      <c r="L145" s="20" t="n">
        <v>14500</v>
      </c>
      <c r="M145" s="20" t="n">
        <v>14500</v>
      </c>
      <c r="N145" s="20" t="n">
        <v>15466.64</v>
      </c>
      <c r="O145" s="20" t="n">
        <v>16383.88</v>
      </c>
      <c r="P145" s="20" t="n">
        <v>17167.25</v>
      </c>
      <c r="Q145" s="20" t="n">
        <v>17604.89</v>
      </c>
    </row>
    <row r="146">
      <c r="A146" s="19" t="inlineStr">
        <is>
          <t>Company 57</t>
        </is>
      </c>
      <c r="B146" s="19" t="inlineStr">
        <is>
          <t>Software</t>
        </is>
      </c>
      <c r="C146" s="19" t="inlineStr">
        <is>
          <t>Routing</t>
        </is>
      </c>
      <c r="D146" s="19" t="inlineStr">
        <is>
          <t>UK</t>
        </is>
      </c>
      <c r="E146" s="20" t="n">
        <v>12000</v>
      </c>
      <c r="F146" s="20" t="n">
        <v>16901.1</v>
      </c>
      <c r="G146" s="20" t="n">
        <v>13800</v>
      </c>
      <c r="H146" s="20" t="n">
        <v>16400</v>
      </c>
      <c r="I146" s="20" t="n">
        <v>20200</v>
      </c>
      <c r="J146" s="20" t="n">
        <v>25600</v>
      </c>
      <c r="K146" s="20" t="n">
        <v>29200</v>
      </c>
      <c r="L146" s="20" t="n">
        <v>29600</v>
      </c>
      <c r="M146" s="20" t="n">
        <v>29400</v>
      </c>
      <c r="N146" s="20" t="n">
        <v>24320</v>
      </c>
      <c r="O146" s="20" t="n">
        <v>19765.8</v>
      </c>
      <c r="P146" s="20" t="n">
        <v>20624.3</v>
      </c>
      <c r="Q146" s="20" t="n">
        <v>21841.62</v>
      </c>
    </row>
    <row r="147">
      <c r="A147" s="19" t="inlineStr">
        <is>
          <t>Company 57</t>
        </is>
      </c>
      <c r="B147" s="19" t="inlineStr">
        <is>
          <t>Software</t>
        </is>
      </c>
      <c r="C147" s="19" t="inlineStr">
        <is>
          <t>EuroRunner</t>
        </is>
      </c>
      <c r="D147" s="19" t="inlineStr">
        <is>
          <t>UK</t>
        </is>
      </c>
      <c r="E147" s="20" t="n">
        <v>0</v>
      </c>
      <c r="F147" s="20" t="n">
        <v>0</v>
      </c>
      <c r="G147" s="20" t="n">
        <v>0</v>
      </c>
      <c r="H147" s="20" t="n">
        <v>0</v>
      </c>
      <c r="I147" s="20" t="n">
        <v>29166.47</v>
      </c>
      <c r="J147" s="20" t="n">
        <v>187505.9600000001</v>
      </c>
      <c r="K147" s="20" t="n">
        <v>121482</v>
      </c>
      <c r="L147" s="20" t="n">
        <v>121482.04</v>
      </c>
      <c r="M147" s="20" t="n">
        <v>121482.04</v>
      </c>
      <c r="N147" s="20" t="n">
        <v>117315.37</v>
      </c>
      <c r="O147" s="20" t="n">
        <v>71809.21000000001</v>
      </c>
      <c r="P147" s="20" t="n">
        <v>74254.00999999999</v>
      </c>
      <c r="Q147" s="20" t="n">
        <v>78257.6856</v>
      </c>
    </row>
    <row r="148">
      <c r="A148" s="19" t="inlineStr">
        <is>
          <t>Company 58</t>
        </is>
      </c>
      <c r="B148" s="19" t="inlineStr">
        <is>
          <t>Software</t>
        </is>
      </c>
      <c r="C148" s="19" t="inlineStr">
        <is>
          <t>ENOM+</t>
        </is>
      </c>
      <c r="D148" s="19" t="inlineStr">
        <is>
          <t>UK</t>
        </is>
      </c>
      <c r="E148" s="20" t="n">
        <v>14500</v>
      </c>
      <c r="F148" s="20" t="n">
        <v>14500</v>
      </c>
      <c r="G148" s="20" t="n">
        <v>14500</v>
      </c>
      <c r="H148" s="20" t="n">
        <v>14500</v>
      </c>
      <c r="I148" s="20" t="n">
        <v>14500</v>
      </c>
      <c r="J148" s="20" t="n">
        <v>14500</v>
      </c>
      <c r="K148" s="20" t="n">
        <v>14500</v>
      </c>
      <c r="L148" s="20" t="n">
        <v>14500</v>
      </c>
      <c r="M148" s="20" t="n">
        <v>14500</v>
      </c>
      <c r="N148" s="20" t="n">
        <v>14500</v>
      </c>
      <c r="O148" s="20" t="n">
        <v>14571.49</v>
      </c>
      <c r="P148" s="20" t="n">
        <v>14890</v>
      </c>
      <c r="Q148" s="20" t="n">
        <v>15046.61</v>
      </c>
    </row>
    <row r="149">
      <c r="A149" s="19" t="inlineStr">
        <is>
          <t>Company 58</t>
        </is>
      </c>
      <c r="B149" s="19" t="inlineStr">
        <is>
          <t>Software</t>
        </is>
      </c>
      <c r="C149" s="19" t="inlineStr">
        <is>
          <t>Hosting</t>
        </is>
      </c>
      <c r="D149" s="19" t="inlineStr">
        <is>
          <t>UK</t>
        </is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0</v>
      </c>
      <c r="K149" s="20" t="n">
        <v>4500</v>
      </c>
      <c r="L149" s="20" t="n">
        <v>19500</v>
      </c>
      <c r="M149" s="20" t="n">
        <v>18000</v>
      </c>
      <c r="N149" s="20" t="n">
        <v>18000</v>
      </c>
      <c r="O149" s="20" t="n">
        <v>18530.64</v>
      </c>
      <c r="P149" s="20" t="n">
        <v>18000</v>
      </c>
      <c r="Q149" s="20" t="n">
        <v>18199.88</v>
      </c>
    </row>
    <row r="150">
      <c r="A150" s="19" t="inlineStr">
        <is>
          <t>Company 58</t>
        </is>
      </c>
      <c r="B150" s="19" t="inlineStr">
        <is>
          <t>Software</t>
        </is>
      </c>
      <c r="C150" s="19" t="inlineStr">
        <is>
          <t>Hosting</t>
        </is>
      </c>
      <c r="D150" s="19" t="inlineStr">
        <is>
          <t>UK</t>
        </is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O150" s="20" t="n">
        <v>53691.75999999999</v>
      </c>
      <c r="P150" s="20" t="n">
        <v>52399.99999999999</v>
      </c>
      <c r="Q150" s="20" t="n">
        <v>52980.63</v>
      </c>
    </row>
    <row r="151">
      <c r="A151" s="19" t="inlineStr">
        <is>
          <t>Company 58</t>
        </is>
      </c>
      <c r="B151" s="19" t="inlineStr">
        <is>
          <t>Operations</t>
        </is>
      </c>
      <c r="C151" s="19" t="inlineStr">
        <is>
          <t>Shipper Gas</t>
        </is>
      </c>
      <c r="D151" s="19" t="inlineStr">
        <is>
          <t>UK</t>
        </is>
      </c>
      <c r="E151" s="20" t="n">
        <v>245790</v>
      </c>
      <c r="F151" s="20" t="n">
        <v>248976</v>
      </c>
      <c r="G151" s="20" t="n">
        <v>244652</v>
      </c>
      <c r="H151" s="20" t="n">
        <v>244050</v>
      </c>
      <c r="I151" s="20" t="n">
        <v>278580</v>
      </c>
      <c r="J151" s="20" t="n">
        <v>306365</v>
      </c>
      <c r="K151" s="20" t="n">
        <v>315804</v>
      </c>
      <c r="L151" s="20" t="n">
        <v>283637.56</v>
      </c>
      <c r="M151" s="20" t="n">
        <v>339563</v>
      </c>
      <c r="N151" s="20" t="n">
        <v>352488</v>
      </c>
      <c r="O151" s="20" t="n">
        <v>358438</v>
      </c>
      <c r="P151" s="20" t="n">
        <v>362688</v>
      </c>
      <c r="Q151" s="20" t="n">
        <v>371150.72</v>
      </c>
    </row>
    <row r="152">
      <c r="A152" s="19" t="inlineStr">
        <is>
          <t>Company 59</t>
        </is>
      </c>
      <c r="B152" s="19" t="inlineStr">
        <is>
          <t>Software</t>
        </is>
      </c>
      <c r="C152" s="19" t="inlineStr">
        <is>
          <t>Routing</t>
        </is>
      </c>
      <c r="D152" s="19" t="inlineStr">
        <is>
          <t>Belgium</t>
        </is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0</v>
      </c>
      <c r="N152" s="20" t="n">
        <v>0</v>
      </c>
      <c r="O152" s="20" t="n">
        <v>0</v>
      </c>
      <c r="P152" s="20" t="n">
        <v>34808.63</v>
      </c>
      <c r="Q152" s="20" t="n">
        <v>40492.14794602698</v>
      </c>
    </row>
    <row r="153">
      <c r="A153" s="19" t="inlineStr">
        <is>
          <t>Company 60</t>
        </is>
      </c>
      <c r="B153" s="19" t="inlineStr">
        <is>
          <t>Operations</t>
        </is>
      </c>
      <c r="C153" s="19" t="inlineStr">
        <is>
          <t>Shipper Gas</t>
        </is>
      </c>
      <c r="D153" s="19" t="inlineStr">
        <is>
          <t>UK</t>
        </is>
      </c>
      <c r="E153" s="20" t="n">
        <v>89760</v>
      </c>
      <c r="F153" s="20" t="n">
        <v>89760</v>
      </c>
      <c r="G153" s="20" t="n">
        <v>89760</v>
      </c>
      <c r="H153" s="20" t="n">
        <v>89760</v>
      </c>
      <c r="I153" s="20" t="n">
        <v>89760</v>
      </c>
      <c r="J153" s="20" t="n">
        <v>89760</v>
      </c>
      <c r="K153" s="20" t="n">
        <v>89760</v>
      </c>
      <c r="L153" s="20" t="n">
        <v>89760</v>
      </c>
      <c r="M153" s="20" t="n">
        <v>89760</v>
      </c>
      <c r="N153" s="20" t="n">
        <v>102080</v>
      </c>
      <c r="O153" s="20" t="n">
        <v>103200</v>
      </c>
      <c r="P153" s="20" t="n">
        <v>106500</v>
      </c>
      <c r="Q153" s="20" t="n">
        <v>110695</v>
      </c>
    </row>
    <row r="154">
      <c r="A154" s="19" t="inlineStr">
        <is>
          <t>Company 61</t>
        </is>
      </c>
      <c r="B154" s="19" t="inlineStr">
        <is>
          <t>Software</t>
        </is>
      </c>
      <c r="C154" s="19" t="inlineStr">
        <is>
          <t>ENOM+</t>
        </is>
      </c>
      <c r="D154" s="19" t="inlineStr">
        <is>
          <t>France</t>
        </is>
      </c>
      <c r="E154" s="20" t="n">
        <v>17326.05</v>
      </c>
      <c r="F154" s="20" t="n">
        <v>0</v>
      </c>
      <c r="G154" s="20" t="n">
        <v>15422.4</v>
      </c>
      <c r="H154" s="20" t="n">
        <v>18434.85</v>
      </c>
      <c r="I154" s="20" t="n">
        <v>18665.43</v>
      </c>
      <c r="J154" s="20" t="n">
        <v>18897.48</v>
      </c>
      <c r="K154" s="20" t="n">
        <v>17895.15</v>
      </c>
      <c r="L154" s="20" t="n">
        <v>18969.93</v>
      </c>
      <c r="M154" s="20" t="n">
        <v>17783.85</v>
      </c>
      <c r="N154" s="20" t="n">
        <v>20339.09</v>
      </c>
      <c r="O154" s="20" t="n">
        <v>20397.00376068376</v>
      </c>
      <c r="P154" s="20" t="n">
        <v>19982.31</v>
      </c>
      <c r="Q154" s="20" t="n">
        <v>20391.44164917541</v>
      </c>
    </row>
    <row r="155">
      <c r="A155" s="19" t="inlineStr">
        <is>
          <t>Company 61</t>
        </is>
      </c>
      <c r="B155" s="19" t="inlineStr">
        <is>
          <t>Software</t>
        </is>
      </c>
      <c r="C155" s="19" t="inlineStr">
        <is>
          <t>Routing</t>
        </is>
      </c>
      <c r="D155" s="19" t="inlineStr">
        <is>
          <t>France</t>
        </is>
      </c>
      <c r="E155" s="20" t="n">
        <v>5197.82</v>
      </c>
      <c r="F155" s="20" t="n">
        <v>0</v>
      </c>
      <c r="G155" s="20" t="n">
        <v>5287.68</v>
      </c>
      <c r="H155" s="20" t="n">
        <v>7110.590000000001</v>
      </c>
      <c r="I155" s="20" t="n">
        <v>6399.580000000001</v>
      </c>
      <c r="J155" s="20" t="n">
        <v>6479.14</v>
      </c>
      <c r="K155" s="20" t="n">
        <v>6135.48</v>
      </c>
      <c r="L155" s="20" t="n">
        <v>6503.98</v>
      </c>
      <c r="M155" s="20" t="n">
        <v>6097.32</v>
      </c>
      <c r="N155" s="20" t="n">
        <v>6973.4</v>
      </c>
      <c r="O155" s="20" t="n">
        <v>7007.493162393163</v>
      </c>
      <c r="P155" s="20" t="n">
        <v>6855.86</v>
      </c>
      <c r="Q155" s="20" t="n">
        <v>7043.743673163419</v>
      </c>
    </row>
    <row r="156">
      <c r="A156" s="19" t="inlineStr">
        <is>
          <t>Company 62</t>
        </is>
      </c>
      <c r="B156" s="19" t="inlineStr">
        <is>
          <t>Software</t>
        </is>
      </c>
      <c r="C156" s="19" t="inlineStr">
        <is>
          <t>Hosting</t>
        </is>
      </c>
      <c r="D156" s="19" t="inlineStr">
        <is>
          <t>France</t>
        </is>
      </c>
      <c r="E156" s="20" t="n">
        <v>2400</v>
      </c>
      <c r="F156" s="20" t="n">
        <v>2400</v>
      </c>
      <c r="G156" s="20" t="n">
        <v>2400</v>
      </c>
      <c r="H156" s="20" t="n">
        <v>2400</v>
      </c>
      <c r="I156" s="20" t="n">
        <v>2400</v>
      </c>
      <c r="J156" s="20" t="n">
        <v>2400</v>
      </c>
      <c r="K156" s="20" t="n">
        <v>2400</v>
      </c>
      <c r="L156" s="20" t="n">
        <v>2400</v>
      </c>
      <c r="M156" s="20" t="n">
        <v>2400</v>
      </c>
      <c r="N156" s="20" t="n">
        <v>2400</v>
      </c>
      <c r="O156" s="20" t="n">
        <v>2606.77</v>
      </c>
      <c r="P156" s="20" t="n">
        <v>393.23</v>
      </c>
      <c r="Q156" s="20" t="n">
        <v>0</v>
      </c>
    </row>
    <row r="157">
      <c r="A157" s="19" t="inlineStr">
        <is>
          <t>Company 63</t>
        </is>
      </c>
      <c r="B157" s="19" t="inlineStr">
        <is>
          <t>Operations</t>
        </is>
      </c>
      <c r="C157" s="19" t="inlineStr">
        <is>
          <t>Shipper Gas</t>
        </is>
      </c>
      <c r="D157" s="19" t="inlineStr">
        <is>
          <t>UK</t>
        </is>
      </c>
      <c r="E157" s="20" t="n">
        <v>49818</v>
      </c>
      <c r="F157" s="20" t="n">
        <v>50124</v>
      </c>
      <c r="G157" s="20" t="n">
        <v>52407</v>
      </c>
      <c r="H157" s="20" t="n">
        <v>50124</v>
      </c>
      <c r="I157" s="20" t="n">
        <v>50124</v>
      </c>
      <c r="J157" s="20" t="n">
        <v>51456</v>
      </c>
      <c r="K157" s="20" t="n">
        <v>64050</v>
      </c>
      <c r="L157" s="20" t="n">
        <v>69360</v>
      </c>
      <c r="M157" s="20" t="n">
        <v>72030</v>
      </c>
      <c r="N157" s="20" t="n">
        <v>81750</v>
      </c>
      <c r="O157" s="20" t="n">
        <v>82740</v>
      </c>
      <c r="P157" s="20" t="n">
        <v>84265</v>
      </c>
      <c r="Q157" s="20" t="n">
        <v>86400</v>
      </c>
    </row>
    <row r="158">
      <c r="A158" s="19" t="inlineStr">
        <is>
          <t>Company 63</t>
        </is>
      </c>
      <c r="B158" s="19" t="inlineStr">
        <is>
          <t>Software</t>
        </is>
      </c>
      <c r="C158" s="19" t="inlineStr">
        <is>
          <t>CodeRunner</t>
        </is>
      </c>
      <c r="D158" s="19" t="inlineStr">
        <is>
          <t>UK</t>
        </is>
      </c>
      <c r="E158" s="20" t="n">
        <v>15000</v>
      </c>
      <c r="F158" s="20" t="n">
        <v>15000</v>
      </c>
      <c r="G158" s="20" t="n">
        <v>15000</v>
      </c>
      <c r="H158" s="20" t="n">
        <v>15000</v>
      </c>
      <c r="I158" s="20" t="n">
        <v>15000</v>
      </c>
      <c r="J158" s="20" t="n">
        <v>15000</v>
      </c>
      <c r="K158" s="20" t="n">
        <v>15000</v>
      </c>
      <c r="L158" s="20" t="n">
        <v>15000</v>
      </c>
      <c r="M158" s="20" t="n">
        <v>15000</v>
      </c>
      <c r="N158" s="20" t="n">
        <v>15000</v>
      </c>
      <c r="O158" s="20" t="n">
        <v>14986.36</v>
      </c>
      <c r="P158" s="20" t="n">
        <v>1263.64</v>
      </c>
      <c r="Q158" s="20" t="n">
        <v>0</v>
      </c>
    </row>
    <row r="159">
      <c r="A159" s="19" t="inlineStr">
        <is>
          <t>Company 63</t>
        </is>
      </c>
      <c r="B159" s="19" t="inlineStr">
        <is>
          <t>Software</t>
        </is>
      </c>
      <c r="C159" s="19" t="inlineStr">
        <is>
          <t>ENOM</t>
        </is>
      </c>
      <c r="D159" s="19" t="inlineStr">
        <is>
          <t>UK</t>
        </is>
      </c>
      <c r="E159" s="20" t="n">
        <v>9200</v>
      </c>
      <c r="F159" s="20" t="n">
        <v>9200</v>
      </c>
      <c r="G159" s="20" t="n">
        <v>9200</v>
      </c>
      <c r="H159" s="20" t="n">
        <v>9200</v>
      </c>
      <c r="I159" s="20" t="n">
        <v>9200</v>
      </c>
      <c r="J159" s="20" t="n">
        <v>9200</v>
      </c>
      <c r="K159" s="20" t="n">
        <v>9200</v>
      </c>
      <c r="L159" s="20" t="n">
        <v>9200</v>
      </c>
      <c r="M159" s="20" t="n">
        <v>9200</v>
      </c>
      <c r="N159" s="20" t="n">
        <v>9200</v>
      </c>
      <c r="O159" s="20" t="n">
        <v>9228.289999999999</v>
      </c>
      <c r="P159" s="20" t="n">
        <v>9200</v>
      </c>
      <c r="Q159" s="20" t="n">
        <v>9307.389999999999</v>
      </c>
    </row>
    <row r="160">
      <c r="A160" s="19" t="inlineStr">
        <is>
          <t>Company 63</t>
        </is>
      </c>
      <c r="B160" s="19" t="inlineStr">
        <is>
          <t>Software</t>
        </is>
      </c>
      <c r="C160" s="19" t="inlineStr">
        <is>
          <t>EuroRunner</t>
        </is>
      </c>
      <c r="D160" s="19" t="inlineStr">
        <is>
          <t>UK</t>
        </is>
      </c>
      <c r="E160" s="20" t="n">
        <v>7500</v>
      </c>
      <c r="F160" s="20" t="n">
        <v>7500</v>
      </c>
      <c r="G160" s="20" t="n">
        <v>7500</v>
      </c>
      <c r="H160" s="20" t="n">
        <v>7500</v>
      </c>
      <c r="I160" s="20" t="n">
        <v>7500</v>
      </c>
      <c r="J160" s="20" t="n">
        <v>7500</v>
      </c>
      <c r="K160" s="20" t="n">
        <v>7500</v>
      </c>
      <c r="L160" s="20" t="n">
        <v>7500</v>
      </c>
      <c r="M160" s="20" t="n">
        <v>7500</v>
      </c>
      <c r="N160" s="20" t="n">
        <v>7500</v>
      </c>
      <c r="O160" s="20" t="n">
        <v>25687.5</v>
      </c>
      <c r="P160" s="20" t="n">
        <v>22500</v>
      </c>
      <c r="Q160" s="20" t="n">
        <v>23067.5</v>
      </c>
    </row>
    <row r="161">
      <c r="A161" s="19" t="inlineStr">
        <is>
          <t>Company 63</t>
        </is>
      </c>
      <c r="B161" s="19" t="inlineStr">
        <is>
          <t>Software</t>
        </is>
      </c>
      <c r="C161" s="19" t="inlineStr">
        <is>
          <t>Routing</t>
        </is>
      </c>
      <c r="D161" s="19" t="inlineStr">
        <is>
          <t>UK</t>
        </is>
      </c>
      <c r="E161" s="20" t="n">
        <v>1800</v>
      </c>
      <c r="F161" s="20" t="n">
        <v>1800</v>
      </c>
      <c r="G161" s="20" t="n">
        <v>1800</v>
      </c>
      <c r="H161" s="20" t="n">
        <v>2010</v>
      </c>
      <c r="I161" s="20" t="n">
        <v>2370</v>
      </c>
      <c r="J161" s="20" t="n">
        <v>2520</v>
      </c>
      <c r="K161" s="20" t="n">
        <v>2730</v>
      </c>
      <c r="L161" s="20" t="n">
        <v>2880</v>
      </c>
      <c r="M161" s="20" t="n">
        <v>3090</v>
      </c>
      <c r="N161" s="20" t="n">
        <v>4080</v>
      </c>
      <c r="O161" s="20" t="n">
        <v>5326.92</v>
      </c>
      <c r="P161" s="20" t="n">
        <v>5971.86</v>
      </c>
      <c r="Q161" s="20" t="n">
        <v>6189.43</v>
      </c>
    </row>
    <row r="162">
      <c r="A162" s="19" t="inlineStr">
        <is>
          <t>Company 63</t>
        </is>
      </c>
      <c r="B162" s="19" t="inlineStr">
        <is>
          <t>Power</t>
        </is>
      </c>
      <c r="C162" s="19" t="inlineStr">
        <is>
          <t>Shipper Power</t>
        </is>
      </c>
      <c r="D162" s="19" t="inlineStr">
        <is>
          <t>UK</t>
        </is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5000</v>
      </c>
      <c r="M162" s="20" t="n">
        <v>0</v>
      </c>
      <c r="N162" s="20" t="n">
        <v>12150</v>
      </c>
      <c r="O162" s="20" t="n">
        <v>54100</v>
      </c>
      <c r="P162" s="20" t="n">
        <v>94100</v>
      </c>
      <c r="Q162" s="20" t="n">
        <v>96600</v>
      </c>
    </row>
    <row r="163">
      <c r="A163" s="19" t="inlineStr">
        <is>
          <t>Company 63</t>
        </is>
      </c>
      <c r="B163" s="19" t="inlineStr">
        <is>
          <t>Software</t>
        </is>
      </c>
      <c r="C163" s="19" t="inlineStr">
        <is>
          <t>Hosting</t>
        </is>
      </c>
      <c r="D163" s="19" t="inlineStr">
        <is>
          <t>UK</t>
        </is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O163" s="20" t="n">
        <v>12322.12</v>
      </c>
      <c r="P163" s="20" t="n">
        <v>25598.88</v>
      </c>
      <c r="Q163" s="20" t="n">
        <v>29836.71999999999</v>
      </c>
    </row>
    <row r="164">
      <c r="A164" s="19" t="inlineStr">
        <is>
          <t>Company 64</t>
        </is>
      </c>
      <c r="B164" s="19" t="inlineStr">
        <is>
          <t>Power</t>
        </is>
      </c>
      <c r="C164" s="19" t="inlineStr">
        <is>
          <t>Shipper Power</t>
        </is>
      </c>
      <c r="D164" s="19" t="inlineStr">
        <is>
          <t>USA</t>
        </is>
      </c>
      <c r="E164" s="20" t="n">
        <v>0</v>
      </c>
      <c r="F164" s="20" t="n">
        <v>41000</v>
      </c>
      <c r="G164" s="20" t="n">
        <v>49200</v>
      </c>
      <c r="H164" s="20" t="n">
        <v>0</v>
      </c>
      <c r="I164" s="20" t="n">
        <v>0</v>
      </c>
      <c r="J164" s="20" t="n">
        <v>8500</v>
      </c>
      <c r="K164" s="20" t="n">
        <v>0</v>
      </c>
      <c r="L164" s="20" t="n">
        <v>0</v>
      </c>
      <c r="M164" s="20" t="n">
        <v>0</v>
      </c>
      <c r="N164" s="20" t="n">
        <v>0</v>
      </c>
      <c r="O164" s="20" t="n">
        <v>0</v>
      </c>
      <c r="P164" s="20" t="n">
        <v>94320</v>
      </c>
      <c r="Q164" s="20" t="n">
        <v>117120</v>
      </c>
    </row>
    <row r="165">
      <c r="A165" s="19" t="inlineStr">
        <is>
          <t>Company 64</t>
        </is>
      </c>
      <c r="B165" s="19" t="inlineStr">
        <is>
          <t>Operations</t>
        </is>
      </c>
      <c r="C165" s="19" t="inlineStr">
        <is>
          <t>Shipper Gas</t>
        </is>
      </c>
      <c r="D165" s="19" t="inlineStr">
        <is>
          <t>USA</t>
        </is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5000</v>
      </c>
      <c r="J165" s="20" t="n">
        <v>9750</v>
      </c>
      <c r="K165" s="20" t="n">
        <v>75000</v>
      </c>
      <c r="L165" s="20" t="n">
        <v>75000</v>
      </c>
      <c r="M165" s="20" t="n">
        <v>75000</v>
      </c>
      <c r="N165" s="20" t="n">
        <v>75000</v>
      </c>
      <c r="O165" s="20" t="n">
        <v>80510</v>
      </c>
      <c r="P165" s="20" t="n">
        <v>110050</v>
      </c>
      <c r="Q165" s="20" t="n">
        <v>124949</v>
      </c>
    </row>
    <row r="166">
      <c r="A166" s="19" t="inlineStr">
        <is>
          <t>Company 65</t>
        </is>
      </c>
      <c r="B166" s="19" t="inlineStr">
        <is>
          <t>Software</t>
        </is>
      </c>
      <c r="C166" s="19" t="inlineStr">
        <is>
          <t>Routing</t>
        </is>
      </c>
      <c r="D166" s="19" t="inlineStr">
        <is>
          <t>Germany</t>
        </is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J166" s="20" t="n">
        <v>0</v>
      </c>
      <c r="K166" s="20" t="n">
        <v>0</v>
      </c>
      <c r="L166" s="20" t="n">
        <v>0</v>
      </c>
      <c r="M166" s="20" t="n">
        <v>0</v>
      </c>
      <c r="N166" s="20" t="n">
        <v>0</v>
      </c>
      <c r="O166" s="20" t="n">
        <v>4309.177863247864</v>
      </c>
      <c r="P166" s="20" t="n">
        <v>5307.01</v>
      </c>
      <c r="Q166" s="20" t="n">
        <v>5525.869550224889</v>
      </c>
    </row>
    <row r="167">
      <c r="A167" s="19" t="inlineStr">
        <is>
          <t>Company 66</t>
        </is>
      </c>
      <c r="B167" s="19" t="inlineStr">
        <is>
          <t>Operations</t>
        </is>
      </c>
      <c r="C167" s="19" t="inlineStr">
        <is>
          <t>Shipper Gas</t>
        </is>
      </c>
      <c r="D167" s="19" t="inlineStr">
        <is>
          <t>Italy</t>
        </is>
      </c>
      <c r="E167" s="20" t="n">
        <v>124533.34</v>
      </c>
      <c r="F167" s="20" t="n">
        <v>222450</v>
      </c>
      <c r="G167" s="20" t="n">
        <v>222600</v>
      </c>
      <c r="H167" s="20" t="n">
        <v>136550</v>
      </c>
      <c r="I167" s="20" t="n">
        <v>129500</v>
      </c>
      <c r="J167" s="20" t="n">
        <v>120600</v>
      </c>
      <c r="K167" s="20" t="n">
        <v>122100</v>
      </c>
      <c r="L167" s="20" t="n">
        <v>121350</v>
      </c>
      <c r="M167" s="20" t="n">
        <v>125100</v>
      </c>
      <c r="N167" s="20" t="n">
        <v>133095</v>
      </c>
      <c r="O167" s="20" t="n">
        <v>135600</v>
      </c>
      <c r="P167" s="20" t="n">
        <v>139520</v>
      </c>
      <c r="Q167" s="20" t="n">
        <v>142634.6</v>
      </c>
    </row>
    <row r="168">
      <c r="A168" s="19" t="inlineStr">
        <is>
          <t>Company 66</t>
        </is>
      </c>
      <c r="B168" s="19" t="inlineStr">
        <is>
          <t>Software</t>
        </is>
      </c>
      <c r="C168" s="19" t="inlineStr">
        <is>
          <t>PowerTrak</t>
        </is>
      </c>
      <c r="D168" s="19" t="inlineStr">
        <is>
          <t>Italy</t>
        </is>
      </c>
      <c r="E168" s="20" t="n">
        <v>20833.37</v>
      </c>
      <c r="F168" s="20" t="n">
        <v>25000</v>
      </c>
      <c r="G168" s="20" t="n">
        <v>25000</v>
      </c>
      <c r="H168" s="20" t="n">
        <v>25000</v>
      </c>
      <c r="I168" s="20" t="n">
        <v>25000</v>
      </c>
      <c r="J168" s="20" t="n">
        <v>25000</v>
      </c>
      <c r="K168" s="20" t="n">
        <v>24999.96000000001</v>
      </c>
      <c r="L168" s="20" t="n">
        <v>25000.00000000001</v>
      </c>
      <c r="M168" s="20" t="n">
        <v>25000.00000000001</v>
      </c>
      <c r="N168" s="20" t="n">
        <v>25000.00000000001</v>
      </c>
      <c r="O168" s="20" t="n">
        <v>25000.00000000001</v>
      </c>
      <c r="P168" s="20" t="n">
        <v>25135.65</v>
      </c>
      <c r="Q168" s="20" t="n">
        <v>25056.52</v>
      </c>
    </row>
    <row r="169">
      <c r="A169" s="19" t="inlineStr">
        <is>
          <t>Company 66</t>
        </is>
      </c>
      <c r="B169" s="19" t="inlineStr">
        <is>
          <t>Operations</t>
        </is>
      </c>
      <c r="C169" s="19" t="inlineStr">
        <is>
          <t>Shipper Power</t>
        </is>
      </c>
      <c r="D169" s="19" t="inlineStr">
        <is>
          <t>Italy</t>
        </is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O169" s="20" t="n">
        <v>42000</v>
      </c>
      <c r="P169" s="20" t="n">
        <v>42155</v>
      </c>
      <c r="Q169" s="20" t="n">
        <v>43930.64</v>
      </c>
    </row>
    <row r="170">
      <c r="A170" s="19" t="inlineStr">
        <is>
          <t>Company 67</t>
        </is>
      </c>
      <c r="B170" s="19" t="inlineStr">
        <is>
          <t>Operations</t>
        </is>
      </c>
      <c r="C170" s="19" t="inlineStr">
        <is>
          <t>Shipper Gas</t>
        </is>
      </c>
      <c r="D170" s="19" t="inlineStr">
        <is>
          <t>UK</t>
        </is>
      </c>
      <c r="E170" s="20" t="n">
        <v>84330</v>
      </c>
      <c r="F170" s="20" t="n">
        <v>86220</v>
      </c>
      <c r="G170" s="20" t="n">
        <v>83231.2</v>
      </c>
      <c r="H170" s="20" t="n">
        <v>86425</v>
      </c>
      <c r="I170" s="20" t="n">
        <v>73680</v>
      </c>
      <c r="J170" s="20" t="n">
        <v>68550.65000000002</v>
      </c>
      <c r="K170" s="20" t="n">
        <v>88569.89999999998</v>
      </c>
      <c r="L170" s="20" t="n">
        <v>93914.54999999999</v>
      </c>
      <c r="M170" s="20" t="n">
        <v>99671.76999999999</v>
      </c>
      <c r="N170" s="20" t="n">
        <v>107292</v>
      </c>
      <c r="O170" s="20" t="n">
        <v>108256.112</v>
      </c>
      <c r="P170" s="20" t="n">
        <v>107989</v>
      </c>
      <c r="Q170" s="20" t="n">
        <v>110266.68</v>
      </c>
    </row>
    <row r="171">
      <c r="A171" s="19" t="inlineStr">
        <is>
          <t>Company 67</t>
        </is>
      </c>
      <c r="B171" s="19" t="inlineStr">
        <is>
          <t>Power</t>
        </is>
      </c>
      <c r="C171" s="19" t="inlineStr">
        <is>
          <t>Shipper Power</t>
        </is>
      </c>
      <c r="D171" s="19" t="inlineStr">
        <is>
          <t>UK</t>
        </is>
      </c>
      <c r="E171" s="20" t="n">
        <v>19200</v>
      </c>
      <c r="F171" s="20" t="n">
        <v>19200</v>
      </c>
      <c r="G171" s="20" t="n">
        <v>25600</v>
      </c>
      <c r="H171" s="20" t="n">
        <v>28800</v>
      </c>
      <c r="I171" s="20" t="n">
        <v>32400</v>
      </c>
      <c r="J171" s="20" t="n">
        <v>32400</v>
      </c>
      <c r="K171" s="20" t="n">
        <v>35403.17</v>
      </c>
      <c r="L171" s="20" t="n">
        <v>51400</v>
      </c>
      <c r="M171" s="20" t="n">
        <v>55200</v>
      </c>
      <c r="N171" s="20" t="n">
        <v>55200</v>
      </c>
      <c r="O171" s="20" t="n">
        <v>55347.2</v>
      </c>
      <c r="P171" s="20" t="n">
        <v>55200</v>
      </c>
      <c r="Q171" s="20" t="n">
        <v>55752</v>
      </c>
    </row>
    <row r="172">
      <c r="A172" s="19" t="inlineStr">
        <is>
          <t>Company 67</t>
        </is>
      </c>
      <c r="B172" s="19" t="inlineStr">
        <is>
          <t>Software</t>
        </is>
      </c>
      <c r="C172" s="19" t="inlineStr">
        <is>
          <t>CodeRunner</t>
        </is>
      </c>
      <c r="D172" s="19" t="inlineStr">
        <is>
          <t>UK</t>
        </is>
      </c>
      <c r="E172" s="20" t="n">
        <v>15000</v>
      </c>
      <c r="F172" s="20" t="n">
        <v>15000</v>
      </c>
      <c r="G172" s="20" t="n">
        <v>15000</v>
      </c>
      <c r="H172" s="20" t="n">
        <v>15000</v>
      </c>
      <c r="I172" s="20" t="n">
        <v>15000</v>
      </c>
      <c r="J172" s="20" t="n">
        <v>15000</v>
      </c>
      <c r="K172" s="20" t="n">
        <v>15000</v>
      </c>
      <c r="L172" s="20" t="n">
        <v>15000</v>
      </c>
      <c r="M172" s="20" t="n">
        <v>15000</v>
      </c>
      <c r="N172" s="20" t="n">
        <v>15000</v>
      </c>
      <c r="O172" s="20" t="n">
        <v>15069.5</v>
      </c>
      <c r="P172" s="20" t="n">
        <v>4930.5</v>
      </c>
      <c r="Q172" s="20" t="n">
        <v>0</v>
      </c>
    </row>
    <row r="173">
      <c r="A173" s="19" t="inlineStr">
        <is>
          <t>Company 67</t>
        </is>
      </c>
      <c r="B173" s="19" t="inlineStr">
        <is>
          <t>Software</t>
        </is>
      </c>
      <c r="C173" s="19" t="inlineStr">
        <is>
          <t>ENOM+</t>
        </is>
      </c>
      <c r="D173" s="19" t="inlineStr">
        <is>
          <t>UK</t>
        </is>
      </c>
      <c r="E173" s="20" t="n">
        <v>14500</v>
      </c>
      <c r="F173" s="20" t="n">
        <v>14500</v>
      </c>
      <c r="G173" s="20" t="n">
        <v>14500</v>
      </c>
      <c r="H173" s="20" t="n">
        <v>14500</v>
      </c>
      <c r="I173" s="20" t="n">
        <v>14500</v>
      </c>
      <c r="J173" s="20" t="n">
        <v>14500</v>
      </c>
      <c r="K173" s="20" t="n">
        <v>14500</v>
      </c>
      <c r="L173" s="20" t="n">
        <v>18850</v>
      </c>
      <c r="M173" s="20" t="n">
        <v>28850</v>
      </c>
      <c r="N173" s="20" t="n">
        <v>18850</v>
      </c>
      <c r="O173" s="20" t="n">
        <v>18913.49</v>
      </c>
      <c r="P173" s="20" t="n">
        <v>66670.36</v>
      </c>
      <c r="Q173" s="20" t="n">
        <v>22630.72</v>
      </c>
    </row>
    <row r="174">
      <c r="A174" s="19" t="inlineStr">
        <is>
          <t>Company 67</t>
        </is>
      </c>
      <c r="B174" s="19" t="inlineStr">
        <is>
          <t>Software</t>
        </is>
      </c>
      <c r="C174" s="19" t="inlineStr">
        <is>
          <t>Routing</t>
        </is>
      </c>
      <c r="D174" s="19" t="inlineStr">
        <is>
          <t>UK</t>
        </is>
      </c>
      <c r="E174" s="20" t="n">
        <v>4500</v>
      </c>
      <c r="F174" s="20" t="n">
        <v>4990</v>
      </c>
      <c r="G174" s="20" t="n">
        <v>4913.32</v>
      </c>
      <c r="H174" s="20" t="n">
        <v>5250</v>
      </c>
      <c r="I174" s="20" t="n">
        <v>6750</v>
      </c>
      <c r="J174" s="20" t="n">
        <v>7650</v>
      </c>
      <c r="K174" s="20" t="n">
        <v>10950</v>
      </c>
      <c r="L174" s="20" t="n">
        <v>13800</v>
      </c>
      <c r="M174" s="20" t="n">
        <v>10350</v>
      </c>
      <c r="N174" s="20" t="n">
        <v>9000</v>
      </c>
      <c r="O174" s="20" t="n">
        <v>10387.25</v>
      </c>
      <c r="P174" s="20" t="n">
        <v>10898.19</v>
      </c>
      <c r="Q174" s="20" t="n">
        <v>11193.38</v>
      </c>
    </row>
    <row r="175">
      <c r="A175" s="19" t="inlineStr">
        <is>
          <t>Company 67</t>
        </is>
      </c>
      <c r="B175" s="19" t="inlineStr">
        <is>
          <t>Software</t>
        </is>
      </c>
      <c r="C175" s="19" t="inlineStr">
        <is>
          <t>Routing</t>
        </is>
      </c>
      <c r="D175" s="19" t="inlineStr">
        <is>
          <t>UK</t>
        </is>
      </c>
      <c r="E175" s="20" t="n">
        <v>460.85</v>
      </c>
      <c r="F175" s="20" t="n">
        <v>0</v>
      </c>
      <c r="G175" s="20" t="n">
        <v>526.64</v>
      </c>
      <c r="H175" s="20" t="n">
        <v>790.1700000000001</v>
      </c>
      <c r="I175" s="20" t="n">
        <v>790.0000000000001</v>
      </c>
      <c r="J175" s="20" t="n">
        <v>790.0000000000001</v>
      </c>
      <c r="K175" s="20" t="n">
        <v>790.0000000000001</v>
      </c>
      <c r="L175" s="20" t="n">
        <v>790.0000000000001</v>
      </c>
      <c r="M175" s="20" t="n">
        <v>790.0000000000001</v>
      </c>
      <c r="N175" s="20" t="n">
        <v>790.0000000000001</v>
      </c>
      <c r="O175" s="20" t="n">
        <v>791.3900000000001</v>
      </c>
      <c r="P175" s="20" t="n">
        <v>790</v>
      </c>
      <c r="Q175" s="20" t="n">
        <v>785.7400000000001</v>
      </c>
    </row>
    <row r="176">
      <c r="A176" s="19" t="inlineStr">
        <is>
          <t>Company 67</t>
        </is>
      </c>
      <c r="B176" s="19" t="inlineStr">
        <is>
          <t>Software</t>
        </is>
      </c>
      <c r="C176" s="19" t="inlineStr">
        <is>
          <t>PowerTrak</t>
        </is>
      </c>
      <c r="D176" s="19" t="inlineStr">
        <is>
          <t>UK</t>
        </is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12587.53</v>
      </c>
      <c r="K176" s="20" t="n">
        <v>50350.00000000001</v>
      </c>
      <c r="L176" s="20" t="n">
        <v>50350.00000000001</v>
      </c>
      <c r="M176" s="20" t="n">
        <v>50350.00000000001</v>
      </c>
      <c r="N176" s="20" t="n">
        <v>50350.00000000001</v>
      </c>
      <c r="O176" s="20" t="n">
        <v>53139.66</v>
      </c>
      <c r="P176" s="20" t="n">
        <v>66519.32000000001</v>
      </c>
      <c r="Q176" s="20" t="n">
        <v>101177.37</v>
      </c>
    </row>
    <row r="177">
      <c r="A177" s="19" t="inlineStr">
        <is>
          <t>Company 67</t>
        </is>
      </c>
      <c r="B177" s="19" t="inlineStr">
        <is>
          <t>Software</t>
        </is>
      </c>
      <c r="C177" s="19" t="inlineStr">
        <is>
          <t>Routing</t>
        </is>
      </c>
      <c r="D177" s="19" t="inlineStr">
        <is>
          <t>UK</t>
        </is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2850</v>
      </c>
      <c r="K177" s="20" t="n">
        <v>11400</v>
      </c>
      <c r="L177" s="20" t="n">
        <v>11400</v>
      </c>
      <c r="M177" s="20" t="n">
        <v>11400</v>
      </c>
      <c r="N177" s="20" t="n">
        <v>11400</v>
      </c>
      <c r="O177" s="20" t="n">
        <v>13543.05</v>
      </c>
      <c r="P177" s="20" t="n">
        <v>19101.76</v>
      </c>
      <c r="Q177" s="20" t="n">
        <v>20097.64896</v>
      </c>
    </row>
    <row r="178">
      <c r="A178" s="19" t="inlineStr">
        <is>
          <t>Company 67</t>
        </is>
      </c>
      <c r="B178" s="19" t="inlineStr">
        <is>
          <t>Software</t>
        </is>
      </c>
      <c r="C178" s="19" t="inlineStr">
        <is>
          <t>Hosting</t>
        </is>
      </c>
      <c r="D178" s="19" t="inlineStr">
        <is>
          <t>UK</t>
        </is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5462.53</v>
      </c>
      <c r="K178" s="20" t="n">
        <v>21850</v>
      </c>
      <c r="L178" s="20" t="n">
        <v>22150</v>
      </c>
      <c r="M178" s="20" t="n">
        <v>25633.3</v>
      </c>
      <c r="N178" s="20" t="n">
        <v>56000.04000000001</v>
      </c>
      <c r="O178" s="20" t="n">
        <v>56451.52</v>
      </c>
      <c r="P178" s="20" t="n">
        <v>62076.55</v>
      </c>
      <c r="Q178" s="20" t="n">
        <v>44923.93000000001</v>
      </c>
    </row>
    <row r="179">
      <c r="A179" s="19" t="inlineStr">
        <is>
          <t>Company 68</t>
        </is>
      </c>
      <c r="B179" s="19" t="inlineStr">
        <is>
          <t>Software</t>
        </is>
      </c>
      <c r="C179" s="19" t="inlineStr">
        <is>
          <t>Hosting</t>
        </is>
      </c>
      <c r="D179" s="19" t="inlineStr">
        <is>
          <t>Germany</t>
        </is>
      </c>
      <c r="E179" s="20" t="n">
        <v>0</v>
      </c>
      <c r="F179" s="20" t="n">
        <v>8672.290000000001</v>
      </c>
      <c r="G179" s="20" t="n">
        <v>0</v>
      </c>
      <c r="H179" s="20" t="n">
        <v>10169.96</v>
      </c>
      <c r="I179" s="20" t="n">
        <v>10621.55</v>
      </c>
      <c r="J179" s="20" t="n">
        <v>10672.18</v>
      </c>
      <c r="K179" s="20" t="n">
        <v>10224.21</v>
      </c>
      <c r="L179" s="20" t="n">
        <v>10812.95</v>
      </c>
      <c r="M179" s="20" t="n">
        <v>10332.23</v>
      </c>
      <c r="N179" s="20" t="n">
        <v>10446.27</v>
      </c>
      <c r="O179" s="20" t="n">
        <v>12326.7994017094</v>
      </c>
      <c r="P179" s="20" t="n">
        <v>11169.02</v>
      </c>
      <c r="Q179" s="20" t="n">
        <v>11440.92088455772</v>
      </c>
    </row>
    <row r="180">
      <c r="A180" s="19" t="inlineStr">
        <is>
          <t>Company 69</t>
        </is>
      </c>
      <c r="B180" s="19" t="inlineStr">
        <is>
          <t>Operations</t>
        </is>
      </c>
      <c r="C180" s="19" t="inlineStr">
        <is>
          <t>Shipper Gas</t>
        </is>
      </c>
      <c r="D180" s="19" t="inlineStr">
        <is>
          <t>UK</t>
        </is>
      </c>
      <c r="E180" s="20" t="n">
        <v>107992.32</v>
      </c>
      <c r="F180" s="20" t="n">
        <v>121380</v>
      </c>
      <c r="G180" s="20" t="n">
        <v>128017.1</v>
      </c>
      <c r="H180" s="20" t="n">
        <v>130021.8</v>
      </c>
      <c r="I180" s="20" t="n">
        <v>133185</v>
      </c>
      <c r="J180" s="20" t="n">
        <v>145860</v>
      </c>
      <c r="K180" s="20" t="n">
        <v>148020</v>
      </c>
      <c r="L180" s="20" t="n">
        <v>128020</v>
      </c>
      <c r="M180" s="20" t="n">
        <v>124020</v>
      </c>
      <c r="N180" s="20" t="n">
        <v>139020</v>
      </c>
      <c r="O180" s="20" t="n">
        <v>143440</v>
      </c>
      <c r="P180" s="20" t="n">
        <v>146280</v>
      </c>
      <c r="Q180" s="20" t="n">
        <v>150180.8</v>
      </c>
    </row>
    <row r="181">
      <c r="A181" s="19" t="inlineStr">
        <is>
          <t>Company 69</t>
        </is>
      </c>
      <c r="B181" s="19" t="inlineStr">
        <is>
          <t>Power</t>
        </is>
      </c>
      <c r="C181" s="19" t="inlineStr">
        <is>
          <t>Shipper Power</t>
        </is>
      </c>
      <c r="D181" s="19" t="inlineStr">
        <is>
          <t>UK</t>
        </is>
      </c>
      <c r="E181" s="20" t="n">
        <v>159490</v>
      </c>
      <c r="F181" s="20" t="n">
        <v>168590</v>
      </c>
      <c r="G181" s="20" t="n">
        <v>180090</v>
      </c>
      <c r="H181" s="20" t="n">
        <v>185700</v>
      </c>
      <c r="I181" s="20" t="n">
        <v>191880</v>
      </c>
      <c r="J181" s="20" t="n">
        <v>197610</v>
      </c>
      <c r="K181" s="20" t="n">
        <v>200520</v>
      </c>
      <c r="L181" s="20" t="n">
        <v>163420</v>
      </c>
      <c r="M181" s="20" t="n">
        <v>156000</v>
      </c>
      <c r="N181" s="20" t="n">
        <v>156000</v>
      </c>
      <c r="O181" s="20" t="n">
        <v>156000</v>
      </c>
      <c r="P181" s="20" t="n">
        <v>156000</v>
      </c>
      <c r="Q181" s="20" t="n">
        <v>159640</v>
      </c>
    </row>
    <row r="182">
      <c r="A182" s="19" t="inlineStr">
        <is>
          <t>Company 70</t>
        </is>
      </c>
      <c r="B182" s="19" t="inlineStr">
        <is>
          <t>Software</t>
        </is>
      </c>
      <c r="C182" s="19" t="inlineStr">
        <is>
          <t>CodeRunner</t>
        </is>
      </c>
      <c r="D182" s="19" t="inlineStr">
        <is>
          <t>UK</t>
        </is>
      </c>
      <c r="E182" s="20" t="n">
        <v>14250.01</v>
      </c>
      <c r="F182" s="20" t="n">
        <v>19000</v>
      </c>
      <c r="G182" s="20" t="n">
        <v>19000</v>
      </c>
      <c r="H182" s="20" t="n">
        <v>26124.99</v>
      </c>
      <c r="I182" s="20" t="n">
        <v>28500</v>
      </c>
      <c r="J182" s="20" t="n">
        <v>28500</v>
      </c>
      <c r="K182" s="20" t="n">
        <v>28500</v>
      </c>
      <c r="L182" s="20" t="n">
        <v>21375.01</v>
      </c>
      <c r="M182" s="20" t="n">
        <v>19000</v>
      </c>
      <c r="N182" s="20" t="n">
        <v>19000</v>
      </c>
      <c r="O182" s="20" t="n">
        <v>19052.39</v>
      </c>
      <c r="P182" s="20" t="n">
        <v>19000</v>
      </c>
      <c r="Q182" s="20" t="n">
        <v>18913.1</v>
      </c>
    </row>
    <row r="183">
      <c r="A183" s="19" t="inlineStr">
        <is>
          <t>Company 70</t>
        </is>
      </c>
      <c r="B183" s="19" t="inlineStr">
        <is>
          <t>Software</t>
        </is>
      </c>
      <c r="C183" s="19" t="inlineStr">
        <is>
          <t>EuroRunner</t>
        </is>
      </c>
      <c r="D183" s="19" t="inlineStr">
        <is>
          <t>UK</t>
        </is>
      </c>
      <c r="E183" s="20" t="n">
        <v>11000</v>
      </c>
      <c r="F183" s="20" t="n">
        <v>11000</v>
      </c>
      <c r="G183" s="20" t="n">
        <v>12000</v>
      </c>
      <c r="H183" s="20" t="n">
        <v>12000</v>
      </c>
      <c r="I183" s="20" t="n">
        <v>12000</v>
      </c>
      <c r="J183" s="20" t="n">
        <v>26000</v>
      </c>
      <c r="K183" s="20" t="n">
        <v>24250</v>
      </c>
      <c r="L183" s="20" t="n">
        <v>27000</v>
      </c>
      <c r="M183" s="20" t="n">
        <v>27000</v>
      </c>
      <c r="N183" s="20" t="n">
        <v>27000</v>
      </c>
      <c r="O183" s="20" t="n">
        <v>27074.56</v>
      </c>
      <c r="P183" s="20" t="n">
        <v>27000</v>
      </c>
      <c r="Q183" s="20" t="n">
        <v>26876.62</v>
      </c>
    </row>
    <row r="184">
      <c r="A184" s="19" t="inlineStr">
        <is>
          <t>Company 70</t>
        </is>
      </c>
      <c r="B184" s="19" t="inlineStr">
        <is>
          <t>Software</t>
        </is>
      </c>
      <c r="C184" s="19" t="inlineStr">
        <is>
          <t>Hosting</t>
        </is>
      </c>
      <c r="D184" s="19" t="inlineStr">
        <is>
          <t>UK</t>
        </is>
      </c>
      <c r="E184" s="20" t="n">
        <v>12749.99</v>
      </c>
      <c r="F184" s="20" t="n">
        <v>20710</v>
      </c>
      <c r="G184" s="20" t="n">
        <v>36608.84</v>
      </c>
      <c r="H184" s="20" t="n">
        <v>24352.51</v>
      </c>
      <c r="I184" s="20" t="n">
        <v>22882</v>
      </c>
      <c r="J184" s="20" t="n">
        <v>23420.48</v>
      </c>
      <c r="K184" s="20" t="n">
        <v>27350.02</v>
      </c>
      <c r="L184" s="20" t="n">
        <v>28600.00000000001</v>
      </c>
      <c r="M184" s="20" t="n">
        <v>29672.49</v>
      </c>
      <c r="N184" s="20" t="n">
        <v>37529.99</v>
      </c>
      <c r="O184" s="20" t="n">
        <v>35126.24999999999</v>
      </c>
      <c r="P184" s="20" t="n">
        <v>41111.48</v>
      </c>
      <c r="Q184" s="20" t="n">
        <v>41987.37</v>
      </c>
    </row>
    <row r="185">
      <c r="A185" s="19" t="inlineStr">
        <is>
          <t>Company 70</t>
        </is>
      </c>
      <c r="B185" s="19" t="inlineStr">
        <is>
          <t>Operations</t>
        </is>
      </c>
      <c r="C185" s="19" t="inlineStr">
        <is>
          <t>Shipper Gas</t>
        </is>
      </c>
      <c r="D185" s="19" t="inlineStr">
        <is>
          <t>UK</t>
        </is>
      </c>
      <c r="E185" s="20" t="n">
        <v>0</v>
      </c>
      <c r="F185" s="20" t="n">
        <v>0</v>
      </c>
      <c r="G185" s="20" t="n">
        <v>0</v>
      </c>
      <c r="H185" s="20" t="n">
        <v>195800</v>
      </c>
      <c r="I185" s="20" t="n">
        <v>200150</v>
      </c>
      <c r="J185" s="20" t="n">
        <v>125000</v>
      </c>
      <c r="K185" s="20" t="n">
        <v>216500</v>
      </c>
      <c r="L185" s="20" t="n">
        <v>219900</v>
      </c>
      <c r="M185" s="20" t="n">
        <v>215000</v>
      </c>
      <c r="N185" s="20" t="n">
        <v>214850</v>
      </c>
      <c r="O185" s="20" t="n">
        <v>256520</v>
      </c>
      <c r="P185" s="20" t="n">
        <v>398440</v>
      </c>
      <c r="Q185" s="20" t="n">
        <v>401970</v>
      </c>
    </row>
    <row r="186">
      <c r="A186" s="19" t="inlineStr">
        <is>
          <t>Company 70</t>
        </is>
      </c>
      <c r="B186" s="19" t="inlineStr">
        <is>
          <t>Software</t>
        </is>
      </c>
      <c r="C186" s="19" t="inlineStr">
        <is>
          <t>ENOM</t>
        </is>
      </c>
      <c r="D186" s="19" t="inlineStr">
        <is>
          <t>UK</t>
        </is>
      </c>
      <c r="E186" s="20" t="n">
        <v>0</v>
      </c>
      <c r="F186" s="20" t="n">
        <v>0</v>
      </c>
      <c r="G186" s="20" t="n">
        <v>0</v>
      </c>
      <c r="H186" s="20" t="n">
        <v>0</v>
      </c>
      <c r="I186" s="20" t="n">
        <v>0</v>
      </c>
      <c r="J186" s="20" t="n">
        <v>2100</v>
      </c>
      <c r="K186" s="20" t="n">
        <v>8400</v>
      </c>
      <c r="L186" s="20" t="n">
        <v>10500</v>
      </c>
      <c r="M186" s="20" t="n">
        <v>16800</v>
      </c>
      <c r="N186" s="20" t="n">
        <v>16800</v>
      </c>
      <c r="O186" s="20" t="n">
        <v>16946.08</v>
      </c>
      <c r="P186" s="20" t="n">
        <v>17457.76</v>
      </c>
      <c r="Q186" s="20" t="n">
        <v>16921.68</v>
      </c>
    </row>
    <row r="187">
      <c r="A187" s="19" t="inlineStr">
        <is>
          <t>Company 70</t>
        </is>
      </c>
      <c r="B187" s="19" t="inlineStr">
        <is>
          <t>Software</t>
        </is>
      </c>
      <c r="C187" s="19" t="inlineStr">
        <is>
          <t>Routing</t>
        </is>
      </c>
      <c r="D187" s="19" t="inlineStr">
        <is>
          <t>UK</t>
        </is>
      </c>
      <c r="E187" s="20" t="n">
        <v>0</v>
      </c>
      <c r="F187" s="20" t="n">
        <v>0</v>
      </c>
      <c r="G187" s="20" t="n">
        <v>0</v>
      </c>
      <c r="H187" s="20" t="n">
        <v>0</v>
      </c>
      <c r="I187" s="20" t="n">
        <v>0</v>
      </c>
      <c r="J187" s="20" t="n">
        <v>2250</v>
      </c>
      <c r="K187" s="20" t="n">
        <v>9675</v>
      </c>
      <c r="L187" s="20" t="n">
        <v>14400</v>
      </c>
      <c r="M187" s="20" t="n">
        <v>22275</v>
      </c>
      <c r="N187" s="20" t="n">
        <v>20700</v>
      </c>
      <c r="O187" s="20" t="n">
        <v>18137.72</v>
      </c>
      <c r="P187" s="20" t="n">
        <v>21021.08</v>
      </c>
      <c r="Q187" s="20" t="n">
        <v>29115.1</v>
      </c>
    </row>
    <row r="188">
      <c r="A188" s="19" t="inlineStr">
        <is>
          <t>Company 70</t>
        </is>
      </c>
      <c r="B188" s="19" t="inlineStr">
        <is>
          <t>Software</t>
        </is>
      </c>
      <c r="C188" s="19" t="inlineStr">
        <is>
          <t>Hosting</t>
        </is>
      </c>
      <c r="D188" s="19" t="inlineStr">
        <is>
          <t>UK</t>
        </is>
      </c>
      <c r="E188" s="20" t="n">
        <v>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2500</v>
      </c>
      <c r="K188" s="20" t="n">
        <v>6000</v>
      </c>
      <c r="L188" s="20" t="n">
        <v>6000</v>
      </c>
      <c r="M188" s="20" t="n">
        <v>6000</v>
      </c>
      <c r="N188" s="20" t="n">
        <v>6000</v>
      </c>
      <c r="O188" s="20" t="n">
        <v>6340</v>
      </c>
      <c r="P188" s="20" t="n">
        <v>6495</v>
      </c>
      <c r="Q188" s="20" t="n">
        <v>6660</v>
      </c>
    </row>
    <row r="189">
      <c r="A189" s="19" t="inlineStr">
        <is>
          <t>Company 71</t>
        </is>
      </c>
      <c r="B189" s="19" t="inlineStr">
        <is>
          <t>Software</t>
        </is>
      </c>
      <c r="C189" s="19" t="inlineStr">
        <is>
          <t>ENOM</t>
        </is>
      </c>
      <c r="D189" s="19" t="inlineStr">
        <is>
          <t>UK</t>
        </is>
      </c>
      <c r="E189" s="20" t="n">
        <v>0</v>
      </c>
      <c r="F189" s="20" t="n">
        <v>0</v>
      </c>
      <c r="G189" s="20" t="n">
        <v>7973.8</v>
      </c>
      <c r="H189" s="20" t="n">
        <v>10224.76</v>
      </c>
      <c r="I189" s="20" t="n">
        <v>10633</v>
      </c>
      <c r="J189" s="20" t="n">
        <v>10417.2</v>
      </c>
      <c r="K189" s="20" t="n">
        <v>10428.16</v>
      </c>
      <c r="L189" s="20" t="n">
        <v>10367.2</v>
      </c>
      <c r="M189" s="20" t="n">
        <v>9987.9</v>
      </c>
      <c r="N189" s="20" t="n">
        <v>10495.3</v>
      </c>
      <c r="O189" s="20" t="n">
        <v>10387.84051282051</v>
      </c>
      <c r="P189" s="20" t="n">
        <v>10067.16</v>
      </c>
      <c r="Q189" s="20" t="n">
        <v>10183.65916041979</v>
      </c>
    </row>
    <row r="190">
      <c r="A190" s="19" t="inlineStr">
        <is>
          <t>Company 72</t>
        </is>
      </c>
      <c r="B190" s="19" t="inlineStr">
        <is>
          <t>Operations</t>
        </is>
      </c>
      <c r="C190" s="19" t="inlineStr">
        <is>
          <t>Shipper Gas</t>
        </is>
      </c>
      <c r="D190" s="19" t="inlineStr">
        <is>
          <t>Spain</t>
        </is>
      </c>
      <c r="E190" s="20" t="n">
        <v>33734.77</v>
      </c>
      <c r="F190" s="20" t="n">
        <v>30476.08000000001</v>
      </c>
      <c r="G190" s="20" t="n">
        <v>34670.32</v>
      </c>
      <c r="H190" s="20" t="n">
        <v>36920.72</v>
      </c>
      <c r="I190" s="20" t="n">
        <v>37227.18</v>
      </c>
      <c r="J190" s="20" t="n">
        <v>36774.63999999999</v>
      </c>
      <c r="K190" s="20" t="n">
        <v>37368.34</v>
      </c>
      <c r="L190" s="20" t="n">
        <v>35121.14</v>
      </c>
      <c r="M190" s="20" t="n">
        <v>25657.19</v>
      </c>
      <c r="N190" s="20" t="n">
        <v>26058</v>
      </c>
      <c r="O190" s="20" t="n">
        <v>25478.65427350427</v>
      </c>
      <c r="P190" s="20" t="n">
        <v>25702.86</v>
      </c>
      <c r="Q190" s="20" t="n">
        <v>26013.41791604197</v>
      </c>
    </row>
    <row r="191">
      <c r="A191" s="19" t="inlineStr">
        <is>
          <t>Company 72</t>
        </is>
      </c>
      <c r="B191" s="19" t="inlineStr">
        <is>
          <t>Software</t>
        </is>
      </c>
      <c r="C191" s="19" t="inlineStr">
        <is>
          <t>ENOM</t>
        </is>
      </c>
      <c r="D191" s="19" t="inlineStr">
        <is>
          <t>Spain</t>
        </is>
      </c>
      <c r="E191" s="20" t="n">
        <v>9954.450000000001</v>
      </c>
      <c r="F191" s="20" t="n">
        <v>9196.950000000001</v>
      </c>
      <c r="G191" s="20" t="n">
        <v>9215.369999999999</v>
      </c>
      <c r="H191" s="20" t="n">
        <v>9999.689999999999</v>
      </c>
      <c r="I191" s="20" t="n">
        <v>10574.7</v>
      </c>
      <c r="J191" s="20" t="n">
        <v>10359.72</v>
      </c>
      <c r="K191" s="20" t="n">
        <v>10089.24</v>
      </c>
      <c r="L191" s="20" t="n">
        <v>10191.12</v>
      </c>
      <c r="M191" s="20" t="n">
        <v>9996.99</v>
      </c>
      <c r="N191" s="20" t="n">
        <v>10421.97</v>
      </c>
      <c r="O191" s="20" t="n">
        <v>10403.21931623932</v>
      </c>
      <c r="P191" s="20" t="n">
        <v>10113.06</v>
      </c>
      <c r="Q191" s="20" t="n">
        <v>10398.60817091454</v>
      </c>
    </row>
    <row r="192">
      <c r="A192" s="19" t="inlineStr">
        <is>
          <t>Company 72</t>
        </is>
      </c>
      <c r="B192" s="19" t="inlineStr">
        <is>
          <t>Software</t>
        </is>
      </c>
      <c r="C192" s="19" t="inlineStr">
        <is>
          <t>Routing</t>
        </is>
      </c>
      <c r="D192" s="19" t="inlineStr">
        <is>
          <t>Spain</t>
        </is>
      </c>
      <c r="E192" s="20" t="n">
        <v>5226.080000000002</v>
      </c>
      <c r="F192" s="20" t="n">
        <v>4828.41</v>
      </c>
      <c r="G192" s="20" t="n">
        <v>4838.05</v>
      </c>
      <c r="H192" s="20" t="n">
        <v>5249.850000000002</v>
      </c>
      <c r="I192" s="20" t="n">
        <v>5551.709999999999</v>
      </c>
      <c r="J192" s="20" t="n">
        <v>5438.869999999999</v>
      </c>
      <c r="K192" s="20" t="n">
        <v>5296.830000000001</v>
      </c>
      <c r="L192" s="20" t="n">
        <v>3045.67</v>
      </c>
      <c r="M192" s="20" t="n">
        <v>2249.33</v>
      </c>
      <c r="N192" s="20" t="n">
        <v>2344.96</v>
      </c>
      <c r="O192" s="20" t="n">
        <v>2342.274786324786</v>
      </c>
      <c r="P192" s="20" t="n">
        <v>1714.83</v>
      </c>
      <c r="Q192" s="20" t="n">
        <v>1567.341409295352</v>
      </c>
    </row>
    <row r="193">
      <c r="A193" s="19" t="inlineStr">
        <is>
          <t>Company 72</t>
        </is>
      </c>
      <c r="B193" s="19" t="inlineStr">
        <is>
          <t>Software</t>
        </is>
      </c>
      <c r="C193" s="19" t="inlineStr">
        <is>
          <t>Hosting</t>
        </is>
      </c>
      <c r="D193" s="19" t="inlineStr">
        <is>
          <t>Spain</t>
        </is>
      </c>
      <c r="E193" s="20" t="n">
        <v>0</v>
      </c>
      <c r="F193" s="20" t="n">
        <v>0</v>
      </c>
      <c r="G193" s="20" t="n">
        <v>0</v>
      </c>
      <c r="H193" s="20" t="n">
        <v>0</v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0" t="n">
        <v>18946.59</v>
      </c>
      <c r="O193" s="20" t="n">
        <v>19204.09794871795</v>
      </c>
      <c r="P193" s="20" t="n">
        <v>18796.34</v>
      </c>
      <c r="Q193" s="20" t="n">
        <v>19580.01365817092</v>
      </c>
    </row>
    <row r="194">
      <c r="A194" s="19" t="inlineStr">
        <is>
          <t>Company 73</t>
        </is>
      </c>
      <c r="B194" s="19" t="inlineStr">
        <is>
          <t>Operations</t>
        </is>
      </c>
      <c r="C194" s="19" t="inlineStr">
        <is>
          <t>Shipper Gas</t>
        </is>
      </c>
      <c r="D194" s="19" t="inlineStr">
        <is>
          <t>Switzerland</t>
        </is>
      </c>
      <c r="E194" s="20" t="n">
        <v>147979.89</v>
      </c>
      <c r="F194" s="20" t="n">
        <v>137931.54</v>
      </c>
      <c r="G194" s="20" t="n">
        <v>161085.3</v>
      </c>
      <c r="H194" s="20" t="n">
        <v>172143</v>
      </c>
      <c r="I194" s="20" t="n">
        <v>138750.93</v>
      </c>
      <c r="J194" s="20" t="n">
        <v>137064.2</v>
      </c>
      <c r="K194" s="20" t="n">
        <v>139582.55</v>
      </c>
      <c r="L194" s="20" t="n">
        <v>134017.03</v>
      </c>
      <c r="M194" s="20" t="n">
        <v>141282.18</v>
      </c>
      <c r="N194" s="20" t="n">
        <v>159935.92</v>
      </c>
      <c r="O194" s="20" t="n">
        <v>162622.0652991453</v>
      </c>
      <c r="P194" s="20" t="n">
        <v>166605.87</v>
      </c>
      <c r="Q194" s="20" t="n">
        <v>176754.2404857572</v>
      </c>
    </row>
    <row r="195">
      <c r="A195" s="19" t="inlineStr">
        <is>
          <t>Company 73</t>
        </is>
      </c>
      <c r="B195" s="19" t="inlineStr">
        <is>
          <t>Software</t>
        </is>
      </c>
      <c r="C195" s="19" t="inlineStr">
        <is>
          <t>PowerTrak</t>
        </is>
      </c>
      <c r="D195" s="19" t="inlineStr">
        <is>
          <t>Switzerland</t>
        </is>
      </c>
      <c r="E195" s="20" t="n">
        <v>0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0</v>
      </c>
      <c r="K195" s="20" t="n">
        <v>0</v>
      </c>
      <c r="L195" s="20" t="n">
        <v>0</v>
      </c>
      <c r="M195" s="20" t="n">
        <v>8166.67</v>
      </c>
      <c r="N195" s="20" t="n">
        <v>40499.99999999999</v>
      </c>
      <c r="O195" s="20" t="n">
        <v>46933.12</v>
      </c>
      <c r="P195" s="20" t="n">
        <v>48441.39</v>
      </c>
      <c r="Q195" s="20" t="n">
        <v>52463.85432</v>
      </c>
    </row>
    <row r="196">
      <c r="A196" s="19" t="inlineStr">
        <is>
          <t>Company 73</t>
        </is>
      </c>
      <c r="B196" s="19" t="inlineStr">
        <is>
          <t>Software</t>
        </is>
      </c>
      <c r="C196" s="19" t="inlineStr">
        <is>
          <t>Routing</t>
        </is>
      </c>
      <c r="D196" s="19" t="inlineStr">
        <is>
          <t>Switzerland</t>
        </is>
      </c>
      <c r="E196" s="20" t="n">
        <v>0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0</v>
      </c>
      <c r="K196" s="20" t="n">
        <v>0</v>
      </c>
      <c r="L196" s="20" t="n">
        <v>0</v>
      </c>
      <c r="M196" s="20" t="n">
        <v>350</v>
      </c>
      <c r="N196" s="20" t="n">
        <v>4850</v>
      </c>
      <c r="O196" s="20" t="n">
        <v>5822.35</v>
      </c>
      <c r="P196" s="20" t="n">
        <v>6171.08</v>
      </c>
      <c r="Q196" s="20" t="n">
        <v>6254.27</v>
      </c>
    </row>
    <row r="197">
      <c r="A197" s="19" t="inlineStr">
        <is>
          <t>Company 73</t>
        </is>
      </c>
      <c r="B197" s="19" t="inlineStr">
        <is>
          <t>Software</t>
        </is>
      </c>
      <c r="C197" s="19" t="inlineStr">
        <is>
          <t>Hosting</t>
        </is>
      </c>
      <c r="D197" s="19" t="inlineStr">
        <is>
          <t>Switzerland</t>
        </is>
      </c>
      <c r="E197" s="20" t="n">
        <v>0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0</v>
      </c>
      <c r="K197" s="20" t="n">
        <v>0</v>
      </c>
      <c r="L197" s="20" t="n">
        <v>0</v>
      </c>
      <c r="M197" s="20" t="n">
        <v>6052.08</v>
      </c>
      <c r="N197" s="20" t="n">
        <v>37625.03</v>
      </c>
      <c r="O197" s="20" t="n">
        <v>39160.31</v>
      </c>
      <c r="P197" s="20" t="n">
        <v>38567.08</v>
      </c>
      <c r="Q197" s="20" t="n">
        <v>41399.21</v>
      </c>
    </row>
    <row r="198">
      <c r="A198" s="19" t="inlineStr">
        <is>
          <t>Company 74</t>
        </is>
      </c>
      <c r="B198" s="19" t="inlineStr">
        <is>
          <t>Operations</t>
        </is>
      </c>
      <c r="C198" s="19" t="inlineStr">
        <is>
          <t>Market Gas</t>
        </is>
      </c>
      <c r="D198" s="19" t="inlineStr">
        <is>
          <t>France</t>
        </is>
      </c>
      <c r="E198" s="20" t="n">
        <v>0</v>
      </c>
      <c r="F198" s="20" t="n">
        <v>0</v>
      </c>
      <c r="G198" s="20" t="n">
        <v>116250</v>
      </c>
      <c r="H198" s="20" t="n">
        <v>106925</v>
      </c>
      <c r="I198" s="20" t="n">
        <v>110015</v>
      </c>
      <c r="J198" s="20" t="n">
        <v>113305</v>
      </c>
      <c r="K198" s="20" t="n">
        <v>116583</v>
      </c>
      <c r="L198" s="20" t="n">
        <v>121762</v>
      </c>
      <c r="M198" s="20" t="n">
        <v>132544</v>
      </c>
      <c r="N198" s="20" t="n">
        <v>180000</v>
      </c>
      <c r="O198" s="20" t="n">
        <v>191741</v>
      </c>
      <c r="P198" s="20" t="n">
        <v>199889</v>
      </c>
      <c r="Q198" s="20" t="n">
        <v>206437.84</v>
      </c>
    </row>
    <row r="199">
      <c r="A199" s="19" t="inlineStr">
        <is>
          <t>Company 75</t>
        </is>
      </c>
      <c r="B199" s="19" t="inlineStr">
        <is>
          <t>Operations</t>
        </is>
      </c>
      <c r="C199" s="19" t="inlineStr">
        <is>
          <t>Demand Text</t>
        </is>
      </c>
      <c r="D199" s="19" t="inlineStr">
        <is>
          <t>Switzerland</t>
        </is>
      </c>
      <c r="E199" s="20" t="n">
        <v>2600</v>
      </c>
      <c r="F199" s="20" t="n">
        <v>2400</v>
      </c>
      <c r="G199" s="20" t="n">
        <v>2400</v>
      </c>
      <c r="H199" s="20" t="n">
        <v>2400</v>
      </c>
      <c r="I199" s="20" t="n">
        <v>2400</v>
      </c>
      <c r="J199" s="20" t="n">
        <v>2600</v>
      </c>
      <c r="K199" s="20" t="n">
        <v>4800</v>
      </c>
      <c r="L199" s="20" t="n">
        <v>4800</v>
      </c>
      <c r="M199" s="20" t="n">
        <v>4800</v>
      </c>
      <c r="N199" s="20" t="n">
        <v>4800</v>
      </c>
      <c r="O199" s="20" t="n">
        <v>4808.89</v>
      </c>
      <c r="P199" s="20" t="n">
        <v>4800</v>
      </c>
      <c r="Q199" s="20" t="n">
        <v>4868.21</v>
      </c>
    </row>
    <row r="200">
      <c r="A200" s="19" t="inlineStr">
        <is>
          <t>Company 75</t>
        </is>
      </c>
      <c r="B200" s="19" t="inlineStr">
        <is>
          <t>Operations</t>
        </is>
      </c>
      <c r="C200" s="19" t="inlineStr">
        <is>
          <t>Shipper Gas</t>
        </is>
      </c>
      <c r="D200" s="19" t="inlineStr">
        <is>
          <t>Switzerland</t>
        </is>
      </c>
      <c r="E200" s="20" t="n">
        <v>245000</v>
      </c>
      <c r="F200" s="20" t="n">
        <v>211850</v>
      </c>
      <c r="G200" s="20" t="n">
        <v>208800</v>
      </c>
      <c r="H200" s="20" t="n">
        <v>208800</v>
      </c>
      <c r="I200" s="20" t="n">
        <v>208800</v>
      </c>
      <c r="J200" s="20" t="n">
        <v>199230</v>
      </c>
      <c r="K200" s="20" t="n">
        <v>198360</v>
      </c>
      <c r="L200" s="20" t="n">
        <v>159500.25</v>
      </c>
      <c r="M200" s="20" t="n">
        <v>178210</v>
      </c>
      <c r="N200" s="20" t="n">
        <v>198360</v>
      </c>
      <c r="O200" s="20" t="n">
        <v>209160</v>
      </c>
      <c r="P200" s="20" t="n">
        <v>209160</v>
      </c>
      <c r="Q200" s="20" t="n">
        <v>216960</v>
      </c>
    </row>
    <row r="201">
      <c r="A201" s="19" t="inlineStr">
        <is>
          <t>Company 75</t>
        </is>
      </c>
      <c r="B201" s="19" t="inlineStr">
        <is>
          <t>Power</t>
        </is>
      </c>
      <c r="C201" s="19" t="inlineStr">
        <is>
          <t>Shipper Power</t>
        </is>
      </c>
      <c r="D201" s="19" t="inlineStr">
        <is>
          <t>Switzerland</t>
        </is>
      </c>
      <c r="E201" s="20" t="n">
        <v>63000</v>
      </c>
      <c r="F201" s="20" t="n">
        <v>63000</v>
      </c>
      <c r="G201" s="20" t="n">
        <v>63000</v>
      </c>
      <c r="H201" s="20" t="n">
        <v>63000</v>
      </c>
      <c r="I201" s="20" t="n">
        <v>66200</v>
      </c>
      <c r="J201" s="20" t="n">
        <v>72120</v>
      </c>
      <c r="K201" s="20" t="n">
        <v>72120</v>
      </c>
      <c r="L201" s="20" t="n">
        <v>157260</v>
      </c>
      <c r="M201" s="20" t="n">
        <v>165000</v>
      </c>
      <c r="N201" s="20" t="n">
        <v>165000</v>
      </c>
      <c r="O201" s="20" t="n">
        <v>158400</v>
      </c>
      <c r="P201" s="20" t="n">
        <v>165000</v>
      </c>
      <c r="Q201" s="20" t="n">
        <v>168850</v>
      </c>
    </row>
    <row r="202">
      <c r="A202" s="19" t="inlineStr">
        <is>
          <t>Company 75</t>
        </is>
      </c>
      <c r="B202" s="19" t="inlineStr">
        <is>
          <t>Software</t>
        </is>
      </c>
      <c r="C202" s="19" t="inlineStr">
        <is>
          <t>PowerTrak</t>
        </is>
      </c>
      <c r="D202" s="19" t="inlineStr">
        <is>
          <t>Switzerland</t>
        </is>
      </c>
      <c r="E202" s="20" t="n">
        <v>0</v>
      </c>
      <c r="F202" s="20" t="n">
        <v>0</v>
      </c>
      <c r="G202" s="20" t="n">
        <v>21250</v>
      </c>
      <c r="H202" s="20" t="n">
        <v>21250</v>
      </c>
      <c r="I202" s="20" t="n">
        <v>21250</v>
      </c>
      <c r="J202" s="20" t="n">
        <v>21250</v>
      </c>
      <c r="K202" s="20" t="n">
        <v>21250</v>
      </c>
      <c r="L202" s="20" t="n">
        <v>58933.33</v>
      </c>
      <c r="M202" s="20" t="n">
        <v>69841.66</v>
      </c>
      <c r="N202" s="20" t="n">
        <v>71824.99999999999</v>
      </c>
      <c r="O202" s="20" t="n">
        <v>75935.84000000001</v>
      </c>
      <c r="P202" s="20" t="n">
        <v>81208.99999999999</v>
      </c>
      <c r="Q202" s="20" t="n">
        <v>81538.78200000001</v>
      </c>
    </row>
    <row r="203">
      <c r="A203" s="19" t="inlineStr">
        <is>
          <t>Company 75</t>
        </is>
      </c>
      <c r="B203" s="19" t="inlineStr">
        <is>
          <t>Software</t>
        </is>
      </c>
      <c r="C203" s="19" t="inlineStr">
        <is>
          <t>ENOM+</t>
        </is>
      </c>
      <c r="D203" s="19" t="inlineStr">
        <is>
          <t>Switzerland</t>
        </is>
      </c>
      <c r="E203" s="20" t="n">
        <v>0</v>
      </c>
      <c r="F203" s="20" t="n">
        <v>0</v>
      </c>
      <c r="G203" s="20" t="n">
        <v>0</v>
      </c>
      <c r="H203" s="20" t="n">
        <v>0</v>
      </c>
      <c r="I203" s="20" t="n">
        <v>0</v>
      </c>
      <c r="J203" s="20" t="n">
        <v>0</v>
      </c>
      <c r="K203" s="20" t="n">
        <v>0</v>
      </c>
      <c r="L203" s="20" t="n">
        <v>0</v>
      </c>
      <c r="M203" s="20" t="n">
        <v>0</v>
      </c>
      <c r="N203" s="20" t="n">
        <v>0</v>
      </c>
      <c r="O203" s="20" t="n">
        <v>0</v>
      </c>
      <c r="P203" s="20" t="n">
        <v>13269.82</v>
      </c>
      <c r="Q203" s="20" t="n">
        <v>14642.62</v>
      </c>
    </row>
    <row r="204">
      <c r="A204" s="19" t="inlineStr">
        <is>
          <t>Company 75</t>
        </is>
      </c>
      <c r="B204" s="19" t="inlineStr">
        <is>
          <t>Software</t>
        </is>
      </c>
      <c r="C204" s="19" t="inlineStr">
        <is>
          <t>Routing</t>
        </is>
      </c>
      <c r="D204" s="19" t="inlineStr">
        <is>
          <t>Switzerland</t>
        </is>
      </c>
      <c r="E204" s="20" t="n">
        <v>0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0</v>
      </c>
      <c r="K204" s="20" t="n">
        <v>0</v>
      </c>
      <c r="L204" s="20" t="n">
        <v>0</v>
      </c>
      <c r="M204" s="20" t="n">
        <v>0</v>
      </c>
      <c r="N204" s="20" t="n">
        <v>0</v>
      </c>
      <c r="O204" s="20" t="n">
        <v>0</v>
      </c>
      <c r="P204" s="20" t="n">
        <v>39532.24000000001</v>
      </c>
      <c r="Q204" s="20" t="n">
        <v>43661.84</v>
      </c>
    </row>
    <row r="205">
      <c r="A205" s="19" t="inlineStr">
        <is>
          <t>Company 75</t>
        </is>
      </c>
      <c r="B205" s="19" t="inlineStr">
        <is>
          <t>Software</t>
        </is>
      </c>
      <c r="C205" s="19" t="inlineStr">
        <is>
          <t>Routing</t>
        </is>
      </c>
      <c r="D205" s="19" t="inlineStr">
        <is>
          <t>Switzerland</t>
        </is>
      </c>
      <c r="E205" s="20" t="n">
        <v>0</v>
      </c>
      <c r="F205" s="20" t="n">
        <v>0</v>
      </c>
      <c r="G205" s="20" t="n">
        <v>526.64</v>
      </c>
      <c r="H205" s="20" t="n">
        <v>790.0000000000001</v>
      </c>
      <c r="I205" s="20" t="n">
        <v>790.0000000000001</v>
      </c>
      <c r="J205" s="20" t="n">
        <v>790.0000000000001</v>
      </c>
      <c r="K205" s="20" t="n">
        <v>790.0000000000001</v>
      </c>
      <c r="L205" s="20" t="n">
        <v>15456.67</v>
      </c>
      <c r="M205" s="20" t="n">
        <v>18666.66</v>
      </c>
      <c r="N205" s="20" t="n">
        <v>19200</v>
      </c>
      <c r="O205" s="20" t="n">
        <v>19460</v>
      </c>
      <c r="P205" s="20" t="n">
        <v>20760</v>
      </c>
      <c r="Q205" s="20" t="n">
        <v>20491.62</v>
      </c>
    </row>
    <row r="206">
      <c r="A206" s="19" t="inlineStr">
        <is>
          <t>Company 76</t>
        </is>
      </c>
      <c r="B206" s="19" t="inlineStr">
        <is>
          <t>Operations</t>
        </is>
      </c>
      <c r="C206" s="19" t="inlineStr">
        <is>
          <t>Market Gas</t>
        </is>
      </c>
      <c r="D206" s="19" t="inlineStr">
        <is>
          <t>Germany</t>
        </is>
      </c>
      <c r="E206" s="20" t="n">
        <v>113873</v>
      </c>
      <c r="F206" s="20" t="n">
        <v>148592</v>
      </c>
      <c r="G206" s="20" t="n">
        <v>148880</v>
      </c>
      <c r="H206" s="20" t="n">
        <v>152254</v>
      </c>
      <c r="I206" s="20" t="n">
        <v>157838</v>
      </c>
      <c r="J206" s="20" t="n">
        <v>163266</v>
      </c>
      <c r="K206" s="20" t="n">
        <v>168072</v>
      </c>
      <c r="L206" s="20" t="n">
        <v>172134</v>
      </c>
      <c r="M206" s="20" t="n">
        <v>185490</v>
      </c>
      <c r="N206" s="20" t="n">
        <v>217724</v>
      </c>
      <c r="O206" s="20" t="n">
        <v>232157.726</v>
      </c>
      <c r="P206" s="20" t="n">
        <v>243736</v>
      </c>
      <c r="Q206" s="20" t="n">
        <v>255467.84</v>
      </c>
    </row>
    <row r="207">
      <c r="A207" s="19" t="inlineStr">
        <is>
          <t>Company 77</t>
        </is>
      </c>
      <c r="B207" s="19" t="inlineStr">
        <is>
          <t>Operations</t>
        </is>
      </c>
      <c r="C207" s="19" t="inlineStr">
        <is>
          <t>Shipper Gas</t>
        </is>
      </c>
      <c r="D207" s="19" t="inlineStr">
        <is>
          <t>UK</t>
        </is>
      </c>
      <c r="E207" s="20" t="n">
        <v>146120</v>
      </c>
      <c r="F207" s="20" t="n">
        <v>144059.2</v>
      </c>
      <c r="G207" s="20" t="n">
        <v>146870</v>
      </c>
      <c r="H207" s="20" t="n">
        <v>132195</v>
      </c>
      <c r="I207" s="20" t="n">
        <v>114450</v>
      </c>
      <c r="J207" s="20" t="n">
        <v>103705</v>
      </c>
      <c r="K207" s="20" t="n">
        <v>92000</v>
      </c>
      <c r="L207" s="20" t="n">
        <v>81000</v>
      </c>
      <c r="M207" s="20" t="n">
        <v>82800</v>
      </c>
      <c r="N207" s="20" t="n">
        <v>66150</v>
      </c>
      <c r="O207" s="20" t="n">
        <v>81927</v>
      </c>
      <c r="P207" s="20" t="n">
        <v>77090</v>
      </c>
      <c r="Q207" s="20" t="n">
        <v>86864.00000000001</v>
      </c>
    </row>
    <row r="208">
      <c r="A208" s="19" t="inlineStr">
        <is>
          <t>Company 77</t>
        </is>
      </c>
      <c r="B208" s="19" t="inlineStr">
        <is>
          <t>Software</t>
        </is>
      </c>
      <c r="C208" s="19" t="inlineStr">
        <is>
          <t>ENOM+</t>
        </is>
      </c>
      <c r="D208" s="19" t="inlineStr">
        <is>
          <t>UK</t>
        </is>
      </c>
      <c r="E208" s="20" t="n">
        <v>15200</v>
      </c>
      <c r="F208" s="20" t="n">
        <v>15200</v>
      </c>
      <c r="G208" s="20" t="n">
        <v>15200</v>
      </c>
      <c r="H208" s="20" t="n">
        <v>15200</v>
      </c>
      <c r="I208" s="20" t="n">
        <v>15200</v>
      </c>
      <c r="J208" s="20" t="n">
        <v>15200</v>
      </c>
      <c r="K208" s="20" t="n">
        <v>15200</v>
      </c>
      <c r="L208" s="20" t="n">
        <v>15200</v>
      </c>
      <c r="M208" s="20" t="n">
        <v>15200</v>
      </c>
      <c r="N208" s="20" t="n">
        <v>15200</v>
      </c>
      <c r="O208" s="20" t="n">
        <v>11451</v>
      </c>
      <c r="P208" s="20" t="n">
        <v>15200</v>
      </c>
      <c r="Q208" s="20" t="n">
        <v>15366.76</v>
      </c>
    </row>
    <row r="209">
      <c r="A209" s="19" t="inlineStr">
        <is>
          <t>Company 77</t>
        </is>
      </c>
      <c r="B209" s="19" t="inlineStr">
        <is>
          <t>Software</t>
        </is>
      </c>
      <c r="C209" s="19" t="inlineStr">
        <is>
          <t>Routing</t>
        </is>
      </c>
      <c r="D209" s="19" t="inlineStr">
        <is>
          <t>UK</t>
        </is>
      </c>
      <c r="E209" s="20" t="n">
        <v>2800</v>
      </c>
      <c r="F209" s="20" t="n">
        <v>2800</v>
      </c>
      <c r="G209" s="20" t="n">
        <v>2800</v>
      </c>
      <c r="H209" s="20" t="n">
        <v>3324.98</v>
      </c>
      <c r="I209" s="20" t="n">
        <v>3500</v>
      </c>
      <c r="J209" s="20" t="n">
        <v>2975.02</v>
      </c>
      <c r="K209" s="20" t="n">
        <v>4899.98</v>
      </c>
      <c r="L209" s="20" t="n">
        <v>4025</v>
      </c>
      <c r="M209" s="20" t="n">
        <v>1400.02</v>
      </c>
      <c r="N209" s="20" t="n">
        <v>700.0000000000001</v>
      </c>
      <c r="O209" s="20" t="n">
        <v>527.3399999999999</v>
      </c>
      <c r="P209" s="20" t="n">
        <v>700</v>
      </c>
      <c r="Q209" s="20" t="n">
        <v>713.28</v>
      </c>
    </row>
    <row r="210">
      <c r="A210" s="19" t="inlineStr">
        <is>
          <t>Company 78</t>
        </is>
      </c>
      <c r="B210" s="19" t="inlineStr">
        <is>
          <t>Operations</t>
        </is>
      </c>
      <c r="C210" s="19" t="inlineStr">
        <is>
          <t>Shipper Gas</t>
        </is>
      </c>
      <c r="D210" s="19" t="inlineStr">
        <is>
          <t>UK</t>
        </is>
      </c>
      <c r="E210" s="20" t="n">
        <v>103965</v>
      </c>
      <c r="F210" s="20" t="n">
        <v>110550</v>
      </c>
      <c r="G210" s="20" t="n">
        <v>103800</v>
      </c>
      <c r="H210" s="20" t="n">
        <v>95150</v>
      </c>
      <c r="I210" s="20" t="n">
        <v>103800</v>
      </c>
      <c r="J210" s="20" t="n">
        <v>103800</v>
      </c>
      <c r="K210" s="20" t="n">
        <v>103800</v>
      </c>
      <c r="L210" s="20" t="n">
        <v>94635.70999999999</v>
      </c>
      <c r="M210" s="20" t="n">
        <v>103800</v>
      </c>
      <c r="N210" s="20" t="n">
        <v>107240</v>
      </c>
      <c r="O210" s="20" t="n">
        <v>105835.8</v>
      </c>
      <c r="P210" s="20" t="n">
        <v>119120</v>
      </c>
      <c r="Q210" s="20" t="n">
        <v>127512</v>
      </c>
    </row>
    <row r="211">
      <c r="A211" s="19" t="inlineStr">
        <is>
          <t>Company 79</t>
        </is>
      </c>
      <c r="B211" s="19" t="inlineStr">
        <is>
          <t>Operations</t>
        </is>
      </c>
      <c r="C211" s="19" t="inlineStr">
        <is>
          <t>Shipper Gas</t>
        </is>
      </c>
      <c r="D211" s="19" t="inlineStr">
        <is>
          <t>Switzerland</t>
        </is>
      </c>
      <c r="E211" s="20" t="n">
        <v>0</v>
      </c>
      <c r="F211" s="20" t="n">
        <v>0</v>
      </c>
      <c r="G211" s="20" t="n">
        <v>5000</v>
      </c>
      <c r="H211" s="20" t="n">
        <v>25920</v>
      </c>
      <c r="I211" s="20" t="n">
        <v>27360</v>
      </c>
      <c r="J211" s="20" t="n">
        <v>34560</v>
      </c>
      <c r="K211" s="20" t="n">
        <v>34560</v>
      </c>
      <c r="L211" s="20" t="n">
        <v>34560</v>
      </c>
      <c r="M211" s="20" t="n">
        <v>34560</v>
      </c>
      <c r="N211" s="20" t="n">
        <v>47160</v>
      </c>
      <c r="O211" s="20" t="n">
        <v>34560</v>
      </c>
      <c r="P211" s="20" t="n">
        <v>40070</v>
      </c>
      <c r="Q211" s="20" t="n">
        <v>42982.8</v>
      </c>
    </row>
    <row r="212">
      <c r="A212" s="19" t="inlineStr">
        <is>
          <t>Company 80</t>
        </is>
      </c>
      <c r="B212" s="19" t="inlineStr">
        <is>
          <t>Operations</t>
        </is>
      </c>
      <c r="C212" s="19" t="inlineStr">
        <is>
          <t>Shipper Gas</t>
        </is>
      </c>
      <c r="D212" s="19" t="inlineStr">
        <is>
          <t>Switzerland</t>
        </is>
      </c>
      <c r="E212" s="20" t="n">
        <v>105804</v>
      </c>
      <c r="F212" s="20" t="n">
        <v>101604</v>
      </c>
      <c r="G212" s="20" t="n">
        <v>120604</v>
      </c>
      <c r="H212" s="20" t="n">
        <v>116904</v>
      </c>
      <c r="I212" s="20" t="n">
        <v>106404</v>
      </c>
      <c r="J212" s="20" t="n">
        <v>113604</v>
      </c>
      <c r="K212" s="20" t="n">
        <v>120804</v>
      </c>
      <c r="L212" s="20" t="n">
        <v>120804</v>
      </c>
      <c r="M212" s="20" t="n">
        <v>122604</v>
      </c>
      <c r="N212" s="20" t="n">
        <v>131337</v>
      </c>
      <c r="O212" s="20" t="n">
        <v>144480</v>
      </c>
      <c r="P212" s="20" t="n">
        <v>149760</v>
      </c>
      <c r="Q212" s="20" t="n">
        <v>150259.2</v>
      </c>
    </row>
    <row r="213">
      <c r="A213" s="19" t="inlineStr">
        <is>
          <t>Company 80</t>
        </is>
      </c>
      <c r="B213" s="19" t="inlineStr">
        <is>
          <t>Software</t>
        </is>
      </c>
      <c r="C213" s="19" t="inlineStr">
        <is>
          <t>ENOM+</t>
        </is>
      </c>
      <c r="D213" s="19" t="inlineStr">
        <is>
          <t>Switzerland</t>
        </is>
      </c>
      <c r="E213" s="20" t="n">
        <v>17439.96</v>
      </c>
      <c r="F213" s="20" t="n">
        <v>15784.14</v>
      </c>
      <c r="G213" s="20" t="n">
        <v>16028.73</v>
      </c>
      <c r="H213" s="20" t="n">
        <v>17535.66</v>
      </c>
      <c r="I213" s="20" t="n">
        <v>18254.01</v>
      </c>
      <c r="J213" s="20" t="n">
        <v>18041.55</v>
      </c>
      <c r="K213" s="20" t="n">
        <v>18312.96</v>
      </c>
      <c r="L213" s="20" t="n">
        <v>18053.37</v>
      </c>
      <c r="M213" s="20" t="n">
        <v>17628.3</v>
      </c>
      <c r="N213" s="20" t="n">
        <v>18309.75</v>
      </c>
      <c r="O213" s="20" t="n">
        <v>18309.6164957265</v>
      </c>
      <c r="P213" s="20" t="n">
        <v>12705.23</v>
      </c>
      <c r="Q213" s="20" t="n">
        <v>11140.53620689655</v>
      </c>
    </row>
    <row r="214">
      <c r="A214" s="19" t="inlineStr">
        <is>
          <t>Company 80</t>
        </is>
      </c>
      <c r="B214" s="19" t="inlineStr">
        <is>
          <t>Software</t>
        </is>
      </c>
      <c r="C214" s="19" t="inlineStr">
        <is>
          <t>Routing</t>
        </is>
      </c>
      <c r="D214" s="19" t="inlineStr">
        <is>
          <t>Switzerland</t>
        </is>
      </c>
      <c r="E214" s="20" t="n">
        <v>12706.29</v>
      </c>
      <c r="F214" s="20" t="n">
        <v>11991.66</v>
      </c>
      <c r="G214" s="20" t="n">
        <v>13411.02</v>
      </c>
      <c r="H214" s="20" t="n">
        <v>16184.97</v>
      </c>
      <c r="I214" s="20" t="n">
        <v>15434.9</v>
      </c>
      <c r="J214" s="20" t="n">
        <v>11229.46</v>
      </c>
      <c r="K214" s="20" t="n">
        <v>11388.24</v>
      </c>
      <c r="L214" s="20" t="n">
        <v>11605.74</v>
      </c>
      <c r="M214" s="20" t="n">
        <v>15840.02</v>
      </c>
      <c r="N214" s="20" t="n">
        <v>19838.83</v>
      </c>
      <c r="O214" s="20" t="n">
        <v>22041.39393162393</v>
      </c>
      <c r="P214" s="20" t="n">
        <v>23493.42</v>
      </c>
      <c r="Q214" s="20" t="n">
        <v>24953.50607196402</v>
      </c>
    </row>
    <row r="215">
      <c r="A215" s="19" t="inlineStr">
        <is>
          <t>Company 80</t>
        </is>
      </c>
      <c r="B215" s="19" t="inlineStr">
        <is>
          <t>Software</t>
        </is>
      </c>
      <c r="C215" s="19" t="inlineStr">
        <is>
          <t>PowerTrak</t>
        </is>
      </c>
      <c r="D215" s="19" t="inlineStr">
        <is>
          <t>Switzerland</t>
        </is>
      </c>
      <c r="E215" s="20" t="n">
        <v>0</v>
      </c>
      <c r="F215" s="20" t="n">
        <v>0</v>
      </c>
      <c r="G215" s="20" t="n">
        <v>29477.6</v>
      </c>
      <c r="H215" s="20" t="n">
        <v>44305.4</v>
      </c>
      <c r="I215" s="20" t="n">
        <v>56958.35000000001</v>
      </c>
      <c r="J215" s="20" t="n">
        <v>46041.65</v>
      </c>
      <c r="K215" s="20" t="n">
        <v>49583.31</v>
      </c>
      <c r="L215" s="20" t="n">
        <v>52500.01</v>
      </c>
      <c r="M215" s="20" t="n">
        <v>53333.35000000001</v>
      </c>
      <c r="N215" s="20" t="n">
        <v>56604.15</v>
      </c>
      <c r="O215" s="20" t="n">
        <v>59760.37</v>
      </c>
      <c r="P215" s="20" t="n">
        <v>61115.01999999999</v>
      </c>
      <c r="Q215" s="20" t="n">
        <v>64010.44000000002</v>
      </c>
    </row>
    <row r="216">
      <c r="A216" s="19" t="inlineStr">
        <is>
          <t>Company 80</t>
        </is>
      </c>
      <c r="B216" s="19" t="inlineStr">
        <is>
          <t>Software</t>
        </is>
      </c>
      <c r="C216" s="19" t="inlineStr">
        <is>
          <t>EuroRunner</t>
        </is>
      </c>
      <c r="D216" s="19" t="inlineStr">
        <is>
          <t>Switzerland</t>
        </is>
      </c>
      <c r="E216" s="20" t="n">
        <v>0</v>
      </c>
      <c r="F216" s="20" t="n">
        <v>0</v>
      </c>
      <c r="G216" s="20" t="n">
        <v>0</v>
      </c>
      <c r="H216" s="20" t="n">
        <v>0</v>
      </c>
      <c r="I216" s="20" t="n">
        <v>0</v>
      </c>
      <c r="J216" s="20" t="n">
        <v>0</v>
      </c>
      <c r="K216" s="20" t="n">
        <v>0</v>
      </c>
      <c r="L216" s="20" t="n">
        <v>0</v>
      </c>
      <c r="M216" s="20" t="n">
        <v>0</v>
      </c>
      <c r="N216" s="20" t="n">
        <v>0</v>
      </c>
      <c r="O216" s="20" t="n">
        <v>52815.6</v>
      </c>
      <c r="P216" s="20" t="n">
        <v>64321.92</v>
      </c>
      <c r="Q216" s="20" t="n">
        <v>66823.28</v>
      </c>
    </row>
    <row r="217">
      <c r="A217" s="19" t="inlineStr">
        <is>
          <t>Company 80</t>
        </is>
      </c>
      <c r="B217" s="19" t="inlineStr">
        <is>
          <t>Software</t>
        </is>
      </c>
      <c r="C217" s="19" t="inlineStr">
        <is>
          <t>Routing</t>
        </is>
      </c>
      <c r="D217" s="19" t="inlineStr">
        <is>
          <t>Switzerland</t>
        </is>
      </c>
      <c r="E217" s="20" t="n">
        <v>0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0" t="n">
        <v>0</v>
      </c>
      <c r="O217" s="20" t="n">
        <v>2361.54</v>
      </c>
      <c r="P217" s="20" t="n">
        <v>4537.820000000001</v>
      </c>
      <c r="Q217" s="20" t="n">
        <v>6409.099999999999</v>
      </c>
    </row>
    <row r="218">
      <c r="A218" s="19" t="inlineStr">
        <is>
          <t>Company 81</t>
        </is>
      </c>
      <c r="B218" s="19" t="inlineStr">
        <is>
          <t>Software</t>
        </is>
      </c>
      <c r="C218" s="19" t="inlineStr">
        <is>
          <t>ENOM</t>
        </is>
      </c>
      <c r="D218" s="19" t="inlineStr">
        <is>
          <t>Netherlands</t>
        </is>
      </c>
      <c r="E218" s="20" t="n">
        <v>15020.37</v>
      </c>
      <c r="F218" s="20" t="n">
        <v>15034.58</v>
      </c>
      <c r="G218" s="20" t="n">
        <v>15172.73</v>
      </c>
      <c r="H218" s="20" t="n">
        <v>16966.92</v>
      </c>
      <c r="I218" s="20" t="n">
        <v>17538.89</v>
      </c>
      <c r="J218" s="20" t="n">
        <v>17433.13</v>
      </c>
      <c r="K218" s="20" t="n">
        <v>16809.23</v>
      </c>
      <c r="L218" s="20" t="n">
        <v>17344.57</v>
      </c>
      <c r="M218" s="20" t="n">
        <v>16851.23000000001</v>
      </c>
      <c r="N218" s="20" t="n">
        <v>17350.02</v>
      </c>
      <c r="O218" s="20" t="n">
        <v>17925.19</v>
      </c>
      <c r="P218" s="20" t="n">
        <v>17480.51</v>
      </c>
      <c r="Q218" s="20" t="n">
        <v>17761.28052473763</v>
      </c>
    </row>
    <row r="219">
      <c r="A219" s="19" t="inlineStr">
        <is>
          <t>Company 82</t>
        </is>
      </c>
      <c r="B219" s="19" t="inlineStr">
        <is>
          <t>Operations</t>
        </is>
      </c>
      <c r="C219" s="19" t="inlineStr">
        <is>
          <t>Shipper Gas</t>
        </is>
      </c>
      <c r="D219" s="19" t="inlineStr">
        <is>
          <t>Switzerland</t>
        </is>
      </c>
      <c r="E219" s="20" t="n">
        <v>146321.52</v>
      </c>
      <c r="F219" s="20" t="n">
        <v>140671.03</v>
      </c>
      <c r="G219" s="20" t="n">
        <v>119210.25</v>
      </c>
      <c r="H219" s="20" t="n">
        <v>143539.16</v>
      </c>
      <c r="I219" s="20" t="n">
        <v>160661.76</v>
      </c>
      <c r="J219" s="20" t="n">
        <v>155155.17</v>
      </c>
      <c r="K219" s="20" t="n">
        <v>150587.11</v>
      </c>
      <c r="L219" s="20" t="n">
        <v>145112.0999999999</v>
      </c>
      <c r="M219" s="20" t="n">
        <v>43469.14999999999</v>
      </c>
      <c r="N219" s="20" t="n">
        <v>148368.4600000001</v>
      </c>
      <c r="O219" s="20" t="n">
        <v>124673.5211111111</v>
      </c>
      <c r="P219" s="20" t="n">
        <v>147462.18</v>
      </c>
      <c r="Q219" s="20" t="n">
        <v>155442.1572833583</v>
      </c>
    </row>
    <row r="220">
      <c r="A220" s="19" t="inlineStr">
        <is>
          <t>Company 82</t>
        </is>
      </c>
      <c r="B220" s="19" t="inlineStr">
        <is>
          <t>Software</t>
        </is>
      </c>
      <c r="C220" s="19" t="inlineStr">
        <is>
          <t>ENOM+</t>
        </is>
      </c>
      <c r="D220" s="19" t="inlineStr">
        <is>
          <t>Switzerland</t>
        </is>
      </c>
      <c r="E220" s="20" t="n">
        <v>17440.31</v>
      </c>
      <c r="F220" s="20" t="n">
        <v>15741.6</v>
      </c>
      <c r="G220" s="20" t="n">
        <v>16014.57</v>
      </c>
      <c r="H220" s="20" t="n">
        <v>17535.66</v>
      </c>
      <c r="I220" s="20" t="n">
        <v>18448.5</v>
      </c>
      <c r="J220" s="20" t="n">
        <v>18106.41</v>
      </c>
      <c r="K220" s="20" t="n">
        <v>12882.57</v>
      </c>
      <c r="L220" s="20" t="n">
        <v>9012.33</v>
      </c>
      <c r="M220" s="20" t="n">
        <v>8814.160000000002</v>
      </c>
      <c r="N220" s="20" t="n">
        <v>13023.58</v>
      </c>
      <c r="O220" s="20" t="n">
        <v>9374.93376068376</v>
      </c>
      <c r="P220" s="20" t="n">
        <v>9380.800000000001</v>
      </c>
      <c r="Q220" s="20" t="n">
        <v>10025.10770734633</v>
      </c>
    </row>
    <row r="221">
      <c r="A221" s="19" t="inlineStr">
        <is>
          <t>Company 82</t>
        </is>
      </c>
      <c r="B221" s="19" t="inlineStr">
        <is>
          <t>Software</t>
        </is>
      </c>
      <c r="C221" s="19" t="inlineStr">
        <is>
          <t>Hosting</t>
        </is>
      </c>
      <c r="D221" s="19" t="inlineStr">
        <is>
          <t>Switzerland</t>
        </is>
      </c>
      <c r="E221" s="20" t="n">
        <v>3620.62</v>
      </c>
      <c r="F221" s="20" t="n">
        <v>3635.05</v>
      </c>
      <c r="G221" s="20" t="n">
        <v>3709.04</v>
      </c>
      <c r="H221" s="20" t="n">
        <v>3953.180000000001</v>
      </c>
      <c r="I221" s="20" t="n">
        <v>3988.64</v>
      </c>
      <c r="J221" s="20" t="n">
        <v>3937.34</v>
      </c>
      <c r="K221" s="20" t="n">
        <v>4003.57</v>
      </c>
      <c r="L221" s="20" t="n">
        <v>3857.989999999999</v>
      </c>
      <c r="M221" s="20" t="n">
        <v>3840.450000000001</v>
      </c>
      <c r="N221" s="20" t="n">
        <v>3906.48</v>
      </c>
      <c r="O221" s="20" t="n">
        <v>3815.010170940171</v>
      </c>
      <c r="P221" s="20" t="n">
        <v>0</v>
      </c>
      <c r="Q221" s="20" t="n">
        <v>0</v>
      </c>
    </row>
    <row r="222">
      <c r="A222" s="19" t="inlineStr">
        <is>
          <t>Company 83</t>
        </is>
      </c>
      <c r="B222" s="19" t="inlineStr">
        <is>
          <t>Operations</t>
        </is>
      </c>
      <c r="C222" s="19" t="inlineStr">
        <is>
          <t>Market Gas</t>
        </is>
      </c>
      <c r="D222" s="19" t="inlineStr">
        <is>
          <t>Switzerland</t>
        </is>
      </c>
      <c r="E222" s="20" t="n">
        <v>274179.71</v>
      </c>
      <c r="F222" s="20" t="n">
        <v>254486.72</v>
      </c>
      <c r="G222" s="20" t="n">
        <v>295886.29</v>
      </c>
      <c r="H222" s="20" t="n">
        <v>325987.92</v>
      </c>
      <c r="I222" s="20" t="n">
        <v>355693.33</v>
      </c>
      <c r="J222" s="20" t="n">
        <v>361178.6199999999</v>
      </c>
      <c r="K222" s="20" t="n">
        <v>419159.7600000001</v>
      </c>
      <c r="L222" s="20" t="n">
        <v>372384.03</v>
      </c>
      <c r="M222" s="20" t="n">
        <v>402188.47</v>
      </c>
      <c r="N222" s="20" t="n">
        <v>484302.96</v>
      </c>
      <c r="O222" s="20" t="n">
        <v>561215.151965812</v>
      </c>
      <c r="P222" s="20" t="n">
        <v>592676.05</v>
      </c>
      <c r="Q222" s="20" t="n">
        <v>627228.5202548729</v>
      </c>
    </row>
    <row r="223">
      <c r="A223" s="19" t="inlineStr">
        <is>
          <t>Company 84</t>
        </is>
      </c>
      <c r="B223" s="19" t="inlineStr">
        <is>
          <t>Operations</t>
        </is>
      </c>
      <c r="C223" s="19" t="inlineStr">
        <is>
          <t>Market Gas</t>
        </is>
      </c>
      <c r="D223" s="19" t="inlineStr">
        <is>
          <t>Germany</t>
        </is>
      </c>
      <c r="E223" s="20" t="n">
        <v>144000</v>
      </c>
      <c r="F223" s="20" t="n">
        <v>183500</v>
      </c>
      <c r="G223" s="20" t="n">
        <v>192200.92</v>
      </c>
      <c r="H223" s="20" t="n">
        <v>187812</v>
      </c>
      <c r="I223" s="20" t="n">
        <v>194700</v>
      </c>
      <c r="J223" s="20" t="n">
        <v>209024.64</v>
      </c>
      <c r="K223" s="20" t="n">
        <v>216103.92</v>
      </c>
      <c r="L223" s="20" t="n">
        <v>219938.66</v>
      </c>
      <c r="M223" s="20" t="n">
        <v>225519</v>
      </c>
      <c r="N223" s="20" t="n">
        <v>268564</v>
      </c>
      <c r="O223" s="20" t="n">
        <v>286364.3708</v>
      </c>
      <c r="P223" s="20" t="n">
        <v>300640</v>
      </c>
      <c r="Q223" s="20" t="n">
        <v>315106.8</v>
      </c>
    </row>
    <row r="224">
      <c r="A224" s="19" t="inlineStr">
        <is>
          <t>Company 85</t>
        </is>
      </c>
      <c r="B224" s="19" t="inlineStr">
        <is>
          <t>Operations</t>
        </is>
      </c>
      <c r="C224" s="19" t="inlineStr">
        <is>
          <t>Shipper Gas</t>
        </is>
      </c>
      <c r="D224" s="19" t="inlineStr">
        <is>
          <t>Switzerland</t>
        </is>
      </c>
      <c r="E224" s="20" t="n">
        <v>243806.4</v>
      </c>
      <c r="F224" s="20" t="n">
        <v>279060</v>
      </c>
      <c r="G224" s="20" t="n">
        <v>290450</v>
      </c>
      <c r="H224" s="20" t="n">
        <v>248340</v>
      </c>
      <c r="I224" s="20" t="n">
        <v>150180</v>
      </c>
      <c r="J224" s="20" t="n">
        <v>157500</v>
      </c>
      <c r="K224" s="20" t="n">
        <v>157500</v>
      </c>
      <c r="L224" s="20" t="n">
        <v>154200</v>
      </c>
      <c r="M224" s="20" t="n">
        <v>144300</v>
      </c>
      <c r="N224" s="20" t="n">
        <v>147870</v>
      </c>
      <c r="O224" s="20" t="n">
        <v>153460</v>
      </c>
      <c r="P224" s="20" t="n">
        <v>159270</v>
      </c>
      <c r="Q224" s="20" t="n">
        <v>166332.6</v>
      </c>
    </row>
    <row r="225">
      <c r="A225" s="19" t="inlineStr">
        <is>
          <t>Company 85</t>
        </is>
      </c>
      <c r="B225" s="19" t="inlineStr">
        <is>
          <t>Power</t>
        </is>
      </c>
      <c r="C225" s="19" t="inlineStr">
        <is>
          <t>Shipper Power</t>
        </is>
      </c>
      <c r="D225" s="19" t="inlineStr">
        <is>
          <t>Switzerland</t>
        </is>
      </c>
      <c r="E225" s="20" t="n">
        <v>2500</v>
      </c>
      <c r="F225" s="20" t="n">
        <v>66857.5</v>
      </c>
      <c r="G225" s="20" t="n">
        <v>174250</v>
      </c>
      <c r="H225" s="20" t="n">
        <v>179400</v>
      </c>
      <c r="I225" s="20" t="n">
        <v>146266.8</v>
      </c>
      <c r="J225" s="20" t="n">
        <v>146100</v>
      </c>
      <c r="K225" s="20" t="n">
        <v>146100</v>
      </c>
      <c r="L225" s="20" t="n">
        <v>128556</v>
      </c>
      <c r="M225" s="20" t="n">
        <v>87500</v>
      </c>
      <c r="N225" s="20" t="n">
        <v>83100</v>
      </c>
      <c r="O225" s="20" t="n">
        <v>83100</v>
      </c>
      <c r="P225" s="20" t="n">
        <v>38700</v>
      </c>
      <c r="Q225" s="20" t="n">
        <v>39603</v>
      </c>
    </row>
    <row r="226">
      <c r="A226" s="19" t="inlineStr">
        <is>
          <t>Company 86</t>
        </is>
      </c>
      <c r="B226" s="19" t="inlineStr">
        <is>
          <t>Software</t>
        </is>
      </c>
      <c r="C226" s="19" t="inlineStr">
        <is>
          <t>ENOM</t>
        </is>
      </c>
      <c r="D226" s="19" t="inlineStr">
        <is>
          <t>Belgium</t>
        </is>
      </c>
      <c r="E226" s="20" t="n">
        <v>10415.62</v>
      </c>
      <c r="F226" s="20" t="n">
        <v>9423.43</v>
      </c>
      <c r="G226" s="20" t="n">
        <v>9540.900000000001</v>
      </c>
      <c r="H226" s="20" t="n">
        <v>10437.92</v>
      </c>
      <c r="I226" s="20" t="n">
        <v>11022.51</v>
      </c>
      <c r="J226" s="20" t="n">
        <v>10791.37</v>
      </c>
      <c r="K226" s="20" t="n">
        <v>10900.57</v>
      </c>
      <c r="L226" s="20" t="n">
        <v>10775.29</v>
      </c>
      <c r="M226" s="20" t="n">
        <v>10423.29</v>
      </c>
      <c r="N226" s="20" t="n">
        <v>10855.89</v>
      </c>
      <c r="O226" s="20" t="n">
        <v>11126.42205128205</v>
      </c>
      <c r="P226" s="20" t="n">
        <v>11093.19</v>
      </c>
      <c r="Q226" s="20" t="n">
        <v>11596.18971514243</v>
      </c>
    </row>
    <row r="227">
      <c r="A227" s="19" t="inlineStr">
        <is>
          <t>Company 86</t>
        </is>
      </c>
      <c r="B227" s="19" t="inlineStr">
        <is>
          <t>Software</t>
        </is>
      </c>
      <c r="C227" s="19" t="inlineStr">
        <is>
          <t>Routing</t>
        </is>
      </c>
      <c r="D227" s="19" t="inlineStr">
        <is>
          <t>Belgium</t>
        </is>
      </c>
      <c r="E227" s="20" t="n">
        <v>2591.55</v>
      </c>
      <c r="F227" s="20" t="n">
        <v>2035.44</v>
      </c>
      <c r="G227" s="20" t="n">
        <v>2060.84</v>
      </c>
      <c r="H227" s="20" t="n">
        <v>2254.590000000001</v>
      </c>
      <c r="I227" s="20" t="n">
        <v>2380.86</v>
      </c>
      <c r="J227" s="20" t="n">
        <v>2330.95</v>
      </c>
      <c r="K227" s="20" t="n">
        <v>2354.52</v>
      </c>
      <c r="L227" s="20" t="n">
        <v>2327.46</v>
      </c>
      <c r="M227" s="20" t="n">
        <v>2251.43</v>
      </c>
      <c r="N227" s="20" t="n">
        <v>2345.38</v>
      </c>
      <c r="O227" s="20" t="n">
        <v>2367.50076923077</v>
      </c>
      <c r="P227" s="20" t="n">
        <v>2389.51</v>
      </c>
      <c r="Q227" s="20" t="n">
        <v>2422.291784107946</v>
      </c>
    </row>
    <row r="228">
      <c r="A228" s="19" t="inlineStr">
        <is>
          <t>Company 87</t>
        </is>
      </c>
      <c r="B228" s="19" t="inlineStr">
        <is>
          <t>Software</t>
        </is>
      </c>
      <c r="C228" s="19" t="inlineStr">
        <is>
          <t>ENOM</t>
        </is>
      </c>
      <c r="D228" s="19" t="inlineStr">
        <is>
          <t>Netherlands</t>
        </is>
      </c>
      <c r="E228" s="20" t="n">
        <v>0</v>
      </c>
      <c r="F228" s="20" t="n">
        <v>0</v>
      </c>
      <c r="G228" s="20" t="n">
        <v>0</v>
      </c>
      <c r="H228" s="20" t="n">
        <v>0</v>
      </c>
      <c r="I228" s="20" t="n">
        <v>0</v>
      </c>
      <c r="J228" s="20" t="n">
        <v>0</v>
      </c>
      <c r="K228" s="20" t="n">
        <v>0</v>
      </c>
      <c r="L228" s="20" t="n">
        <v>0</v>
      </c>
      <c r="M228" s="20" t="n">
        <v>5606.99</v>
      </c>
      <c r="N228" s="20" t="n">
        <v>8624.210000000001</v>
      </c>
      <c r="O228" s="20" t="n">
        <v>8573.92</v>
      </c>
      <c r="P228" s="20" t="n">
        <v>8665.4</v>
      </c>
      <c r="Q228" s="20" t="n">
        <v>8427.059999999999</v>
      </c>
    </row>
    <row r="229">
      <c r="A229" s="19" t="inlineStr">
        <is>
          <t>Company 87</t>
        </is>
      </c>
      <c r="B229" s="19" t="inlineStr">
        <is>
          <t>Software</t>
        </is>
      </c>
      <c r="C229" s="19" t="inlineStr">
        <is>
          <t>Routing</t>
        </is>
      </c>
      <c r="D229" s="19" t="inlineStr">
        <is>
          <t>Netherlands</t>
        </is>
      </c>
      <c r="E229" s="20" t="n">
        <v>0</v>
      </c>
      <c r="F229" s="20" t="n">
        <v>0</v>
      </c>
      <c r="G229" s="20" t="n">
        <v>0</v>
      </c>
      <c r="H229" s="20" t="n">
        <v>0</v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508.6900000000001</v>
      </c>
      <c r="N229" s="20" t="n">
        <v>782.4599999999999</v>
      </c>
      <c r="O229" s="20" t="n">
        <v>778.0200000000002</v>
      </c>
      <c r="P229" s="20" t="n">
        <v>785.77</v>
      </c>
      <c r="Q229" s="20" t="n">
        <v>764.5200000000002</v>
      </c>
    </row>
    <row r="230">
      <c r="A230" s="19" t="inlineStr">
        <is>
          <t>Company 88</t>
        </is>
      </c>
      <c r="B230" s="19" t="inlineStr">
        <is>
          <t>Software</t>
        </is>
      </c>
      <c r="C230" s="19" t="inlineStr">
        <is>
          <t>Routing</t>
        </is>
      </c>
      <c r="D230" s="19" t="inlineStr">
        <is>
          <t>Luxembourg</t>
        </is>
      </c>
      <c r="E230" s="20" t="n">
        <v>0</v>
      </c>
      <c r="F230" s="20" t="n">
        <v>0</v>
      </c>
      <c r="G230" s="20" t="n">
        <v>0</v>
      </c>
      <c r="H230" s="20" t="n">
        <v>0</v>
      </c>
      <c r="I230" s="20" t="n">
        <v>0</v>
      </c>
      <c r="J230" s="20" t="n">
        <v>0</v>
      </c>
      <c r="K230" s="20" t="n">
        <v>0</v>
      </c>
      <c r="L230" s="20" t="n">
        <v>0</v>
      </c>
      <c r="M230" s="20" t="n">
        <v>0</v>
      </c>
      <c r="N230" s="20" t="n">
        <v>0</v>
      </c>
      <c r="O230" s="20" t="n">
        <v>0</v>
      </c>
      <c r="P230" s="20" t="n">
        <v>4881.77</v>
      </c>
      <c r="Q230" s="20" t="n">
        <v>5280.101739130437</v>
      </c>
    </row>
    <row r="231">
      <c r="A231" s="19" t="inlineStr">
        <is>
          <t>Company 89</t>
        </is>
      </c>
      <c r="B231" s="19" t="inlineStr">
        <is>
          <t>Software</t>
        </is>
      </c>
      <c r="C231" s="19" t="inlineStr">
        <is>
          <t>ENOM</t>
        </is>
      </c>
      <c r="D231" s="19" t="inlineStr">
        <is>
          <t>Denmark</t>
        </is>
      </c>
      <c r="E231" s="20" t="n">
        <v>9938.65</v>
      </c>
      <c r="F231" s="20" t="n">
        <v>9263.150000000001</v>
      </c>
      <c r="G231" s="20" t="n">
        <v>9192.549999999999</v>
      </c>
      <c r="H231" s="20" t="n">
        <v>10262.25</v>
      </c>
      <c r="I231" s="20" t="n">
        <v>10605.78</v>
      </c>
      <c r="J231" s="20" t="n">
        <v>10544.01</v>
      </c>
      <c r="K231" s="20" t="n">
        <v>10166.87</v>
      </c>
      <c r="L231" s="20" t="n">
        <v>10490.67</v>
      </c>
      <c r="M231" s="20" t="n">
        <v>10192.28</v>
      </c>
      <c r="N231" s="20" t="n">
        <v>10518.6</v>
      </c>
      <c r="O231" s="20" t="n">
        <v>10846.26461538461</v>
      </c>
      <c r="P231" s="20" t="n">
        <v>10570.69</v>
      </c>
      <c r="Q231" s="20" t="n">
        <v>10947.41853073463</v>
      </c>
    </row>
    <row r="232">
      <c r="A232" s="19" t="inlineStr">
        <is>
          <t>Company 89</t>
        </is>
      </c>
      <c r="B232" s="19" t="inlineStr">
        <is>
          <t>Software</t>
        </is>
      </c>
      <c r="C232" s="19" t="inlineStr">
        <is>
          <t>Hosting</t>
        </is>
      </c>
      <c r="D232" s="19" t="inlineStr">
        <is>
          <t>Denmark</t>
        </is>
      </c>
      <c r="E232" s="20" t="n">
        <v>0</v>
      </c>
      <c r="F232" s="20" t="n">
        <v>9230.77</v>
      </c>
      <c r="G232" s="20" t="n">
        <v>9643.1</v>
      </c>
      <c r="H232" s="20" t="n">
        <v>10390.69</v>
      </c>
      <c r="I232" s="20" t="n">
        <v>11543.76</v>
      </c>
      <c r="J232" s="20" t="n">
        <v>10618.74</v>
      </c>
      <c r="K232" s="20" t="n">
        <v>10778.49</v>
      </c>
      <c r="L232" s="20" t="n">
        <v>10625.7</v>
      </c>
      <c r="M232" s="20" t="n">
        <v>10375.52</v>
      </c>
      <c r="N232" s="20" t="n">
        <v>11847.28</v>
      </c>
      <c r="O232" s="20" t="n">
        <v>12133.55</v>
      </c>
      <c r="P232" s="20" t="n">
        <v>2958.47</v>
      </c>
      <c r="Q232" s="20" t="n">
        <v>0</v>
      </c>
    </row>
    <row r="233">
      <c r="A233" s="19" t="inlineStr">
        <is>
          <t>Company 90</t>
        </is>
      </c>
      <c r="B233" s="19" t="inlineStr">
        <is>
          <t>Software</t>
        </is>
      </c>
      <c r="C233" s="19" t="inlineStr">
        <is>
          <t>ENOM+</t>
        </is>
      </c>
      <c r="D233" s="19" t="inlineStr">
        <is>
          <t>Switzerland</t>
        </is>
      </c>
      <c r="E233" s="20" t="n">
        <v>11345.6</v>
      </c>
      <c r="F233" s="20" t="n">
        <v>15653.38</v>
      </c>
      <c r="G233" s="20" t="n">
        <v>16030.72</v>
      </c>
      <c r="H233" s="20" t="n">
        <v>17379.58</v>
      </c>
      <c r="I233" s="20" t="n">
        <v>18282.63</v>
      </c>
      <c r="J233" s="20" t="n">
        <v>18186.33</v>
      </c>
      <c r="K233" s="20" t="n">
        <v>18220.37</v>
      </c>
      <c r="L233" s="20" t="n">
        <v>18186.06</v>
      </c>
      <c r="M233" s="20" t="n">
        <v>18026.69</v>
      </c>
      <c r="N233" s="20" t="n">
        <v>18048.19</v>
      </c>
      <c r="O233" s="20" t="n">
        <v>18703.22854700855</v>
      </c>
      <c r="P233" s="20" t="n">
        <v>19023.32</v>
      </c>
      <c r="Q233" s="20" t="n">
        <v>20176.61482998501</v>
      </c>
    </row>
    <row r="234">
      <c r="A234" s="19" t="inlineStr">
        <is>
          <t>Company 90</t>
        </is>
      </c>
      <c r="B234" s="19" t="inlineStr">
        <is>
          <t>Software</t>
        </is>
      </c>
      <c r="C234" s="19" t="inlineStr">
        <is>
          <t>PowerTrak</t>
        </is>
      </c>
      <c r="D234" s="19" t="inlineStr">
        <is>
          <t>Switzerland</t>
        </is>
      </c>
      <c r="E234" s="20" t="n">
        <v>0</v>
      </c>
      <c r="F234" s="20" t="n">
        <v>0</v>
      </c>
      <c r="G234" s="20" t="n">
        <v>0</v>
      </c>
      <c r="H234" s="20" t="n">
        <v>15458.35</v>
      </c>
      <c r="I234" s="20" t="n">
        <v>35666.80000000001</v>
      </c>
      <c r="J234" s="20" t="n">
        <v>35500.00000000001</v>
      </c>
      <c r="K234" s="20" t="n">
        <v>35500.00000000001</v>
      </c>
      <c r="L234" s="20" t="n">
        <v>35647.58</v>
      </c>
      <c r="M234" s="20" t="n">
        <v>35500.00000000001</v>
      </c>
      <c r="N234" s="20" t="n">
        <v>35500.00000000001</v>
      </c>
      <c r="O234" s="20" t="n">
        <v>37422.1</v>
      </c>
      <c r="P234" s="20" t="n">
        <v>49330.27</v>
      </c>
      <c r="Q234" s="20" t="n">
        <v>62914.72999999999</v>
      </c>
    </row>
    <row r="235">
      <c r="A235" s="19" t="inlineStr">
        <is>
          <t>Company 90</t>
        </is>
      </c>
      <c r="B235" s="19" t="inlineStr">
        <is>
          <t>Software</t>
        </is>
      </c>
      <c r="C235" s="19" t="inlineStr">
        <is>
          <t>Routing</t>
        </is>
      </c>
      <c r="D235" s="19" t="inlineStr">
        <is>
          <t>Switzerland</t>
        </is>
      </c>
      <c r="E235" s="20" t="n">
        <v>0</v>
      </c>
      <c r="F235" s="20" t="n">
        <v>0</v>
      </c>
      <c r="G235" s="20" t="n">
        <v>0</v>
      </c>
      <c r="H235" s="20" t="n">
        <v>658.3499999999999</v>
      </c>
      <c r="I235" s="20" t="n">
        <v>3160</v>
      </c>
      <c r="J235" s="20" t="n">
        <v>3160</v>
      </c>
      <c r="K235" s="20" t="n">
        <v>3160</v>
      </c>
      <c r="L235" s="20" t="n">
        <v>3160</v>
      </c>
      <c r="M235" s="20" t="n">
        <v>3160</v>
      </c>
      <c r="N235" s="20" t="n">
        <v>3160</v>
      </c>
      <c r="O235" s="20" t="n">
        <v>3458.11</v>
      </c>
      <c r="P235" s="20" t="n">
        <v>5622.520000000001</v>
      </c>
      <c r="Q235" s="20" t="n">
        <v>7736.639999999999</v>
      </c>
    </row>
    <row r="236">
      <c r="A236" s="19" t="inlineStr">
        <is>
          <t>Company 90</t>
        </is>
      </c>
      <c r="B236" s="19" t="inlineStr">
        <is>
          <t>Software</t>
        </is>
      </c>
      <c r="C236" s="19" t="inlineStr">
        <is>
          <t>Routing</t>
        </is>
      </c>
      <c r="D236" s="19" t="inlineStr">
        <is>
          <t>Switzerland</t>
        </is>
      </c>
      <c r="E236" s="20" t="n">
        <v>0</v>
      </c>
      <c r="F236" s="20" t="n">
        <v>0</v>
      </c>
      <c r="G236" s="20" t="n">
        <v>0</v>
      </c>
      <c r="H236" s="20" t="n">
        <v>0</v>
      </c>
      <c r="I236" s="20" t="n">
        <v>0</v>
      </c>
      <c r="J236" s="20" t="n">
        <v>0</v>
      </c>
      <c r="K236" s="20" t="n">
        <v>0</v>
      </c>
      <c r="L236" s="20" t="n">
        <v>0</v>
      </c>
      <c r="M236" s="20" t="n">
        <v>0</v>
      </c>
      <c r="N236" s="20" t="n">
        <v>0</v>
      </c>
      <c r="O236" s="20" t="n">
        <v>141.56</v>
      </c>
      <c r="P236" s="20" t="n">
        <v>853.7499999999999</v>
      </c>
      <c r="Q236" s="20" t="n">
        <v>852.2399999999999</v>
      </c>
    </row>
    <row r="237">
      <c r="A237" s="19" t="inlineStr">
        <is>
          <t>Company 91</t>
        </is>
      </c>
      <c r="B237" s="19" t="inlineStr">
        <is>
          <t>Software</t>
        </is>
      </c>
      <c r="C237" s="19" t="inlineStr">
        <is>
          <t>Hosting</t>
        </is>
      </c>
      <c r="D237" s="19" t="inlineStr">
        <is>
          <t>Germany</t>
        </is>
      </c>
      <c r="E237" s="20" t="n">
        <v>7650</v>
      </c>
      <c r="F237" s="20" t="n">
        <v>9000</v>
      </c>
      <c r="G237" s="20" t="n">
        <v>9000</v>
      </c>
      <c r="H237" s="20" t="n">
        <v>4050</v>
      </c>
      <c r="I237" s="20" t="n">
        <v>3600</v>
      </c>
      <c r="J237" s="20" t="n">
        <v>3600</v>
      </c>
      <c r="K237" s="20" t="n">
        <v>3600</v>
      </c>
      <c r="L237" s="20" t="n">
        <v>3600</v>
      </c>
      <c r="M237" s="20" t="n">
        <v>3600</v>
      </c>
      <c r="N237" s="20" t="n">
        <v>3600</v>
      </c>
      <c r="O237" s="20" t="n">
        <v>4015.32</v>
      </c>
      <c r="P237" s="20" t="n">
        <v>6005.68</v>
      </c>
      <c r="Q237" s="20" t="n">
        <v>6069.96</v>
      </c>
    </row>
    <row r="238">
      <c r="A238" s="19" t="inlineStr">
        <is>
          <t>Company 92</t>
        </is>
      </c>
      <c r="B238" s="19" t="inlineStr">
        <is>
          <t>Operations</t>
        </is>
      </c>
      <c r="C238" s="19" t="inlineStr">
        <is>
          <t>Shipper Gas</t>
        </is>
      </c>
      <c r="D238" s="19" t="inlineStr">
        <is>
          <t>Switzerland</t>
        </is>
      </c>
      <c r="E238" s="20" t="n">
        <v>30600</v>
      </c>
      <c r="F238" s="20" t="n">
        <v>29152</v>
      </c>
      <c r="G238" s="20" t="n">
        <v>30600</v>
      </c>
      <c r="H238" s="20" t="n">
        <v>32400.13</v>
      </c>
      <c r="I238" s="20" t="n">
        <v>52200.53</v>
      </c>
      <c r="J238" s="20" t="n">
        <v>58500.44</v>
      </c>
      <c r="K238" s="20" t="n">
        <v>62999.7</v>
      </c>
      <c r="L238" s="20" t="n">
        <v>62999.71999999999</v>
      </c>
      <c r="M238" s="20" t="n">
        <v>63000.30999999999</v>
      </c>
      <c r="N238" s="20" t="n">
        <v>63000.27999999999</v>
      </c>
      <c r="O238" s="20" t="n">
        <v>63524.99999999999</v>
      </c>
      <c r="P238" s="20" t="n">
        <v>65835.51000000001</v>
      </c>
      <c r="Q238" s="20" t="n">
        <v>68349.88079999998</v>
      </c>
    </row>
    <row r="239">
      <c r="A239" s="19" t="inlineStr">
        <is>
          <t>Company 92</t>
        </is>
      </c>
      <c r="B239" s="19" t="inlineStr">
        <is>
          <t>Software</t>
        </is>
      </c>
      <c r="C239" s="19" t="inlineStr">
        <is>
          <t>ENOM</t>
        </is>
      </c>
      <c r="D239" s="19" t="inlineStr">
        <is>
          <t>Switzerland</t>
        </is>
      </c>
      <c r="E239" s="20" t="n">
        <v>0</v>
      </c>
      <c r="F239" s="20" t="n">
        <v>0</v>
      </c>
      <c r="G239" s="20" t="n">
        <v>0</v>
      </c>
      <c r="H239" s="20" t="n">
        <v>0</v>
      </c>
      <c r="I239" s="20" t="n">
        <v>0</v>
      </c>
      <c r="J239" s="20" t="n">
        <v>0</v>
      </c>
      <c r="K239" s="20" t="n">
        <v>0</v>
      </c>
      <c r="L239" s="20" t="n">
        <v>0</v>
      </c>
      <c r="M239" s="20" t="n">
        <v>7008.73</v>
      </c>
      <c r="N239" s="20" t="n">
        <v>11132.31</v>
      </c>
      <c r="O239" s="20" t="n">
        <v>11650.90914529915</v>
      </c>
      <c r="P239" s="20" t="n">
        <v>88.09000000000083</v>
      </c>
      <c r="Q239" s="20" t="n">
        <v>11584.54989505247</v>
      </c>
    </row>
    <row r="240">
      <c r="A240" s="19" t="inlineStr">
        <is>
          <t>Company 92</t>
        </is>
      </c>
      <c r="B240" s="19" t="inlineStr">
        <is>
          <t>Software</t>
        </is>
      </c>
      <c r="C240" s="19" t="inlineStr">
        <is>
          <t>Routing</t>
        </is>
      </c>
      <c r="D240" s="19" t="inlineStr">
        <is>
          <t>Switzerland</t>
        </is>
      </c>
      <c r="E240" s="20" t="n">
        <v>0</v>
      </c>
      <c r="F240" s="20" t="n">
        <v>0</v>
      </c>
      <c r="G240" s="20" t="n">
        <v>0</v>
      </c>
      <c r="H240" s="20" t="n">
        <v>0</v>
      </c>
      <c r="I240" s="20" t="n">
        <v>0</v>
      </c>
      <c r="J240" s="20" t="n">
        <v>0</v>
      </c>
      <c r="K240" s="20" t="n">
        <v>0</v>
      </c>
      <c r="L240" s="20" t="n">
        <v>0</v>
      </c>
      <c r="M240" s="20" t="n">
        <v>536.96</v>
      </c>
      <c r="N240" s="20" t="n">
        <v>852.3100000000002</v>
      </c>
      <c r="O240" s="20" t="n">
        <v>891.9079487179488</v>
      </c>
      <c r="P240" s="20" t="n">
        <v>5.74000000000008</v>
      </c>
      <c r="Q240" s="20" t="n">
        <v>894.923043478261</v>
      </c>
    </row>
    <row r="241">
      <c r="A241" s="19" t="inlineStr">
        <is>
          <t>Company 92</t>
        </is>
      </c>
      <c r="B241" s="19" t="inlineStr">
        <is>
          <t>Software</t>
        </is>
      </c>
      <c r="C241" s="19" t="inlineStr">
        <is>
          <t>Chorus</t>
        </is>
      </c>
      <c r="D241" s="19" t="inlineStr">
        <is>
          <t>Switzerland</t>
        </is>
      </c>
      <c r="E241" s="20" t="n">
        <v>0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0" t="n">
        <v>0</v>
      </c>
      <c r="O241" s="20" t="n">
        <v>18317.20273504273</v>
      </c>
      <c r="P241" s="20" t="n">
        <v>20827.54</v>
      </c>
      <c r="Q241" s="20" t="n">
        <v>21174.12304347827</v>
      </c>
    </row>
    <row r="242">
      <c r="A242" s="19" t="inlineStr">
        <is>
          <t>Company 92</t>
        </is>
      </c>
      <c r="B242" s="19" t="inlineStr">
        <is>
          <t>Software</t>
        </is>
      </c>
      <c r="C242" s="19" t="inlineStr">
        <is>
          <t>Routing</t>
        </is>
      </c>
      <c r="D242" s="19" t="inlineStr">
        <is>
          <t>Switzerland</t>
        </is>
      </c>
      <c r="E242" s="20" t="n">
        <v>0</v>
      </c>
      <c r="F242" s="20" t="n">
        <v>0</v>
      </c>
      <c r="G242" s="20" t="n">
        <v>0</v>
      </c>
      <c r="H242" s="20" t="n">
        <v>0</v>
      </c>
      <c r="I242" s="20" t="n">
        <v>0</v>
      </c>
      <c r="J242" s="20" t="n">
        <v>0</v>
      </c>
      <c r="K242" s="20" t="n">
        <v>0</v>
      </c>
      <c r="L242" s="20" t="n">
        <v>0</v>
      </c>
      <c r="M242" s="20" t="n">
        <v>0</v>
      </c>
      <c r="N242" s="20" t="n">
        <v>0</v>
      </c>
      <c r="O242" s="20" t="n">
        <v>0</v>
      </c>
      <c r="P242" s="20" t="n">
        <v>0</v>
      </c>
      <c r="Q242" s="20" t="n">
        <v>842.8</v>
      </c>
    </row>
    <row r="243">
      <c r="A243" s="19" t="inlineStr">
        <is>
          <t>Company 93</t>
        </is>
      </c>
      <c r="B243" s="19" t="inlineStr">
        <is>
          <t>Software</t>
        </is>
      </c>
      <c r="C243" s="19" t="inlineStr">
        <is>
          <t>Chorus</t>
        </is>
      </c>
      <c r="D243" s="19" t="inlineStr">
        <is>
          <t>Spain</t>
        </is>
      </c>
      <c r="E243" s="20" t="n">
        <v>0</v>
      </c>
      <c r="F243" s="20" t="n">
        <v>0</v>
      </c>
      <c r="G243" s="20" t="n">
        <v>0</v>
      </c>
      <c r="H243" s="20" t="n">
        <v>0</v>
      </c>
      <c r="I243" s="20" t="n">
        <v>0</v>
      </c>
      <c r="J243" s="20" t="n">
        <v>0</v>
      </c>
      <c r="K243" s="20" t="n">
        <v>0</v>
      </c>
      <c r="L243" s="20" t="n">
        <v>0</v>
      </c>
      <c r="M243" s="20" t="n">
        <v>0</v>
      </c>
      <c r="N243" s="20" t="n">
        <v>5869.41</v>
      </c>
      <c r="O243" s="20" t="n">
        <v>9797.888812307692</v>
      </c>
      <c r="P243" s="20" t="n">
        <v>10110.93</v>
      </c>
      <c r="Q243" s="20" t="n">
        <v>11019.00223388306</v>
      </c>
    </row>
    <row r="244">
      <c r="A244" s="19" t="inlineStr">
        <is>
          <t>Company 93</t>
        </is>
      </c>
      <c r="B244" s="19" t="inlineStr">
        <is>
          <t>Software</t>
        </is>
      </c>
      <c r="C244" s="19" t="inlineStr">
        <is>
          <t>Chorus</t>
        </is>
      </c>
      <c r="D244" s="19" t="inlineStr">
        <is>
          <t>Spain</t>
        </is>
      </c>
      <c r="E244" s="20" t="n">
        <v>0</v>
      </c>
      <c r="F244" s="20" t="n">
        <v>0</v>
      </c>
      <c r="G244" s="20" t="n">
        <v>0</v>
      </c>
      <c r="H244" s="20" t="n">
        <v>0</v>
      </c>
      <c r="I244" s="20" t="n">
        <v>0</v>
      </c>
      <c r="J244" s="20" t="n">
        <v>0</v>
      </c>
      <c r="K244" s="20" t="n">
        <v>0</v>
      </c>
      <c r="L244" s="20" t="n">
        <v>0</v>
      </c>
      <c r="M244" s="20" t="n">
        <v>0</v>
      </c>
      <c r="N244" s="20" t="n">
        <v>0</v>
      </c>
      <c r="O244" s="20" t="n">
        <v>1973.92</v>
      </c>
      <c r="P244" s="20" t="n">
        <v>981.77</v>
      </c>
      <c r="Q244" s="20" t="n">
        <v>0</v>
      </c>
    </row>
    <row r="245">
      <c r="A245" s="19" t="inlineStr">
        <is>
          <t>Company 93</t>
        </is>
      </c>
      <c r="B245" s="19" t="inlineStr">
        <is>
          <t>Software</t>
        </is>
      </c>
      <c r="C245" s="19" t="inlineStr">
        <is>
          <t>Routing</t>
        </is>
      </c>
      <c r="D245" s="19" t="inlineStr">
        <is>
          <t>Spain</t>
        </is>
      </c>
      <c r="E245" s="20" t="n">
        <v>0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0</v>
      </c>
      <c r="K245" s="20" t="n">
        <v>0</v>
      </c>
      <c r="L245" s="20" t="n">
        <v>0</v>
      </c>
      <c r="M245" s="20" t="n">
        <v>0</v>
      </c>
      <c r="N245" s="20" t="n">
        <v>0</v>
      </c>
      <c r="O245" s="20" t="n">
        <v>0</v>
      </c>
      <c r="P245" s="20" t="n">
        <v>807.7600000000001</v>
      </c>
      <c r="Q245" s="20" t="n">
        <v>1619.01</v>
      </c>
    </row>
    <row r="246">
      <c r="A246" s="19" t="inlineStr">
        <is>
          <t>Company 94</t>
        </is>
      </c>
      <c r="B246" s="19" t="inlineStr">
        <is>
          <t>Software</t>
        </is>
      </c>
      <c r="C246" s="19" t="inlineStr">
        <is>
          <t>Hosting</t>
        </is>
      </c>
      <c r="D246" s="19" t="inlineStr">
        <is>
          <t>UK</t>
        </is>
      </c>
      <c r="E246" s="20" t="n">
        <v>0</v>
      </c>
      <c r="F246" s="20" t="n">
        <v>0</v>
      </c>
      <c r="G246" s="20" t="n">
        <v>0</v>
      </c>
      <c r="H246" s="20" t="n">
        <v>0</v>
      </c>
      <c r="I246" s="20" t="n">
        <v>0</v>
      </c>
      <c r="J246" s="20" t="n">
        <v>0</v>
      </c>
      <c r="K246" s="20" t="n">
        <v>0</v>
      </c>
      <c r="L246" s="20" t="n">
        <v>0</v>
      </c>
      <c r="M246" s="20" t="n">
        <v>0</v>
      </c>
      <c r="N246" s="20" t="n">
        <v>0</v>
      </c>
      <c r="O246" s="20" t="n">
        <v>0</v>
      </c>
      <c r="P246" s="20" t="n">
        <v>22500</v>
      </c>
      <c r="Q246" s="20" t="n">
        <v>18540</v>
      </c>
    </row>
    <row r="247">
      <c r="A247" s="19" t="inlineStr">
        <is>
          <t>Company 95</t>
        </is>
      </c>
      <c r="B247" s="19" t="inlineStr">
        <is>
          <t>Software</t>
        </is>
      </c>
      <c r="C247" s="19" t="inlineStr">
        <is>
          <t>Hosting</t>
        </is>
      </c>
      <c r="D247" s="19" t="inlineStr">
        <is>
          <t>Germany</t>
        </is>
      </c>
      <c r="E247" s="20" t="n">
        <v>0</v>
      </c>
      <c r="F247" s="20" t="n">
        <v>0</v>
      </c>
      <c r="G247" s="20" t="n">
        <v>0</v>
      </c>
      <c r="H247" s="20" t="n">
        <v>0</v>
      </c>
      <c r="I247" s="20" t="n">
        <v>0</v>
      </c>
      <c r="J247" s="20" t="n">
        <v>0</v>
      </c>
      <c r="K247" s="20" t="n">
        <v>3092</v>
      </c>
      <c r="L247" s="20" t="n">
        <v>8100</v>
      </c>
      <c r="M247" s="20" t="n">
        <v>8100</v>
      </c>
      <c r="N247" s="20" t="n">
        <v>8100</v>
      </c>
      <c r="O247" s="20" t="n">
        <v>8103.59</v>
      </c>
      <c r="P247" s="20" t="n">
        <v>8150.02</v>
      </c>
      <c r="Q247" s="20" t="n">
        <v>8302.59</v>
      </c>
    </row>
    <row r="248">
      <c r="A248" s="19" t="inlineStr">
        <is>
          <t>Company 96</t>
        </is>
      </c>
      <c r="B248" s="19" t="inlineStr">
        <is>
          <t>Operations</t>
        </is>
      </c>
      <c r="C248" s="19" t="inlineStr">
        <is>
          <t>Market Gas</t>
        </is>
      </c>
      <c r="D248" s="19" t="inlineStr">
        <is>
          <t>Germany</t>
        </is>
      </c>
      <c r="E248" s="20" t="n">
        <v>0</v>
      </c>
      <c r="F248" s="20" t="n">
        <v>15336.98</v>
      </c>
      <c r="G248" s="20" t="n">
        <v>99058.00000000001</v>
      </c>
      <c r="H248" s="20" t="n">
        <v>108335.8</v>
      </c>
      <c r="I248" s="20" t="n">
        <v>113459.27</v>
      </c>
      <c r="J248" s="20" t="n">
        <v>114886.59</v>
      </c>
      <c r="K248" s="20" t="n">
        <v>118519.32</v>
      </c>
      <c r="L248" s="20" t="n">
        <v>115639.67</v>
      </c>
      <c r="M248" s="20" t="n">
        <v>121867.92</v>
      </c>
      <c r="N248" s="20" t="n">
        <v>134770.06</v>
      </c>
      <c r="O248" s="20" t="n">
        <v>138321.7964102564</v>
      </c>
      <c r="P248" s="20" t="n">
        <v>143503.26</v>
      </c>
      <c r="Q248" s="20" t="n">
        <v>151636.7590584708</v>
      </c>
    </row>
    <row r="249">
      <c r="A249" s="19" t="inlineStr">
        <is>
          <t>Company 97</t>
        </is>
      </c>
      <c r="B249" s="19" t="inlineStr">
        <is>
          <t>Operations</t>
        </is>
      </c>
      <c r="C249" s="19" t="inlineStr">
        <is>
          <t>Shipper Gas</t>
        </is>
      </c>
      <c r="D249" s="19" t="inlineStr">
        <is>
          <t>Switzerland</t>
        </is>
      </c>
      <c r="E249" s="20" t="n">
        <v>0</v>
      </c>
      <c r="F249" s="20" t="n">
        <v>0</v>
      </c>
      <c r="G249" s="20" t="n">
        <v>0</v>
      </c>
      <c r="H249" s="20" t="n">
        <v>33210</v>
      </c>
      <c r="I249" s="20" t="n">
        <v>106515</v>
      </c>
      <c r="J249" s="20" t="n">
        <v>132300</v>
      </c>
      <c r="K249" s="20" t="n">
        <v>166770</v>
      </c>
      <c r="L249" s="20" t="n">
        <v>181800</v>
      </c>
      <c r="M249" s="20" t="n">
        <v>185760</v>
      </c>
      <c r="N249" s="20" t="n">
        <v>173160</v>
      </c>
      <c r="O249" s="20" t="n">
        <v>186255.36</v>
      </c>
      <c r="P249" s="20" t="n">
        <v>212800</v>
      </c>
      <c r="Q249" s="20" t="n">
        <v>234522</v>
      </c>
    </row>
    <row r="250">
      <c r="A250" s="19" t="inlineStr">
        <is>
          <t>Company 97</t>
        </is>
      </c>
      <c r="B250" s="19" t="inlineStr">
        <is>
          <t>Software</t>
        </is>
      </c>
      <c r="C250" s="19" t="inlineStr">
        <is>
          <t>EuroRunner</t>
        </is>
      </c>
      <c r="D250" s="19" t="inlineStr">
        <is>
          <t>Switzerland</t>
        </is>
      </c>
      <c r="E250" s="20" t="n">
        <v>0</v>
      </c>
      <c r="F250" s="20" t="n">
        <v>0</v>
      </c>
      <c r="G250" s="20" t="n">
        <v>0</v>
      </c>
      <c r="H250" s="20" t="n">
        <v>0</v>
      </c>
      <c r="I250" s="20" t="n">
        <v>0</v>
      </c>
      <c r="J250" s="20" t="n">
        <v>0</v>
      </c>
      <c r="K250" s="20" t="n">
        <v>0</v>
      </c>
      <c r="L250" s="20" t="n">
        <v>0</v>
      </c>
      <c r="M250" s="20" t="n">
        <v>0</v>
      </c>
      <c r="N250" s="20" t="n">
        <v>0</v>
      </c>
      <c r="O250" s="20" t="n">
        <v>2625</v>
      </c>
      <c r="P250" s="20" t="n">
        <v>32114.5</v>
      </c>
      <c r="Q250" s="20" t="n">
        <v>33450.5</v>
      </c>
    </row>
    <row r="251">
      <c r="A251" s="19" t="inlineStr">
        <is>
          <t>Company 97</t>
        </is>
      </c>
      <c r="B251" s="19" t="inlineStr">
        <is>
          <t>Software</t>
        </is>
      </c>
      <c r="C251" s="19" t="inlineStr">
        <is>
          <t>Hosting</t>
        </is>
      </c>
      <c r="D251" s="19" t="inlineStr">
        <is>
          <t>Switzerland</t>
        </is>
      </c>
      <c r="E251" s="20" t="n">
        <v>0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0</v>
      </c>
      <c r="K251" s="20" t="n">
        <v>0</v>
      </c>
      <c r="L251" s="20" t="n">
        <v>0</v>
      </c>
      <c r="M251" s="20" t="n">
        <v>0</v>
      </c>
      <c r="N251" s="20" t="n">
        <v>0</v>
      </c>
      <c r="O251" s="20" t="n">
        <v>126</v>
      </c>
      <c r="P251" s="20" t="n">
        <v>1120.64</v>
      </c>
      <c r="Q251" s="20" t="n">
        <v>774.96</v>
      </c>
    </row>
    <row r="252">
      <c r="A252" s="19" t="inlineStr">
        <is>
          <t>Company 98</t>
        </is>
      </c>
      <c r="B252" s="19" t="inlineStr">
        <is>
          <t>Software</t>
        </is>
      </c>
      <c r="C252" s="19" t="inlineStr">
        <is>
          <t>PowerTrak</t>
        </is>
      </c>
      <c r="D252" s="19" t="inlineStr">
        <is>
          <t>UK</t>
        </is>
      </c>
      <c r="E252" s="20" t="n">
        <v>0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0</v>
      </c>
      <c r="K252" s="20" t="n">
        <v>8750</v>
      </c>
      <c r="L252" s="20" t="n">
        <v>18208.36</v>
      </c>
      <c r="M252" s="20" t="n">
        <v>20500</v>
      </c>
      <c r="N252" s="20" t="n">
        <v>20500</v>
      </c>
      <c r="O252" s="20" t="n">
        <v>22386.13</v>
      </c>
      <c r="P252" s="20" t="n">
        <v>45753.76</v>
      </c>
      <c r="Q252" s="20" t="n">
        <v>52095.05</v>
      </c>
    </row>
    <row r="253">
      <c r="A253" s="19" t="inlineStr">
        <is>
          <t>Company 98</t>
        </is>
      </c>
      <c r="B253" s="19" t="inlineStr">
        <is>
          <t>Software</t>
        </is>
      </c>
      <c r="C253" s="19" t="inlineStr">
        <is>
          <t>Hosting</t>
        </is>
      </c>
      <c r="D253" s="19" t="inlineStr">
        <is>
          <t>UK</t>
        </is>
      </c>
      <c r="E253" s="20" t="n">
        <v>0</v>
      </c>
      <c r="F253" s="20" t="n">
        <v>0</v>
      </c>
      <c r="G253" s="20" t="n">
        <v>0</v>
      </c>
      <c r="H253" s="20" t="n">
        <v>0</v>
      </c>
      <c r="I253" s="20" t="n">
        <v>0</v>
      </c>
      <c r="J253" s="20" t="n">
        <v>0</v>
      </c>
      <c r="K253" s="20" t="n">
        <v>1999.97</v>
      </c>
      <c r="L253" s="20" t="n">
        <v>9875</v>
      </c>
      <c r="M253" s="20" t="n">
        <v>17375</v>
      </c>
      <c r="N253" s="20" t="n">
        <v>23000</v>
      </c>
      <c r="O253" s="20" t="n">
        <v>23350.29</v>
      </c>
      <c r="P253" s="20" t="n">
        <v>24350.88</v>
      </c>
      <c r="Q253" s="20" t="n">
        <v>25299.74</v>
      </c>
    </row>
    <row r="254">
      <c r="A254" s="19" t="inlineStr">
        <is>
          <t>Company 98</t>
        </is>
      </c>
      <c r="B254" s="19" t="inlineStr">
        <is>
          <t>Software</t>
        </is>
      </c>
      <c r="C254" s="19" t="inlineStr">
        <is>
          <t>Routing</t>
        </is>
      </c>
      <c r="D254" s="19" t="inlineStr">
        <is>
          <t>UK</t>
        </is>
      </c>
      <c r="E254" s="20" t="n">
        <v>0</v>
      </c>
      <c r="F254" s="20" t="n">
        <v>0</v>
      </c>
      <c r="G254" s="20" t="n">
        <v>0</v>
      </c>
      <c r="H254" s="20" t="n">
        <v>0</v>
      </c>
      <c r="I254" s="20" t="n">
        <v>0</v>
      </c>
      <c r="J254" s="20" t="n">
        <v>0</v>
      </c>
      <c r="K254" s="20" t="n">
        <v>199.97</v>
      </c>
      <c r="L254" s="20" t="n">
        <v>1266.73</v>
      </c>
      <c r="M254" s="20" t="n">
        <v>1600</v>
      </c>
      <c r="N254" s="20" t="n">
        <v>1600</v>
      </c>
      <c r="O254" s="20" t="n">
        <v>1602.27</v>
      </c>
      <c r="P254" s="20" t="n">
        <v>4473.84</v>
      </c>
      <c r="Q254" s="20" t="n">
        <v>4855.85</v>
      </c>
    </row>
    <row r="255">
      <c r="A255" s="19" t="inlineStr">
        <is>
          <t>Company 98</t>
        </is>
      </c>
      <c r="B255" s="19" t="inlineStr">
        <is>
          <t>Software</t>
        </is>
      </c>
      <c r="C255" s="19" t="inlineStr">
        <is>
          <t>Chorus</t>
        </is>
      </c>
      <c r="D255" s="19" t="inlineStr">
        <is>
          <t>UK</t>
        </is>
      </c>
      <c r="E255" s="20" t="n">
        <v>0</v>
      </c>
      <c r="F255" s="20" t="n">
        <v>0</v>
      </c>
      <c r="G255" s="20" t="n">
        <v>0</v>
      </c>
      <c r="H255" s="20" t="n">
        <v>0</v>
      </c>
      <c r="I255" s="20" t="n">
        <v>0</v>
      </c>
      <c r="J255" s="20" t="n">
        <v>0</v>
      </c>
      <c r="K255" s="20" t="n">
        <v>0</v>
      </c>
      <c r="L255" s="20" t="n">
        <v>0</v>
      </c>
      <c r="M255" s="20" t="n">
        <v>0</v>
      </c>
      <c r="N255" s="20" t="n">
        <v>0</v>
      </c>
      <c r="O255" s="20" t="n">
        <v>9083.529999999999</v>
      </c>
      <c r="P255" s="20" t="n">
        <v>23057.37</v>
      </c>
      <c r="Q255" s="20" t="n">
        <v>18602.62</v>
      </c>
    </row>
    <row r="256">
      <c r="A256" s="19" t="inlineStr">
        <is>
          <t>Company 98</t>
        </is>
      </c>
      <c r="B256" s="19" t="inlineStr">
        <is>
          <t>Software</t>
        </is>
      </c>
      <c r="C256" s="19" t="inlineStr">
        <is>
          <t>Routing</t>
        </is>
      </c>
      <c r="D256" s="19" t="inlineStr">
        <is>
          <t>UK</t>
        </is>
      </c>
      <c r="E256" s="20" t="n">
        <v>0</v>
      </c>
      <c r="F256" s="20" t="n">
        <v>0</v>
      </c>
      <c r="G256" s="20" t="n">
        <v>0</v>
      </c>
      <c r="H256" s="20" t="n">
        <v>0</v>
      </c>
      <c r="I256" s="20" t="n">
        <v>0</v>
      </c>
      <c r="J256" s="20" t="n">
        <v>0</v>
      </c>
      <c r="K256" s="20" t="n">
        <v>0</v>
      </c>
      <c r="L256" s="20" t="n">
        <v>0</v>
      </c>
      <c r="M256" s="20" t="n">
        <v>0</v>
      </c>
      <c r="N256" s="20" t="n">
        <v>0</v>
      </c>
      <c r="O256" s="20" t="n">
        <v>0</v>
      </c>
      <c r="P256" s="20" t="n">
        <v>6915.750000000001</v>
      </c>
      <c r="Q256" s="20" t="n">
        <v>14473.39</v>
      </c>
    </row>
    <row r="257">
      <c r="A257" s="19" t="inlineStr">
        <is>
          <t>Company 98</t>
        </is>
      </c>
      <c r="B257" s="19" t="inlineStr">
        <is>
          <t>Power</t>
        </is>
      </c>
      <c r="C257" s="19" t="inlineStr">
        <is>
          <t>Shipper Power</t>
        </is>
      </c>
      <c r="D257" s="19" t="inlineStr">
        <is>
          <t>UK</t>
        </is>
      </c>
      <c r="E257" s="20" t="n">
        <v>0</v>
      </c>
      <c r="F257" s="20" t="n">
        <v>0</v>
      </c>
      <c r="G257" s="20" t="n">
        <v>0</v>
      </c>
      <c r="H257" s="20" t="n">
        <v>0</v>
      </c>
      <c r="I257" s="20" t="n">
        <v>0</v>
      </c>
      <c r="J257" s="20" t="n">
        <v>0</v>
      </c>
      <c r="K257" s="20" t="n">
        <v>0</v>
      </c>
      <c r="L257" s="20" t="n">
        <v>0</v>
      </c>
      <c r="M257" s="20" t="n">
        <v>0</v>
      </c>
      <c r="N257" s="20" t="n">
        <v>0</v>
      </c>
      <c r="O257" s="20" t="n">
        <v>0</v>
      </c>
      <c r="P257" s="20" t="n">
        <v>0</v>
      </c>
      <c r="Q257" s="20" t="n">
        <v>950</v>
      </c>
    </row>
    <row r="258">
      <c r="A258" s="19" t="inlineStr">
        <is>
          <t>Company 99</t>
        </is>
      </c>
      <c r="B258" s="19" t="inlineStr">
        <is>
          <t>Software</t>
        </is>
      </c>
      <c r="C258" s="19" t="inlineStr">
        <is>
          <t>ENOM</t>
        </is>
      </c>
      <c r="D258" s="19" t="inlineStr">
        <is>
          <t>France</t>
        </is>
      </c>
      <c r="E258" s="20" t="n">
        <v>0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0</v>
      </c>
      <c r="K258" s="20" t="n">
        <v>0</v>
      </c>
      <c r="L258" s="20" t="n">
        <v>0</v>
      </c>
      <c r="M258" s="20" t="n">
        <v>6933.32</v>
      </c>
      <c r="N258" s="20" t="n">
        <v>10400</v>
      </c>
      <c r="O258" s="20" t="n">
        <v>10682.83</v>
      </c>
      <c r="P258" s="20" t="n">
        <v>11190.85</v>
      </c>
      <c r="Q258" s="20" t="n">
        <v>11474.9</v>
      </c>
    </row>
    <row r="259">
      <c r="A259" s="19" t="inlineStr">
        <is>
          <t>Company 99</t>
        </is>
      </c>
      <c r="B259" s="19" t="inlineStr">
        <is>
          <t>Software</t>
        </is>
      </c>
      <c r="C259" s="19" t="inlineStr">
        <is>
          <t>Routing</t>
        </is>
      </c>
      <c r="D259" s="19" t="inlineStr">
        <is>
          <t>France</t>
        </is>
      </c>
      <c r="E259" s="20" t="n">
        <v>0</v>
      </c>
      <c r="F259" s="20" t="n">
        <v>0</v>
      </c>
      <c r="G259" s="20" t="n">
        <v>0</v>
      </c>
      <c r="H259" s="20" t="n">
        <v>0</v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600</v>
      </c>
      <c r="N259" s="20" t="n">
        <v>1500</v>
      </c>
      <c r="O259" s="20" t="n">
        <v>1848.41</v>
      </c>
      <c r="P259" s="20" t="n">
        <v>1933.9</v>
      </c>
      <c r="Q259" s="20" t="n">
        <v>1976.83</v>
      </c>
    </row>
    <row r="260">
      <c r="A260" s="19" t="inlineStr">
        <is>
          <t>Company 100</t>
        </is>
      </c>
      <c r="B260" s="19" t="inlineStr">
        <is>
          <t>Operations</t>
        </is>
      </c>
      <c r="C260" s="19" t="inlineStr">
        <is>
          <t>Market Gas</t>
        </is>
      </c>
      <c r="D260" s="19" t="inlineStr">
        <is>
          <t>Belgium</t>
        </is>
      </c>
      <c r="E260" s="20" t="n">
        <v>0</v>
      </c>
      <c r="F260" s="20" t="n">
        <v>0</v>
      </c>
      <c r="G260" s="20" t="n">
        <v>0</v>
      </c>
      <c r="H260" s="20" t="n">
        <v>0</v>
      </c>
      <c r="I260" s="20" t="n">
        <v>122916.67</v>
      </c>
      <c r="J260" s="20" t="n">
        <v>153064</v>
      </c>
      <c r="K260" s="20" t="n">
        <v>157542</v>
      </c>
      <c r="L260" s="20" t="n">
        <v>161820</v>
      </c>
      <c r="M260" s="20" t="n">
        <v>179046</v>
      </c>
      <c r="N260" s="20" t="n">
        <v>214555</v>
      </c>
      <c r="O260" s="20" t="n">
        <v>301000</v>
      </c>
      <c r="P260" s="20" t="n">
        <v>307758</v>
      </c>
      <c r="Q260" s="20" t="n">
        <v>334342.32</v>
      </c>
    </row>
    <row r="261">
      <c r="A261" s="19" t="inlineStr">
        <is>
          <t>Company 101</t>
        </is>
      </c>
      <c r="B261" s="19" t="inlineStr">
        <is>
          <t>Operations</t>
        </is>
      </c>
      <c r="C261" s="19" t="inlineStr">
        <is>
          <t>Shipper Gas</t>
        </is>
      </c>
      <c r="D261" s="19" t="inlineStr">
        <is>
          <t>UK</t>
        </is>
      </c>
      <c r="E261" s="20" t="n">
        <v>0</v>
      </c>
      <c r="F261" s="20" t="n">
        <v>0</v>
      </c>
      <c r="G261" s="20" t="n">
        <v>0</v>
      </c>
      <c r="H261" s="20" t="n">
        <v>0</v>
      </c>
      <c r="I261" s="20" t="n">
        <v>0</v>
      </c>
      <c r="J261" s="20" t="n">
        <v>41000</v>
      </c>
      <c r="K261" s="20" t="n">
        <v>66450</v>
      </c>
      <c r="L261" s="20" t="n">
        <v>66000</v>
      </c>
      <c r="M261" s="20" t="n">
        <v>66000</v>
      </c>
      <c r="N261" s="20" t="n">
        <v>55000</v>
      </c>
      <c r="O261" s="20" t="n">
        <v>68112</v>
      </c>
      <c r="P261" s="20" t="n">
        <v>55534.81</v>
      </c>
      <c r="Q261" s="20" t="n">
        <v>0</v>
      </c>
    </row>
    <row r="262">
      <c r="A262" s="19" t="inlineStr">
        <is>
          <t>Company 101</t>
        </is>
      </c>
      <c r="B262" s="19" t="inlineStr">
        <is>
          <t>Operations</t>
        </is>
      </c>
      <c r="C262" s="19" t="inlineStr">
        <is>
          <t>Market Gas</t>
        </is>
      </c>
      <c r="D262" s="19" t="inlineStr">
        <is>
          <t>UK</t>
        </is>
      </c>
      <c r="E262" s="20" t="n">
        <v>0</v>
      </c>
      <c r="F262" s="20" t="n">
        <v>0</v>
      </c>
      <c r="G262" s="20" t="n">
        <v>0</v>
      </c>
      <c r="H262" s="20" t="n">
        <v>0</v>
      </c>
      <c r="I262" s="20" t="n">
        <v>0</v>
      </c>
      <c r="J262" s="20" t="n">
        <v>0</v>
      </c>
      <c r="K262" s="20" t="n">
        <v>0</v>
      </c>
      <c r="L262" s="20" t="n">
        <v>0</v>
      </c>
      <c r="M262" s="20" t="n">
        <v>0</v>
      </c>
      <c r="N262" s="20" t="n">
        <v>0</v>
      </c>
      <c r="O262" s="20" t="n">
        <v>0</v>
      </c>
      <c r="P262" s="20" t="n">
        <v>15753.19</v>
      </c>
      <c r="Q262" s="20" t="n">
        <v>73071.48000000001</v>
      </c>
    </row>
    <row r="263">
      <c r="A263" s="19" t="inlineStr">
        <is>
          <t>Company 102</t>
        </is>
      </c>
      <c r="B263" s="19" t="inlineStr">
        <is>
          <t>Operations</t>
        </is>
      </c>
      <c r="C263" s="19" t="inlineStr">
        <is>
          <t>Shipper Gas</t>
        </is>
      </c>
      <c r="D263" s="19" t="inlineStr">
        <is>
          <t>Switzerland</t>
        </is>
      </c>
      <c r="E263" s="20" t="n">
        <v>0</v>
      </c>
      <c r="F263" s="20" t="n">
        <v>0</v>
      </c>
      <c r="G263" s="20" t="n">
        <v>0</v>
      </c>
      <c r="H263" s="20" t="n">
        <v>0</v>
      </c>
      <c r="I263" s="20" t="n">
        <v>0</v>
      </c>
      <c r="J263" s="20" t="n">
        <v>8954.16</v>
      </c>
      <c r="K263" s="20" t="n">
        <v>39849.44</v>
      </c>
      <c r="L263" s="20" t="n">
        <v>57531.27000000001</v>
      </c>
      <c r="M263" s="20" t="n">
        <v>57472.02</v>
      </c>
      <c r="N263" s="20" t="n">
        <v>58425.31</v>
      </c>
      <c r="O263" s="20" t="n">
        <v>57128.03094871795</v>
      </c>
      <c r="P263" s="20" t="n">
        <v>67078.62</v>
      </c>
      <c r="Q263" s="20" t="n">
        <v>64817.83427286359</v>
      </c>
    </row>
    <row r="264">
      <c r="A264" s="19" t="inlineStr">
        <is>
          <t>Company 103</t>
        </is>
      </c>
      <c r="B264" s="19" t="inlineStr">
        <is>
          <t>Software</t>
        </is>
      </c>
      <c r="C264" s="19" t="inlineStr">
        <is>
          <t>Chorus</t>
        </is>
      </c>
      <c r="D264" s="19" t="inlineStr">
        <is>
          <t>UK</t>
        </is>
      </c>
      <c r="E264" s="20" t="n">
        <v>0</v>
      </c>
      <c r="F264" s="20" t="n">
        <v>0</v>
      </c>
      <c r="G264" s="20" t="n">
        <v>0</v>
      </c>
      <c r="H264" s="20" t="n">
        <v>0</v>
      </c>
      <c r="I264" s="20" t="n">
        <v>0</v>
      </c>
      <c r="J264" s="20" t="n">
        <v>0</v>
      </c>
      <c r="K264" s="20" t="n">
        <v>0</v>
      </c>
      <c r="L264" s="20" t="n">
        <v>0</v>
      </c>
      <c r="M264" s="20" t="n">
        <v>0</v>
      </c>
      <c r="N264" s="20" t="n">
        <v>458.33</v>
      </c>
      <c r="O264" s="20" t="n">
        <v>5649.34</v>
      </c>
      <c r="P264" s="20" t="n">
        <v>18342.71</v>
      </c>
      <c r="Q264" s="20" t="n">
        <v>9566.6</v>
      </c>
    </row>
    <row r="265">
      <c r="A265" s="19" t="inlineStr">
        <is>
          <t>Company 103</t>
        </is>
      </c>
      <c r="B265" s="19" t="inlineStr">
        <is>
          <t>Software</t>
        </is>
      </c>
      <c r="C265" s="19" t="inlineStr">
        <is>
          <t>PowerTrak</t>
        </is>
      </c>
      <c r="D265" s="19" t="inlineStr">
        <is>
          <t>UK</t>
        </is>
      </c>
      <c r="E265" s="20" t="n">
        <v>0</v>
      </c>
      <c r="F265" s="20" t="n">
        <v>0</v>
      </c>
      <c r="G265" s="20" t="n">
        <v>0</v>
      </c>
      <c r="H265" s="20" t="n">
        <v>0</v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0" t="n">
        <v>0</v>
      </c>
      <c r="O265" s="20" t="n">
        <v>16725.72</v>
      </c>
      <c r="P265" s="20" t="n">
        <v>30531.78</v>
      </c>
      <c r="Q265" s="20" t="n">
        <v>31555.23999999999</v>
      </c>
    </row>
    <row r="266">
      <c r="A266" s="19" t="inlineStr">
        <is>
          <t>Company 103</t>
        </is>
      </c>
      <c r="B266" s="19" t="inlineStr">
        <is>
          <t>Software</t>
        </is>
      </c>
      <c r="C266" s="19" t="inlineStr">
        <is>
          <t>Routing</t>
        </is>
      </c>
      <c r="D266" s="19" t="inlineStr">
        <is>
          <t>UK</t>
        </is>
      </c>
      <c r="E266" s="20" t="n">
        <v>0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0</v>
      </c>
      <c r="K266" s="20" t="n">
        <v>0</v>
      </c>
      <c r="L266" s="20" t="n">
        <v>0</v>
      </c>
      <c r="M266" s="20" t="n">
        <v>0</v>
      </c>
      <c r="N266" s="20" t="n">
        <v>0</v>
      </c>
      <c r="O266" s="20" t="n">
        <v>528.58</v>
      </c>
      <c r="P266" s="20" t="n">
        <v>3606.46</v>
      </c>
      <c r="Q266" s="20" t="n">
        <v>3727.419999999999</v>
      </c>
    </row>
    <row r="267">
      <c r="A267" s="19" t="inlineStr">
        <is>
          <t>Company 103</t>
        </is>
      </c>
      <c r="B267" s="19" t="inlineStr">
        <is>
          <t>Software</t>
        </is>
      </c>
      <c r="C267" s="19" t="inlineStr">
        <is>
          <t>Hosting</t>
        </is>
      </c>
      <c r="D267" s="19" t="inlineStr">
        <is>
          <t>UK</t>
        </is>
      </c>
      <c r="E267" s="20" t="n">
        <v>0</v>
      </c>
      <c r="F267" s="20" t="n">
        <v>0</v>
      </c>
      <c r="G267" s="20" t="n">
        <v>0</v>
      </c>
      <c r="H267" s="20" t="n">
        <v>0</v>
      </c>
      <c r="I267" s="20" t="n">
        <v>0</v>
      </c>
      <c r="J267" s="20" t="n">
        <v>0</v>
      </c>
      <c r="K267" s="20" t="n">
        <v>0</v>
      </c>
      <c r="L267" s="20" t="n">
        <v>0</v>
      </c>
      <c r="M267" s="20" t="n">
        <v>0</v>
      </c>
      <c r="N267" s="20" t="n">
        <v>0</v>
      </c>
      <c r="O267" s="20" t="n">
        <v>14288.86</v>
      </c>
      <c r="P267" s="20" t="n">
        <v>24200</v>
      </c>
      <c r="Q267" s="20" t="n">
        <v>25037.10000000001</v>
      </c>
    </row>
    <row r="268">
      <c r="A268" s="19" t="inlineStr">
        <is>
          <t>Company 103</t>
        </is>
      </c>
      <c r="B268" s="19" t="inlineStr">
        <is>
          <t>Software</t>
        </is>
      </c>
      <c r="C268" s="19" t="inlineStr">
        <is>
          <t>Routing</t>
        </is>
      </c>
      <c r="D268" s="19" t="inlineStr">
        <is>
          <t>UK</t>
        </is>
      </c>
      <c r="E268" s="20" t="n">
        <v>0</v>
      </c>
      <c r="F268" s="20" t="n">
        <v>0</v>
      </c>
      <c r="G268" s="20" t="n">
        <v>0</v>
      </c>
      <c r="H268" s="20" t="n">
        <v>0</v>
      </c>
      <c r="I268" s="20" t="n">
        <v>0</v>
      </c>
      <c r="J268" s="20" t="n">
        <v>0</v>
      </c>
      <c r="K268" s="20" t="n">
        <v>0</v>
      </c>
      <c r="L268" s="20" t="n">
        <v>0</v>
      </c>
      <c r="M268" s="20" t="n">
        <v>0</v>
      </c>
      <c r="N268" s="20" t="n">
        <v>0</v>
      </c>
      <c r="O268" s="20" t="n">
        <v>0</v>
      </c>
      <c r="P268" s="20" t="n">
        <v>797.9400000000001</v>
      </c>
      <c r="Q268" s="20" t="n">
        <v>9723.780000000001</v>
      </c>
    </row>
    <row r="269">
      <c r="A269" s="19" t="inlineStr">
        <is>
          <t>Company 104</t>
        </is>
      </c>
      <c r="B269" s="19" t="inlineStr">
        <is>
          <t>Software</t>
        </is>
      </c>
      <c r="C269" s="19" t="inlineStr">
        <is>
          <t>ENOM</t>
        </is>
      </c>
      <c r="D269" s="19" t="inlineStr">
        <is>
          <t>Switzerland</t>
        </is>
      </c>
      <c r="E269" s="20" t="n">
        <v>0</v>
      </c>
      <c r="F269" s="20" t="n">
        <v>0</v>
      </c>
      <c r="G269" s="20" t="n">
        <v>0</v>
      </c>
      <c r="H269" s="20" t="n">
        <v>0</v>
      </c>
      <c r="I269" s="20" t="n">
        <v>0</v>
      </c>
      <c r="J269" s="20" t="n">
        <v>3680.54</v>
      </c>
      <c r="K269" s="20" t="n">
        <v>11053.1</v>
      </c>
      <c r="L269" s="20" t="n">
        <v>10926.92</v>
      </c>
      <c r="M269" s="20" t="n">
        <v>10654.79</v>
      </c>
      <c r="N269" s="20" t="n">
        <v>11579.98</v>
      </c>
      <c r="O269" s="20" t="n">
        <v>10706.20837606838</v>
      </c>
      <c r="P269" s="20" t="n">
        <v>7197.1</v>
      </c>
      <c r="Q269" s="20" t="n">
        <v>0</v>
      </c>
    </row>
    <row r="270">
      <c r="A270" s="19" t="inlineStr">
        <is>
          <t>Company 104</t>
        </is>
      </c>
      <c r="B270" s="19" t="inlineStr">
        <is>
          <t>Software</t>
        </is>
      </c>
      <c r="C270" s="19" t="inlineStr">
        <is>
          <t>Routing</t>
        </is>
      </c>
      <c r="D270" s="19" t="inlineStr">
        <is>
          <t>Switzerland</t>
        </is>
      </c>
      <c r="E270" s="20" t="n">
        <v>0</v>
      </c>
      <c r="F270" s="20" t="n">
        <v>0</v>
      </c>
      <c r="G270" s="20" t="n">
        <v>0</v>
      </c>
      <c r="H270" s="20" t="n">
        <v>0</v>
      </c>
      <c r="I270" s="20" t="n">
        <v>0</v>
      </c>
      <c r="J270" s="20" t="n">
        <v>282.01</v>
      </c>
      <c r="K270" s="20" t="n">
        <v>846.75</v>
      </c>
      <c r="L270" s="20" t="n">
        <v>837.2100000000002</v>
      </c>
      <c r="M270" s="20" t="n">
        <v>816.2400000000001</v>
      </c>
      <c r="N270" s="20" t="n">
        <v>1024.41</v>
      </c>
      <c r="O270" s="20" t="n">
        <v>1714.524273504273</v>
      </c>
      <c r="P270" s="20" t="n">
        <v>1104.13</v>
      </c>
      <c r="Q270" s="20" t="n">
        <v>0</v>
      </c>
    </row>
    <row r="271">
      <c r="A271" s="19" t="inlineStr">
        <is>
          <t>Company 105</t>
        </is>
      </c>
      <c r="B271" s="19" t="inlineStr">
        <is>
          <t>Software</t>
        </is>
      </c>
      <c r="C271" s="19" t="inlineStr">
        <is>
          <t>Chorus</t>
        </is>
      </c>
      <c r="D271" s="19" t="inlineStr">
        <is>
          <t>Germany</t>
        </is>
      </c>
      <c r="E271" s="20" t="n">
        <v>0</v>
      </c>
      <c r="F271" s="20" t="n">
        <v>0</v>
      </c>
      <c r="G271" s="20" t="n">
        <v>0</v>
      </c>
      <c r="H271" s="20" t="n">
        <v>0</v>
      </c>
      <c r="I271" s="20" t="n">
        <v>0</v>
      </c>
      <c r="J271" s="20" t="n">
        <v>0</v>
      </c>
      <c r="K271" s="20" t="n">
        <v>0</v>
      </c>
      <c r="L271" s="20" t="n">
        <v>0</v>
      </c>
      <c r="M271" s="20" t="n">
        <v>0</v>
      </c>
      <c r="N271" s="20" t="n">
        <v>13733.88</v>
      </c>
      <c r="O271" s="20" t="n">
        <v>16616.96085470086</v>
      </c>
      <c r="P271" s="20" t="n">
        <v>12218.47</v>
      </c>
      <c r="Q271" s="20" t="n">
        <v>12020.89824587706</v>
      </c>
    </row>
    <row r="272">
      <c r="A272" s="19" t="inlineStr">
        <is>
          <t>Company 105</t>
        </is>
      </c>
      <c r="B272" s="19" t="inlineStr">
        <is>
          <t>Software</t>
        </is>
      </c>
      <c r="C272" s="19" t="inlineStr">
        <is>
          <t>Routing</t>
        </is>
      </c>
      <c r="D272" s="19" t="inlineStr">
        <is>
          <t>Germany</t>
        </is>
      </c>
      <c r="E272" s="20" t="n">
        <v>0</v>
      </c>
      <c r="F272" s="20" t="n">
        <v>0</v>
      </c>
      <c r="G272" s="20" t="n">
        <v>0</v>
      </c>
      <c r="H272" s="20" t="n">
        <v>0</v>
      </c>
      <c r="I272" s="20" t="n">
        <v>0</v>
      </c>
      <c r="J272" s="20" t="n">
        <v>0</v>
      </c>
      <c r="K272" s="20" t="n">
        <v>0</v>
      </c>
      <c r="L272" s="20" t="n">
        <v>0</v>
      </c>
      <c r="M272" s="20" t="n">
        <v>0</v>
      </c>
      <c r="N272" s="20" t="n">
        <v>0</v>
      </c>
      <c r="O272" s="20" t="n">
        <v>0</v>
      </c>
      <c r="P272" s="20" t="n">
        <v>5684.380000000001</v>
      </c>
      <c r="Q272" s="20" t="n">
        <v>8278.24</v>
      </c>
    </row>
    <row r="273">
      <c r="A273" s="19" t="inlineStr">
        <is>
          <t>Company 106</t>
        </is>
      </c>
      <c r="B273" s="19" t="inlineStr">
        <is>
          <t>Operations</t>
        </is>
      </c>
      <c r="C273" s="19" t="inlineStr">
        <is>
          <t>Shipper Gas</t>
        </is>
      </c>
      <c r="D273" s="19" t="inlineStr">
        <is>
          <t>Spain</t>
        </is>
      </c>
      <c r="E273" s="20" t="n">
        <v>0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0</v>
      </c>
      <c r="K273" s="20" t="n">
        <v>73400</v>
      </c>
      <c r="L273" s="20" t="n">
        <v>104400</v>
      </c>
      <c r="M273" s="20" t="n">
        <v>108450</v>
      </c>
      <c r="N273" s="20" t="n">
        <v>126000</v>
      </c>
      <c r="O273" s="20" t="n">
        <v>153000</v>
      </c>
      <c r="P273" s="20" t="n">
        <v>153000</v>
      </c>
      <c r="Q273" s="20" t="n">
        <v>89250</v>
      </c>
    </row>
    <row r="274">
      <c r="A274" s="19" t="inlineStr">
        <is>
          <t>Company 106</t>
        </is>
      </c>
      <c r="B274" s="19" t="inlineStr">
        <is>
          <t>Software</t>
        </is>
      </c>
      <c r="C274" s="19" t="inlineStr">
        <is>
          <t>Hosting</t>
        </is>
      </c>
      <c r="D274" s="19" t="inlineStr">
        <is>
          <t>Spain</t>
        </is>
      </c>
      <c r="E274" s="20" t="n">
        <v>0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0</v>
      </c>
      <c r="K274" s="20" t="n">
        <v>10480</v>
      </c>
      <c r="L274" s="20" t="n">
        <v>9000</v>
      </c>
      <c r="M274" s="20" t="n">
        <v>9000</v>
      </c>
      <c r="N274" s="20" t="n">
        <v>9000</v>
      </c>
      <c r="O274" s="20" t="n">
        <v>9000</v>
      </c>
      <c r="P274" s="20" t="n">
        <v>8976.240000000002</v>
      </c>
      <c r="Q274" s="20" t="n">
        <v>4510.04</v>
      </c>
    </row>
    <row r="275">
      <c r="A275" s="19" t="inlineStr">
        <is>
          <t>Company 106</t>
        </is>
      </c>
      <c r="B275" s="19" t="inlineStr">
        <is>
          <t>Software</t>
        </is>
      </c>
      <c r="C275" s="19" t="inlineStr">
        <is>
          <t>EuroRunner</t>
        </is>
      </c>
      <c r="D275" s="19" t="inlineStr">
        <is>
          <t>Spain</t>
        </is>
      </c>
      <c r="E275" s="20" t="n">
        <v>0</v>
      </c>
      <c r="F275" s="20" t="n">
        <v>0</v>
      </c>
      <c r="G275" s="20" t="n">
        <v>0</v>
      </c>
      <c r="H275" s="20" t="n">
        <v>0</v>
      </c>
      <c r="I275" s="20" t="n">
        <v>0</v>
      </c>
      <c r="J275" s="20" t="n">
        <v>0</v>
      </c>
      <c r="K275" s="20" t="n">
        <v>4166.67</v>
      </c>
      <c r="L275" s="20" t="n">
        <v>100416.51</v>
      </c>
      <c r="M275" s="20" t="n">
        <v>193750.04</v>
      </c>
      <c r="N275" s="20" t="n">
        <v>120000.04</v>
      </c>
      <c r="O275" s="20" t="n">
        <v>204896.02</v>
      </c>
      <c r="P275" s="20" t="n">
        <v>129083.64</v>
      </c>
      <c r="Q275" s="20" t="n">
        <v>7093.74</v>
      </c>
    </row>
    <row r="276">
      <c r="A276" s="19" t="inlineStr">
        <is>
          <t>Company 106</t>
        </is>
      </c>
      <c r="B276" s="19" t="inlineStr">
        <is>
          <t>Software</t>
        </is>
      </c>
      <c r="C276" s="19" t="inlineStr">
        <is>
          <t>Hosting</t>
        </is>
      </c>
      <c r="D276" s="19" t="inlineStr">
        <is>
          <t>Spain</t>
        </is>
      </c>
      <c r="E276" s="20" t="n">
        <v>0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0</v>
      </c>
      <c r="K276" s="20" t="n">
        <v>0</v>
      </c>
      <c r="L276" s="20" t="n">
        <v>29883.32999999999</v>
      </c>
      <c r="M276" s="20" t="n">
        <v>35349.99999999999</v>
      </c>
      <c r="N276" s="20" t="n">
        <v>35599.99999999999</v>
      </c>
      <c r="O276" s="20" t="n">
        <v>37750.38</v>
      </c>
      <c r="P276" s="20" t="n">
        <v>50618.23</v>
      </c>
      <c r="Q276" s="20" t="n">
        <v>4398.72</v>
      </c>
    </row>
    <row r="277">
      <c r="A277" s="19" t="inlineStr">
        <is>
          <t>Company 106</t>
        </is>
      </c>
      <c r="B277" s="19" t="inlineStr">
        <is>
          <t>Software</t>
        </is>
      </c>
      <c r="C277" s="19" t="inlineStr">
        <is>
          <t>Routing</t>
        </is>
      </c>
      <c r="D277" s="19" t="inlineStr">
        <is>
          <t>Spain</t>
        </is>
      </c>
      <c r="E277" s="20" t="n">
        <v>0</v>
      </c>
      <c r="F277" s="20" t="n">
        <v>0</v>
      </c>
      <c r="G277" s="20" t="n">
        <v>0</v>
      </c>
      <c r="H277" s="20" t="n">
        <v>0</v>
      </c>
      <c r="I277" s="20" t="n">
        <v>0</v>
      </c>
      <c r="J277" s="20" t="n">
        <v>0</v>
      </c>
      <c r="K277" s="20" t="n">
        <v>0</v>
      </c>
      <c r="L277" s="20" t="n">
        <v>2475</v>
      </c>
      <c r="M277" s="20" t="n">
        <v>6825</v>
      </c>
      <c r="N277" s="20" t="n">
        <v>8025</v>
      </c>
      <c r="O277" s="20" t="n">
        <v>10560.85</v>
      </c>
      <c r="P277" s="20" t="n">
        <v>914.15</v>
      </c>
      <c r="Q277" s="20" t="n">
        <v>0</v>
      </c>
    </row>
    <row r="278">
      <c r="A278" s="19" t="inlineStr">
        <is>
          <t>Company 107</t>
        </is>
      </c>
      <c r="B278" s="19" t="inlineStr">
        <is>
          <t>Software</t>
        </is>
      </c>
      <c r="C278" s="19" t="inlineStr">
        <is>
          <t>Hosting</t>
        </is>
      </c>
      <c r="D278" s="19" t="inlineStr">
        <is>
          <t>UK</t>
        </is>
      </c>
      <c r="E278" s="20" t="n">
        <v>0</v>
      </c>
      <c r="F278" s="20" t="n">
        <v>0</v>
      </c>
      <c r="G278" s="20" t="n">
        <v>0</v>
      </c>
      <c r="H278" s="20" t="n">
        <v>0</v>
      </c>
      <c r="I278" s="20" t="n">
        <v>0</v>
      </c>
      <c r="J278" s="20" t="n">
        <v>0</v>
      </c>
      <c r="K278" s="20" t="n">
        <v>8980.049999999999</v>
      </c>
      <c r="L278" s="20" t="n">
        <v>9000</v>
      </c>
      <c r="M278" s="20" t="n">
        <v>9000</v>
      </c>
      <c r="N278" s="20" t="n">
        <v>9000</v>
      </c>
      <c r="O278" s="20" t="n">
        <v>9045.959999999999</v>
      </c>
      <c r="P278" s="20" t="n">
        <v>9000</v>
      </c>
      <c r="Q278" s="20" t="n">
        <v>9094.040000000001</v>
      </c>
    </row>
    <row r="279">
      <c r="A279" s="19" t="inlineStr">
        <is>
          <t>Company 108</t>
        </is>
      </c>
      <c r="B279" s="19" t="inlineStr">
        <is>
          <t>Operations</t>
        </is>
      </c>
      <c r="C279" s="19" t="inlineStr">
        <is>
          <t>Market Gas</t>
        </is>
      </c>
      <c r="D279" s="19" t="inlineStr">
        <is>
          <t>Hungary</t>
        </is>
      </c>
      <c r="E279" s="20" t="n">
        <v>0</v>
      </c>
      <c r="F279" s="20" t="n">
        <v>0</v>
      </c>
      <c r="G279" s="20" t="n">
        <v>0</v>
      </c>
      <c r="H279" s="20" t="n">
        <v>0</v>
      </c>
      <c r="I279" s="20" t="n">
        <v>0</v>
      </c>
      <c r="J279" s="20" t="n">
        <v>0</v>
      </c>
      <c r="K279" s="20" t="n">
        <v>27500</v>
      </c>
      <c r="L279" s="20" t="n">
        <v>30000</v>
      </c>
      <c r="M279" s="20" t="n">
        <v>30000</v>
      </c>
      <c r="N279" s="20" t="n">
        <v>30000</v>
      </c>
      <c r="O279" s="20" t="n">
        <v>31650</v>
      </c>
      <c r="P279" s="20" t="n">
        <v>32918</v>
      </c>
      <c r="Q279" s="20" t="n">
        <v>33852.00000000001</v>
      </c>
    </row>
    <row r="280">
      <c r="A280" s="19" t="inlineStr">
        <is>
          <t>Company 109</t>
        </is>
      </c>
      <c r="B280" s="19" t="inlineStr">
        <is>
          <t>Power</t>
        </is>
      </c>
      <c r="C280" s="19" t="inlineStr">
        <is>
          <t>Shipper Power</t>
        </is>
      </c>
      <c r="D280" s="19" t="inlineStr">
        <is>
          <t>UK</t>
        </is>
      </c>
      <c r="E280" s="20" t="n">
        <v>0</v>
      </c>
      <c r="F280" s="20" t="n">
        <v>0</v>
      </c>
      <c r="G280" s="20" t="n">
        <v>0</v>
      </c>
      <c r="H280" s="20" t="n">
        <v>0</v>
      </c>
      <c r="I280" s="20" t="n">
        <v>0</v>
      </c>
      <c r="J280" s="20" t="n">
        <v>0</v>
      </c>
      <c r="K280" s="20" t="n">
        <v>0</v>
      </c>
      <c r="L280" s="20" t="n">
        <v>107650</v>
      </c>
      <c r="M280" s="20" t="n">
        <v>153700</v>
      </c>
      <c r="N280" s="20" t="n">
        <v>151200</v>
      </c>
      <c r="O280" s="20" t="n">
        <v>85200</v>
      </c>
      <c r="P280" s="20" t="n">
        <v>79200</v>
      </c>
      <c r="Q280" s="20" t="n">
        <v>13200</v>
      </c>
    </row>
    <row r="281">
      <c r="A281" s="19" t="inlineStr">
        <is>
          <t>Company 110</t>
        </is>
      </c>
      <c r="B281" s="19" t="inlineStr">
        <is>
          <t>Software</t>
        </is>
      </c>
      <c r="C281" s="19" t="inlineStr">
        <is>
          <t>ENOM+</t>
        </is>
      </c>
      <c r="D281" s="19" t="inlineStr">
        <is>
          <t>UK</t>
        </is>
      </c>
      <c r="E281" s="20" t="n">
        <v>10208.35</v>
      </c>
      <c r="F281" s="20" t="n">
        <v>17500</v>
      </c>
      <c r="G281" s="20" t="n">
        <v>17500</v>
      </c>
      <c r="H281" s="20" t="n">
        <v>17500</v>
      </c>
      <c r="I281" s="20" t="n">
        <v>17500</v>
      </c>
      <c r="J281" s="20" t="n">
        <v>17500</v>
      </c>
      <c r="K281" s="20" t="n">
        <v>17500</v>
      </c>
      <c r="L281" s="20" t="n">
        <v>18958.33</v>
      </c>
      <c r="M281" s="20" t="n">
        <v>18958.33</v>
      </c>
      <c r="N281" s="20" t="n">
        <v>16041.67</v>
      </c>
      <c r="O281" s="20" t="n">
        <v>14664.41</v>
      </c>
      <c r="P281" s="20" t="n">
        <v>17547.95</v>
      </c>
      <c r="Q281" s="20" t="n">
        <v>5801.05</v>
      </c>
    </row>
    <row r="282">
      <c r="A282" s="19" t="inlineStr">
        <is>
          <t>Company 110</t>
        </is>
      </c>
      <c r="B282" s="19" t="inlineStr">
        <is>
          <t>Software</t>
        </is>
      </c>
      <c r="C282" s="19" t="inlineStr">
        <is>
          <t>Routing</t>
        </is>
      </c>
      <c r="D282" s="19" t="inlineStr">
        <is>
          <t>UK</t>
        </is>
      </c>
      <c r="E282" s="20" t="n">
        <v>0</v>
      </c>
      <c r="F282" s="20" t="n">
        <v>8755.849999999999</v>
      </c>
      <c r="G282" s="20" t="n">
        <v>16853.3</v>
      </c>
      <c r="H282" s="20" t="n">
        <v>21395.85</v>
      </c>
      <c r="I282" s="20" t="n">
        <v>23700</v>
      </c>
      <c r="J282" s="20" t="n">
        <v>23700</v>
      </c>
      <c r="K282" s="20" t="n">
        <v>13561.65</v>
      </c>
      <c r="L282" s="20" t="n">
        <v>3233.35</v>
      </c>
      <c r="M282" s="20" t="n">
        <v>975</v>
      </c>
      <c r="N282" s="20" t="n">
        <v>825</v>
      </c>
      <c r="O282" s="20" t="n">
        <v>755.15</v>
      </c>
      <c r="P282" s="20" t="n">
        <v>902.47</v>
      </c>
      <c r="Q282" s="20" t="n">
        <v>299.73</v>
      </c>
    </row>
    <row r="283">
      <c r="A283" s="19" t="inlineStr">
        <is>
          <t>Company 111</t>
        </is>
      </c>
      <c r="B283" s="19" t="inlineStr">
        <is>
          <t>Software</t>
        </is>
      </c>
      <c r="C283" s="19" t="inlineStr">
        <is>
          <t>Chorus</t>
        </is>
      </c>
      <c r="D283" s="19" t="inlineStr">
        <is>
          <t>Austria</t>
        </is>
      </c>
      <c r="E283" s="20" t="n">
        <v>0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0</v>
      </c>
      <c r="K283" s="20" t="n">
        <v>0</v>
      </c>
      <c r="L283" s="20" t="n">
        <v>3749.9</v>
      </c>
      <c r="M283" s="20" t="n">
        <v>8199.91</v>
      </c>
      <c r="N283" s="20" t="n">
        <v>10050.02</v>
      </c>
      <c r="O283" s="20" t="n">
        <v>10240.98</v>
      </c>
      <c r="P283" s="20" t="n">
        <v>8220.030000000001</v>
      </c>
      <c r="Q283" s="20" t="n">
        <v>6339.42</v>
      </c>
    </row>
    <row r="284">
      <c r="A284" s="19" t="inlineStr">
        <is>
          <t>Company 111</t>
        </is>
      </c>
      <c r="B284" s="19" t="inlineStr">
        <is>
          <t>Software</t>
        </is>
      </c>
      <c r="C284" s="19" t="inlineStr">
        <is>
          <t>Routing</t>
        </is>
      </c>
      <c r="D284" s="19" t="inlineStr">
        <is>
          <t>Austria</t>
        </is>
      </c>
      <c r="E284" s="20" t="n">
        <v>0</v>
      </c>
      <c r="F284" s="20" t="n">
        <v>0</v>
      </c>
      <c r="G284" s="20" t="n">
        <v>0</v>
      </c>
      <c r="H284" s="20" t="n">
        <v>0</v>
      </c>
      <c r="I284" s="20" t="n">
        <v>0</v>
      </c>
      <c r="J284" s="20" t="n">
        <v>0</v>
      </c>
      <c r="K284" s="20" t="n">
        <v>0</v>
      </c>
      <c r="L284" s="20" t="n">
        <v>0</v>
      </c>
      <c r="M284" s="20" t="n">
        <v>0</v>
      </c>
      <c r="N284" s="20" t="n">
        <v>0</v>
      </c>
      <c r="O284" s="20" t="n">
        <v>0</v>
      </c>
      <c r="P284" s="20" t="n">
        <v>2046.08</v>
      </c>
      <c r="Q284" s="20" t="n">
        <v>4366.780000000001</v>
      </c>
    </row>
    <row r="285">
      <c r="A285" s="19" t="inlineStr">
        <is>
          <t>Company 112</t>
        </is>
      </c>
      <c r="B285" s="19" t="inlineStr">
        <is>
          <t>Software</t>
        </is>
      </c>
      <c r="C285" s="19" t="inlineStr">
        <is>
          <t>Routing</t>
        </is>
      </c>
      <c r="D285" s="19" t="inlineStr">
        <is>
          <t>Singapore</t>
        </is>
      </c>
      <c r="E285" s="20" t="n">
        <v>0</v>
      </c>
      <c r="F285" s="20" t="n">
        <v>0</v>
      </c>
      <c r="G285" s="20" t="n">
        <v>0</v>
      </c>
      <c r="H285" s="20" t="n">
        <v>0</v>
      </c>
      <c r="I285" s="20" t="n">
        <v>0</v>
      </c>
      <c r="J285" s="20" t="n">
        <v>0</v>
      </c>
      <c r="K285" s="20" t="n">
        <v>0</v>
      </c>
      <c r="L285" s="20" t="n">
        <v>0</v>
      </c>
      <c r="M285" s="20" t="n">
        <v>3933.07</v>
      </c>
      <c r="N285" s="20" t="n">
        <v>5533.26</v>
      </c>
      <c r="O285" s="20" t="n">
        <v>7790.43</v>
      </c>
      <c r="P285" s="20" t="n">
        <v>8980.139999999999</v>
      </c>
      <c r="Q285" s="20" t="n">
        <v>9199.119999999999</v>
      </c>
    </row>
    <row r="286">
      <c r="A286" s="19" t="inlineStr">
        <is>
          <t>Company 112</t>
        </is>
      </c>
      <c r="B286" s="19" t="inlineStr">
        <is>
          <t>Software</t>
        </is>
      </c>
      <c r="C286" s="19" t="inlineStr">
        <is>
          <t>Hosting</t>
        </is>
      </c>
      <c r="D286" s="19" t="inlineStr">
        <is>
          <t>Singapore</t>
        </is>
      </c>
      <c r="E286" s="20" t="n">
        <v>0</v>
      </c>
      <c r="F286" s="20" t="n">
        <v>0</v>
      </c>
      <c r="G286" s="20" t="n">
        <v>0</v>
      </c>
      <c r="H286" s="20" t="n">
        <v>0</v>
      </c>
      <c r="I286" s="20" t="n">
        <v>0</v>
      </c>
      <c r="J286" s="20" t="n">
        <v>0</v>
      </c>
      <c r="K286" s="20" t="n">
        <v>0</v>
      </c>
      <c r="L286" s="20" t="n">
        <v>0</v>
      </c>
      <c r="M286" s="20" t="n">
        <v>19983.33</v>
      </c>
      <c r="N286" s="20" t="n">
        <v>22900</v>
      </c>
      <c r="O286" s="20" t="n">
        <v>22519.33</v>
      </c>
      <c r="P286" s="20" t="n">
        <v>23127.04</v>
      </c>
      <c r="Q286" s="20" t="n">
        <v>22933.8</v>
      </c>
    </row>
    <row r="287">
      <c r="A287" s="19" t="inlineStr">
        <is>
          <t>Company 112</t>
        </is>
      </c>
      <c r="B287" s="19" t="inlineStr">
        <is>
          <t>Software</t>
        </is>
      </c>
      <c r="C287" s="19" t="inlineStr">
        <is>
          <t>PowerTrak</t>
        </is>
      </c>
      <c r="D287" s="19" t="inlineStr">
        <is>
          <t>Singapore</t>
        </is>
      </c>
      <c r="E287" s="20" t="n">
        <v>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0</v>
      </c>
      <c r="K287" s="20" t="n">
        <v>0</v>
      </c>
      <c r="L287" s="20" t="n">
        <v>0</v>
      </c>
      <c r="M287" s="20" t="n">
        <v>41916.39999999999</v>
      </c>
      <c r="N287" s="20" t="n">
        <v>52708.27000000001</v>
      </c>
      <c r="O287" s="20" t="n">
        <v>45935.47000000001</v>
      </c>
      <c r="P287" s="20" t="n">
        <v>47474.18</v>
      </c>
      <c r="Q287" s="20" t="n">
        <v>48235.38</v>
      </c>
    </row>
    <row r="288">
      <c r="A288" s="19" t="inlineStr">
        <is>
          <t>Company 113</t>
        </is>
      </c>
      <c r="B288" s="19" t="inlineStr">
        <is>
          <t>Operations</t>
        </is>
      </c>
      <c r="C288" s="19" t="inlineStr">
        <is>
          <t>Shipper Gas</t>
        </is>
      </c>
      <c r="D288" s="19" t="inlineStr">
        <is>
          <t>Norway</t>
        </is>
      </c>
      <c r="E288" s="20" t="n">
        <v>0</v>
      </c>
      <c r="F288" s="20" t="n">
        <v>0</v>
      </c>
      <c r="G288" s="20" t="n">
        <v>0</v>
      </c>
      <c r="H288" s="20" t="n">
        <v>0</v>
      </c>
      <c r="I288" s="20" t="n">
        <v>0</v>
      </c>
      <c r="J288" s="20" t="n">
        <v>0</v>
      </c>
      <c r="K288" s="20" t="n">
        <v>0</v>
      </c>
      <c r="L288" s="20" t="n">
        <v>0</v>
      </c>
      <c r="M288" s="20" t="n">
        <v>57250</v>
      </c>
      <c r="N288" s="20" t="n">
        <v>129000</v>
      </c>
      <c r="O288" s="20" t="n">
        <v>131900</v>
      </c>
      <c r="P288" s="20" t="n">
        <v>146740</v>
      </c>
      <c r="Q288" s="20" t="n">
        <v>152449.2</v>
      </c>
    </row>
    <row r="289">
      <c r="A289" s="19" t="inlineStr">
        <is>
          <t>Company 114</t>
        </is>
      </c>
      <c r="B289" s="19" t="inlineStr">
        <is>
          <t>Software</t>
        </is>
      </c>
      <c r="C289" s="19" t="inlineStr">
        <is>
          <t>Chorus</t>
        </is>
      </c>
      <c r="D289" s="19" t="inlineStr">
        <is>
          <t>Netherlands</t>
        </is>
      </c>
      <c r="E289" s="20" t="n">
        <v>0</v>
      </c>
      <c r="F289" s="20" t="n">
        <v>0</v>
      </c>
      <c r="G289" s="20" t="n">
        <v>0</v>
      </c>
      <c r="H289" s="20" t="n">
        <v>0</v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6405</v>
      </c>
      <c r="N289" s="20" t="n">
        <v>12810</v>
      </c>
      <c r="O289" s="20" t="n">
        <v>12827.452</v>
      </c>
      <c r="P289" s="20" t="n">
        <v>12222.49</v>
      </c>
      <c r="Q289" s="20" t="n">
        <v>12090.19</v>
      </c>
    </row>
    <row r="290">
      <c r="A290" s="19" t="inlineStr">
        <is>
          <t>Company 114</t>
        </is>
      </c>
      <c r="B290" s="19" t="inlineStr">
        <is>
          <t>Software</t>
        </is>
      </c>
      <c r="C290" s="19" t="inlineStr">
        <is>
          <t>Routing</t>
        </is>
      </c>
      <c r="D290" s="19" t="inlineStr">
        <is>
          <t>Netherlands</t>
        </is>
      </c>
      <c r="E290" s="20" t="n">
        <v>0</v>
      </c>
      <c r="F290" s="20" t="n">
        <v>0</v>
      </c>
      <c r="G290" s="20" t="n">
        <v>0</v>
      </c>
      <c r="H290" s="20" t="n">
        <v>0</v>
      </c>
      <c r="I290" s="20" t="n">
        <v>0</v>
      </c>
      <c r="J290" s="20" t="n">
        <v>0</v>
      </c>
      <c r="K290" s="20" t="n">
        <v>0</v>
      </c>
      <c r="L290" s="20" t="n">
        <v>0</v>
      </c>
      <c r="M290" s="20" t="n">
        <v>0</v>
      </c>
      <c r="N290" s="20" t="n">
        <v>0</v>
      </c>
      <c r="O290" s="20" t="n">
        <v>0</v>
      </c>
      <c r="P290" s="20" t="n">
        <v>796.55</v>
      </c>
      <c r="Q290" s="20" t="n">
        <v>1642.05</v>
      </c>
    </row>
    <row r="291">
      <c r="A291" s="19" t="inlineStr">
        <is>
          <t>Company 115</t>
        </is>
      </c>
      <c r="B291" s="19" t="inlineStr">
        <is>
          <t>Operations</t>
        </is>
      </c>
      <c r="C291" s="19" t="inlineStr">
        <is>
          <t>Shipper Gas</t>
        </is>
      </c>
      <c r="D291" s="19" t="inlineStr">
        <is>
          <t>Netherlands</t>
        </is>
      </c>
      <c r="E291" s="20" t="n">
        <v>0</v>
      </c>
      <c r="F291" s="20" t="n">
        <v>0</v>
      </c>
      <c r="G291" s="20" t="n">
        <v>0</v>
      </c>
      <c r="H291" s="20" t="n">
        <v>0</v>
      </c>
      <c r="I291" s="20" t="n">
        <v>0</v>
      </c>
      <c r="J291" s="20" t="n">
        <v>0</v>
      </c>
      <c r="K291" s="20" t="n">
        <v>0</v>
      </c>
      <c r="L291" s="20" t="n">
        <v>0</v>
      </c>
      <c r="M291" s="20" t="n">
        <v>5298.02</v>
      </c>
      <c r="N291" s="20" t="n">
        <v>17655.14</v>
      </c>
      <c r="O291" s="20" t="n">
        <v>10756.94196581196</v>
      </c>
      <c r="P291" s="20" t="n">
        <v>20662.29</v>
      </c>
      <c r="Q291" s="20" t="n">
        <v>13736.29760719641</v>
      </c>
    </row>
    <row r="292">
      <c r="A292" s="19" t="inlineStr">
        <is>
          <t>Company 116</t>
        </is>
      </c>
      <c r="B292" s="19" t="inlineStr">
        <is>
          <t>Software</t>
        </is>
      </c>
      <c r="C292" s="19" t="inlineStr">
        <is>
          <t>Chorus</t>
        </is>
      </c>
      <c r="D292" s="19" t="inlineStr">
        <is>
          <t>Czech Republic</t>
        </is>
      </c>
      <c r="E292" s="20" t="n">
        <v>0</v>
      </c>
      <c r="F292" s="20" t="n">
        <v>0</v>
      </c>
      <c r="G292" s="20" t="n">
        <v>0</v>
      </c>
      <c r="H292" s="20" t="n">
        <v>0</v>
      </c>
      <c r="I292" s="20" t="n">
        <v>0</v>
      </c>
      <c r="J292" s="20" t="n">
        <v>0</v>
      </c>
      <c r="K292" s="20" t="n">
        <v>0</v>
      </c>
      <c r="L292" s="20" t="n">
        <v>0</v>
      </c>
      <c r="M292" s="20" t="n">
        <v>3122.42</v>
      </c>
      <c r="N292" s="20" t="n">
        <v>12462.72</v>
      </c>
      <c r="O292" s="20" t="n">
        <v>12300.3882051282</v>
      </c>
      <c r="P292" s="20" t="n">
        <v>10995.24</v>
      </c>
      <c r="Q292" s="20" t="n">
        <v>8667.836086956522</v>
      </c>
    </row>
    <row r="293">
      <c r="A293" s="19" t="inlineStr">
        <is>
          <t>Company 116</t>
        </is>
      </c>
      <c r="B293" s="19" t="inlineStr">
        <is>
          <t>Software</t>
        </is>
      </c>
      <c r="C293" s="19" t="inlineStr">
        <is>
          <t>Routing</t>
        </is>
      </c>
      <c r="D293" s="19" t="inlineStr">
        <is>
          <t>Czech Republic</t>
        </is>
      </c>
      <c r="E293" s="20" t="n">
        <v>0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0</v>
      </c>
      <c r="K293" s="20" t="n">
        <v>0</v>
      </c>
      <c r="L293" s="20" t="n">
        <v>0</v>
      </c>
      <c r="M293" s="20" t="n">
        <v>0</v>
      </c>
      <c r="N293" s="20" t="n">
        <v>0</v>
      </c>
      <c r="O293" s="20" t="n">
        <v>0</v>
      </c>
      <c r="P293" s="20" t="n">
        <v>1085.6</v>
      </c>
      <c r="Q293" s="20" t="n">
        <v>4398.096</v>
      </c>
    </row>
    <row r="294">
      <c r="A294" s="19" t="inlineStr">
        <is>
          <t>Company 117</t>
        </is>
      </c>
      <c r="B294" s="19" t="inlineStr">
        <is>
          <t>Software</t>
        </is>
      </c>
      <c r="C294" s="19" t="inlineStr">
        <is>
          <t>ENOM+</t>
        </is>
      </c>
      <c r="D294" s="19" t="inlineStr">
        <is>
          <t>Switzerland</t>
        </is>
      </c>
      <c r="E294" s="20" t="n">
        <v>14500</v>
      </c>
      <c r="F294" s="20" t="n">
        <v>14500</v>
      </c>
      <c r="G294" s="20" t="n">
        <v>14500</v>
      </c>
      <c r="H294" s="20" t="n">
        <v>14500</v>
      </c>
      <c r="I294" s="20" t="n">
        <v>14500</v>
      </c>
      <c r="J294" s="20" t="n">
        <v>14500</v>
      </c>
      <c r="K294" s="20" t="n">
        <v>14500</v>
      </c>
      <c r="L294" s="20" t="n">
        <v>14500</v>
      </c>
      <c r="M294" s="20" t="n">
        <v>15783.33</v>
      </c>
      <c r="N294" s="20" t="n">
        <v>29900</v>
      </c>
      <c r="O294" s="20" t="n">
        <v>29881.71</v>
      </c>
      <c r="P294" s="20" t="n">
        <v>17233.43</v>
      </c>
      <c r="Q294" s="20" t="n">
        <v>16105.94</v>
      </c>
    </row>
    <row r="295">
      <c r="A295" s="19" t="inlineStr">
        <is>
          <t>Company 117</t>
        </is>
      </c>
      <c r="B295" s="19" t="inlineStr">
        <is>
          <t>Software</t>
        </is>
      </c>
      <c r="C295" s="19" t="inlineStr">
        <is>
          <t>Routing</t>
        </is>
      </c>
      <c r="D295" s="19" t="inlineStr">
        <is>
          <t>Switzerland</t>
        </is>
      </c>
      <c r="E295" s="20" t="n">
        <v>19426.01</v>
      </c>
      <c r="F295" s="20" t="n">
        <v>21944.5</v>
      </c>
      <c r="G295" s="20" t="n">
        <v>29013.36</v>
      </c>
      <c r="H295" s="20" t="n">
        <v>31600</v>
      </c>
      <c r="I295" s="20" t="n">
        <v>31800</v>
      </c>
      <c r="J295" s="20" t="n">
        <v>31800</v>
      </c>
      <c r="K295" s="20" t="n">
        <v>31250</v>
      </c>
      <c r="L295" s="20" t="n">
        <v>33400</v>
      </c>
      <c r="M295" s="20" t="n">
        <v>35410</v>
      </c>
      <c r="N295" s="20" t="n">
        <v>43140</v>
      </c>
      <c r="O295" s="20" t="n">
        <v>47181.85</v>
      </c>
      <c r="P295" s="20" t="n">
        <v>10466.84</v>
      </c>
      <c r="Q295" s="20" t="n">
        <v>7010.41</v>
      </c>
    </row>
    <row r="296">
      <c r="A296" s="19" t="inlineStr">
        <is>
          <t>Company 118</t>
        </is>
      </c>
      <c r="B296" s="19" t="inlineStr">
        <is>
          <t>Operations</t>
        </is>
      </c>
      <c r="C296" s="19" t="inlineStr">
        <is>
          <t>Shipper Gas</t>
        </is>
      </c>
      <c r="D296" s="19" t="inlineStr">
        <is>
          <t>UK</t>
        </is>
      </c>
      <c r="E296" s="20" t="n">
        <v>0</v>
      </c>
      <c r="F296" s="20" t="n">
        <v>0</v>
      </c>
      <c r="G296" s="20" t="n">
        <v>0</v>
      </c>
      <c r="H296" s="20" t="n">
        <v>0</v>
      </c>
      <c r="I296" s="20" t="n">
        <v>0</v>
      </c>
      <c r="J296" s="20" t="n">
        <v>0</v>
      </c>
      <c r="K296" s="20" t="n">
        <v>0</v>
      </c>
      <c r="L296" s="20" t="n">
        <v>0</v>
      </c>
      <c r="M296" s="20" t="n">
        <v>2000</v>
      </c>
      <c r="N296" s="20" t="n">
        <v>74250</v>
      </c>
      <c r="O296" s="20" t="n">
        <v>89250</v>
      </c>
      <c r="P296" s="20" t="n">
        <v>91330</v>
      </c>
      <c r="Q296" s="20" t="n">
        <v>92280</v>
      </c>
    </row>
    <row r="297">
      <c r="A297" s="19" t="inlineStr">
        <is>
          <t>Company 119</t>
        </is>
      </c>
      <c r="B297" s="19" t="inlineStr">
        <is>
          <t>Operations</t>
        </is>
      </c>
      <c r="C297" s="19" t="inlineStr">
        <is>
          <t>Shipper Gas</t>
        </is>
      </c>
      <c r="D297" s="19" t="inlineStr">
        <is>
          <t>UK</t>
        </is>
      </c>
      <c r="E297" s="20" t="n">
        <v>0</v>
      </c>
      <c r="F297" s="20" t="n">
        <v>0</v>
      </c>
      <c r="G297" s="20" t="n">
        <v>0</v>
      </c>
      <c r="H297" s="20" t="n">
        <v>0</v>
      </c>
      <c r="I297" s="20" t="n">
        <v>0</v>
      </c>
      <c r="J297" s="20" t="n">
        <v>0</v>
      </c>
      <c r="K297" s="20" t="n">
        <v>0</v>
      </c>
      <c r="L297" s="20" t="n">
        <v>0</v>
      </c>
      <c r="M297" s="20" t="n">
        <v>2000</v>
      </c>
      <c r="N297" s="20" t="n">
        <v>58693.2</v>
      </c>
      <c r="O297" s="20" t="n">
        <v>63410</v>
      </c>
      <c r="P297" s="20" t="n">
        <v>51435</v>
      </c>
      <c r="Q297" s="20" t="n">
        <v>0</v>
      </c>
    </row>
    <row r="298">
      <c r="A298" s="19" t="inlineStr">
        <is>
          <t>Company 119</t>
        </is>
      </c>
      <c r="B298" s="19" t="inlineStr">
        <is>
          <t>Software</t>
        </is>
      </c>
      <c r="C298" s="19" t="inlineStr">
        <is>
          <t>Hosting</t>
        </is>
      </c>
      <c r="D298" s="19" t="inlineStr">
        <is>
          <t>UK</t>
        </is>
      </c>
      <c r="E298" s="20" t="n">
        <v>0</v>
      </c>
      <c r="F298" s="20" t="n">
        <v>0</v>
      </c>
      <c r="G298" s="20" t="n">
        <v>0</v>
      </c>
      <c r="H298" s="20" t="n">
        <v>0</v>
      </c>
      <c r="I298" s="20" t="n">
        <v>0</v>
      </c>
      <c r="J298" s="20" t="n">
        <v>0</v>
      </c>
      <c r="K298" s="20" t="n">
        <v>0</v>
      </c>
      <c r="L298" s="20" t="n">
        <v>0</v>
      </c>
      <c r="M298" s="20" t="n">
        <v>0</v>
      </c>
      <c r="N298" s="20" t="n">
        <v>0</v>
      </c>
      <c r="O298" s="20" t="n">
        <v>0</v>
      </c>
      <c r="P298" s="20" t="n">
        <v>0</v>
      </c>
      <c r="Q298" s="20" t="n">
        <v>9360</v>
      </c>
    </row>
    <row r="299">
      <c r="A299" s="19" t="inlineStr">
        <is>
          <t>Company 120</t>
        </is>
      </c>
      <c r="B299" s="19" t="inlineStr">
        <is>
          <t>Operations</t>
        </is>
      </c>
      <c r="C299" s="19" t="inlineStr">
        <is>
          <t>Shipper Gas</t>
        </is>
      </c>
      <c r="D299" s="19" t="inlineStr">
        <is>
          <t>Ireland</t>
        </is>
      </c>
      <c r="E299" s="20" t="n">
        <v>0</v>
      </c>
      <c r="F299" s="20" t="n">
        <v>0</v>
      </c>
      <c r="G299" s="20" t="n">
        <v>0</v>
      </c>
      <c r="H299" s="20" t="n">
        <v>0</v>
      </c>
      <c r="I299" s="20" t="n">
        <v>0</v>
      </c>
      <c r="J299" s="20" t="n">
        <v>0</v>
      </c>
      <c r="K299" s="20" t="n">
        <v>0</v>
      </c>
      <c r="L299" s="20" t="n">
        <v>0</v>
      </c>
      <c r="M299" s="20" t="n">
        <v>0</v>
      </c>
      <c r="N299" s="20" t="n">
        <v>8943</v>
      </c>
      <c r="O299" s="20" t="n">
        <v>9495</v>
      </c>
      <c r="P299" s="20" t="n">
        <v>0</v>
      </c>
      <c r="Q299" s="20" t="n">
        <v>0</v>
      </c>
    </row>
    <row r="300">
      <c r="A300" s="19" t="inlineStr">
        <is>
          <t>Company 121</t>
        </is>
      </c>
      <c r="B300" s="19" t="inlineStr">
        <is>
          <t>Operations</t>
        </is>
      </c>
      <c r="C300" s="19" t="inlineStr">
        <is>
          <t>Shipper Gas</t>
        </is>
      </c>
      <c r="D300" s="19" t="inlineStr">
        <is>
          <t>Netherlands</t>
        </is>
      </c>
      <c r="E300" s="20" t="n">
        <v>0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0</v>
      </c>
      <c r="K300" s="20" t="n">
        <v>0</v>
      </c>
      <c r="L300" s="20" t="n">
        <v>0</v>
      </c>
      <c r="M300" s="20" t="n">
        <v>0</v>
      </c>
      <c r="N300" s="20" t="n">
        <v>7768.54</v>
      </c>
      <c r="O300" s="20" t="n">
        <v>10716.724</v>
      </c>
      <c r="P300" s="20" t="n">
        <v>11370.22</v>
      </c>
      <c r="Q300" s="20" t="n">
        <v>1931.06</v>
      </c>
    </row>
    <row r="301">
      <c r="A301" s="19" t="inlineStr">
        <is>
          <t>Company 121</t>
        </is>
      </c>
      <c r="B301" s="19" t="inlineStr">
        <is>
          <t>Power</t>
        </is>
      </c>
      <c r="C301" s="19" t="inlineStr">
        <is>
          <t>Shipper Power</t>
        </is>
      </c>
      <c r="D301" s="19" t="inlineStr">
        <is>
          <t>Netherlands</t>
        </is>
      </c>
      <c r="E301" s="20" t="n">
        <v>0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0</v>
      </c>
      <c r="N301" s="20" t="n">
        <v>7768.54</v>
      </c>
      <c r="O301" s="20" t="n">
        <v>10716.724</v>
      </c>
      <c r="P301" s="20" t="n">
        <v>11370.22</v>
      </c>
      <c r="Q301" s="20" t="n">
        <v>1931.06</v>
      </c>
    </row>
    <row r="302">
      <c r="A302" s="19" t="inlineStr">
        <is>
          <t>Company 122</t>
        </is>
      </c>
      <c r="B302" s="19" t="inlineStr">
        <is>
          <t>Operations</t>
        </is>
      </c>
      <c r="C302" s="19" t="inlineStr">
        <is>
          <t>Shipper Gas</t>
        </is>
      </c>
      <c r="D302" s="19" t="inlineStr">
        <is>
          <t>Luxembourg</t>
        </is>
      </c>
      <c r="E302" s="20" t="n">
        <v>0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0</v>
      </c>
      <c r="K302" s="20" t="n">
        <v>0</v>
      </c>
      <c r="L302" s="20" t="n">
        <v>0</v>
      </c>
      <c r="M302" s="20" t="n">
        <v>0</v>
      </c>
      <c r="N302" s="20" t="n">
        <v>36255.47</v>
      </c>
      <c r="O302" s="20" t="n">
        <v>69096.43447863248</v>
      </c>
      <c r="P302" s="20" t="n">
        <v>66595.55</v>
      </c>
      <c r="Q302" s="20" t="n">
        <v>74528.16925037481</v>
      </c>
    </row>
    <row r="303">
      <c r="A303" s="19" t="inlineStr">
        <is>
          <t>Company 123</t>
        </is>
      </c>
      <c r="B303" s="19" t="inlineStr">
        <is>
          <t>Software</t>
        </is>
      </c>
      <c r="C303" s="19" t="inlineStr">
        <is>
          <t>ENOM</t>
        </is>
      </c>
      <c r="D303" s="19" t="inlineStr">
        <is>
          <t>Switzerland</t>
        </is>
      </c>
      <c r="E303" s="20" t="n">
        <v>0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0</v>
      </c>
      <c r="K303" s="20" t="n">
        <v>0</v>
      </c>
      <c r="L303" s="20" t="n">
        <v>0</v>
      </c>
      <c r="M303" s="20" t="n">
        <v>0</v>
      </c>
      <c r="N303" s="20" t="n">
        <v>8625.01</v>
      </c>
      <c r="O303" s="20" t="n">
        <v>11601.57312</v>
      </c>
      <c r="P303" s="20" t="n">
        <v>11500</v>
      </c>
      <c r="Q303" s="20" t="n">
        <v>11941.73</v>
      </c>
    </row>
    <row r="304">
      <c r="A304" s="19" t="inlineStr">
        <is>
          <t>Company 123</t>
        </is>
      </c>
      <c r="B304" s="19" t="inlineStr">
        <is>
          <t>Software</t>
        </is>
      </c>
      <c r="C304" s="19" t="inlineStr">
        <is>
          <t>Routing</t>
        </is>
      </c>
      <c r="D304" s="19" t="inlineStr">
        <is>
          <t>Switzerland</t>
        </is>
      </c>
      <c r="E304" s="20" t="n">
        <v>0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0</v>
      </c>
      <c r="K304" s="20" t="n">
        <v>0</v>
      </c>
      <c r="L304" s="20" t="n">
        <v>0</v>
      </c>
      <c r="M304" s="20" t="n">
        <v>0</v>
      </c>
      <c r="N304" s="20" t="n">
        <v>720</v>
      </c>
      <c r="O304" s="20" t="n">
        <v>968.3699999999999</v>
      </c>
      <c r="P304" s="20" t="n">
        <v>959.9999999999998</v>
      </c>
      <c r="Q304" s="20" t="n">
        <v>1001.41</v>
      </c>
    </row>
    <row r="305">
      <c r="A305" s="19" t="inlineStr">
        <is>
          <t>Company 123</t>
        </is>
      </c>
      <c r="B305" s="19" t="inlineStr">
        <is>
          <t>Software</t>
        </is>
      </c>
      <c r="C305" s="19" t="inlineStr">
        <is>
          <t>Routing</t>
        </is>
      </c>
      <c r="D305" s="19" t="inlineStr">
        <is>
          <t>Switzerland</t>
        </is>
      </c>
      <c r="E305" s="20" t="n">
        <v>0</v>
      </c>
      <c r="F305" s="20" t="n">
        <v>0</v>
      </c>
      <c r="G305" s="20" t="n">
        <v>0</v>
      </c>
      <c r="H305" s="20" t="n">
        <v>0</v>
      </c>
      <c r="I305" s="20" t="n">
        <v>0</v>
      </c>
      <c r="J305" s="20" t="n">
        <v>0</v>
      </c>
      <c r="K305" s="20" t="n">
        <v>0</v>
      </c>
      <c r="L305" s="20" t="n">
        <v>0</v>
      </c>
      <c r="M305" s="20" t="n">
        <v>0</v>
      </c>
      <c r="N305" s="20" t="n">
        <v>0</v>
      </c>
      <c r="O305" s="20" t="n">
        <v>0</v>
      </c>
      <c r="P305" s="20" t="n">
        <v>2132.51</v>
      </c>
      <c r="Q305" s="20" t="n">
        <v>4202.389999999999</v>
      </c>
    </row>
    <row r="306">
      <c r="A306" s="19" t="inlineStr">
        <is>
          <t>Company 123</t>
        </is>
      </c>
      <c r="B306" s="19" t="inlineStr">
        <is>
          <t>Power</t>
        </is>
      </c>
      <c r="C306" s="19" t="inlineStr">
        <is>
          <t>Shipper Power</t>
        </is>
      </c>
      <c r="D306" s="19" t="inlineStr">
        <is>
          <t>Switzerland</t>
        </is>
      </c>
      <c r="E306" s="20" t="n">
        <v>0</v>
      </c>
      <c r="F306" s="20" t="n">
        <v>0</v>
      </c>
      <c r="G306" s="20" t="n">
        <v>0</v>
      </c>
      <c r="H306" s="20" t="n">
        <v>0</v>
      </c>
      <c r="I306" s="20" t="n">
        <v>0</v>
      </c>
      <c r="J306" s="20" t="n">
        <v>0</v>
      </c>
      <c r="K306" s="20" t="n">
        <v>0</v>
      </c>
      <c r="L306" s="20" t="n">
        <v>0</v>
      </c>
      <c r="M306" s="20" t="n">
        <v>0</v>
      </c>
      <c r="N306" s="20" t="n">
        <v>0</v>
      </c>
      <c r="O306" s="20" t="n">
        <v>0</v>
      </c>
      <c r="P306" s="20" t="n">
        <v>0</v>
      </c>
      <c r="Q306" s="20" t="n">
        <v>2000</v>
      </c>
    </row>
    <row r="307">
      <c r="A307" s="19" t="inlineStr">
        <is>
          <t>Company 124</t>
        </is>
      </c>
      <c r="B307" s="19" t="inlineStr">
        <is>
          <t>Operations</t>
        </is>
      </c>
      <c r="C307" s="19" t="inlineStr">
        <is>
          <t>Shipper Gas</t>
        </is>
      </c>
      <c r="D307" s="19" t="inlineStr">
        <is>
          <t>Switzerland</t>
        </is>
      </c>
      <c r="E307" s="20" t="n">
        <v>0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0</v>
      </c>
      <c r="K307" s="20" t="n">
        <v>0</v>
      </c>
      <c r="L307" s="20" t="n">
        <v>0</v>
      </c>
      <c r="M307" s="20" t="n">
        <v>0</v>
      </c>
      <c r="N307" s="20" t="n">
        <v>23024.19</v>
      </c>
      <c r="O307" s="20" t="n">
        <v>34188</v>
      </c>
      <c r="P307" s="20" t="n">
        <v>35232</v>
      </c>
      <c r="Q307" s="20" t="n">
        <v>35453.28</v>
      </c>
    </row>
    <row r="308">
      <c r="A308" s="19" t="inlineStr">
        <is>
          <t>Company 125</t>
        </is>
      </c>
      <c r="B308" s="19" t="inlineStr">
        <is>
          <t>Operations</t>
        </is>
      </c>
      <c r="C308" s="19" t="inlineStr">
        <is>
          <t>Shipper Gas</t>
        </is>
      </c>
      <c r="D308" s="19" t="inlineStr">
        <is>
          <t>Ireland</t>
        </is>
      </c>
      <c r="E308" s="20" t="n">
        <v>0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0</v>
      </c>
      <c r="K308" s="20" t="n">
        <v>0</v>
      </c>
      <c r="L308" s="20" t="n">
        <v>0</v>
      </c>
      <c r="M308" s="20" t="n">
        <v>0</v>
      </c>
      <c r="N308" s="20" t="n">
        <v>25850</v>
      </c>
      <c r="O308" s="20" t="n">
        <v>84162.39999999999</v>
      </c>
      <c r="P308" s="20" t="n">
        <v>87210</v>
      </c>
      <c r="Q308" s="20" t="n">
        <v>90960.59999999999</v>
      </c>
    </row>
    <row r="309">
      <c r="A309" s="19" t="inlineStr">
        <is>
          <t>Company 126</t>
        </is>
      </c>
      <c r="B309" s="19" t="inlineStr">
        <is>
          <t>Software</t>
        </is>
      </c>
      <c r="C309" s="19" t="inlineStr">
        <is>
          <t>Hosting</t>
        </is>
      </c>
      <c r="D309" s="19" t="inlineStr">
        <is>
          <t>UK</t>
        </is>
      </c>
      <c r="E309" s="20" t="n">
        <v>0</v>
      </c>
      <c r="F309" s="20" t="n">
        <v>0</v>
      </c>
      <c r="G309" s="20" t="n">
        <v>0</v>
      </c>
      <c r="H309" s="20" t="n">
        <v>0</v>
      </c>
      <c r="I309" s="20" t="n">
        <v>0</v>
      </c>
      <c r="J309" s="20" t="n">
        <v>0</v>
      </c>
      <c r="K309" s="20" t="n">
        <v>0</v>
      </c>
      <c r="L309" s="20" t="n">
        <v>0</v>
      </c>
      <c r="M309" s="20" t="n">
        <v>0</v>
      </c>
      <c r="N309" s="20" t="n">
        <v>4292.93</v>
      </c>
      <c r="O309" s="20" t="n">
        <v>5926.32</v>
      </c>
      <c r="P309" s="20" t="n">
        <v>6117.48</v>
      </c>
      <c r="Q309" s="20" t="n">
        <v>6323.460000000001</v>
      </c>
    </row>
    <row r="310">
      <c r="A310" s="19" t="inlineStr">
        <is>
          <t>Company 127</t>
        </is>
      </c>
      <c r="B310" s="19" t="inlineStr">
        <is>
          <t>Software</t>
        </is>
      </c>
      <c r="C310" s="19" t="inlineStr">
        <is>
          <t>Hosting</t>
        </is>
      </c>
      <c r="D310" s="19" t="inlineStr">
        <is>
          <t>UK</t>
        </is>
      </c>
      <c r="E310" s="20" t="n">
        <v>45108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0</v>
      </c>
      <c r="K310" s="20" t="n">
        <v>0</v>
      </c>
      <c r="L310" s="20" t="n">
        <v>0</v>
      </c>
      <c r="M310" s="20" t="n">
        <v>0</v>
      </c>
      <c r="N310" s="20" t="n">
        <v>4292.93</v>
      </c>
      <c r="O310" s="20" t="n">
        <v>5926.32</v>
      </c>
      <c r="P310" s="20" t="n">
        <v>6117.48</v>
      </c>
      <c r="Q310" s="20" t="n">
        <v>6323.460000000001</v>
      </c>
    </row>
    <row r="311">
      <c r="A311" s="19" t="inlineStr">
        <is>
          <t>Company 128</t>
        </is>
      </c>
      <c r="B311" s="19" t="inlineStr">
        <is>
          <t>Operations</t>
        </is>
      </c>
      <c r="C311" s="19" t="inlineStr">
        <is>
          <t>Shipper Power</t>
        </is>
      </c>
      <c r="D311" s="19" t="inlineStr">
        <is>
          <t>France</t>
        </is>
      </c>
      <c r="E311" s="20" t="n">
        <v>0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0</v>
      </c>
      <c r="K311" s="20" t="n">
        <v>0</v>
      </c>
      <c r="L311" s="20" t="n">
        <v>0</v>
      </c>
      <c r="M311" s="20" t="n">
        <v>0</v>
      </c>
      <c r="N311" s="20" t="n">
        <v>0</v>
      </c>
      <c r="O311" s="20" t="n">
        <v>-1124.29</v>
      </c>
      <c r="P311" s="20" t="n">
        <v>0</v>
      </c>
      <c r="Q311" s="20" t="n">
        <v>0</v>
      </c>
    </row>
    <row r="312">
      <c r="A312" s="19" t="inlineStr">
        <is>
          <t>Company 128</t>
        </is>
      </c>
      <c r="B312" s="19" t="inlineStr">
        <is>
          <t>Operations</t>
        </is>
      </c>
      <c r="C312" s="19" t="inlineStr">
        <is>
          <t>Shipper Gas</t>
        </is>
      </c>
      <c r="D312" s="19" t="inlineStr">
        <is>
          <t>France</t>
        </is>
      </c>
      <c r="E312" s="20" t="n">
        <v>0</v>
      </c>
      <c r="F312" s="20" t="n">
        <v>0</v>
      </c>
      <c r="G312" s="20" t="n">
        <v>0</v>
      </c>
      <c r="H312" s="20" t="n">
        <v>0</v>
      </c>
      <c r="I312" s="20" t="n">
        <v>0</v>
      </c>
      <c r="J312" s="20" t="n">
        <v>0</v>
      </c>
      <c r="K312" s="20" t="n">
        <v>0</v>
      </c>
      <c r="L312" s="20" t="n">
        <v>0</v>
      </c>
      <c r="M312" s="20" t="n">
        <v>0</v>
      </c>
      <c r="N312" s="20" t="n">
        <v>0</v>
      </c>
      <c r="O312" s="20" t="n">
        <v>35610.61581196581</v>
      </c>
      <c r="P312" s="20" t="n">
        <v>63334.5</v>
      </c>
      <c r="Q312" s="20" t="n">
        <v>71906.3267916042</v>
      </c>
    </row>
    <row r="313">
      <c r="A313" s="19" t="inlineStr">
        <is>
          <t>Company 128</t>
        </is>
      </c>
      <c r="B313" s="19" t="inlineStr">
        <is>
          <t>Software</t>
        </is>
      </c>
      <c r="C313" s="19" t="inlineStr">
        <is>
          <t>PowerTrak</t>
        </is>
      </c>
      <c r="D313" s="19" t="inlineStr">
        <is>
          <t>France</t>
        </is>
      </c>
      <c r="E313" s="20" t="n">
        <v>0</v>
      </c>
      <c r="F313" s="20" t="n">
        <v>0</v>
      </c>
      <c r="G313" s="20" t="n">
        <v>0</v>
      </c>
      <c r="H313" s="20" t="n">
        <v>0</v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0" t="n">
        <v>10614.86</v>
      </c>
      <c r="O313" s="20" t="n">
        <v>19051.12076923077</v>
      </c>
      <c r="P313" s="20" t="n">
        <v>19501.27</v>
      </c>
      <c r="Q313" s="20" t="n">
        <v>21066.77368815592</v>
      </c>
    </row>
    <row r="314">
      <c r="A314" s="19" t="inlineStr">
        <is>
          <t>Company 128</t>
        </is>
      </c>
      <c r="B314" s="19" t="inlineStr">
        <is>
          <t>Software</t>
        </is>
      </c>
      <c r="C314" s="19" t="inlineStr">
        <is>
          <t>Chorus</t>
        </is>
      </c>
      <c r="D314" s="19" t="inlineStr">
        <is>
          <t>France</t>
        </is>
      </c>
      <c r="E314" s="20" t="n">
        <v>0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0</v>
      </c>
      <c r="K314" s="20" t="n">
        <v>0</v>
      </c>
      <c r="L314" s="20" t="n">
        <v>0</v>
      </c>
      <c r="M314" s="20" t="n">
        <v>0</v>
      </c>
      <c r="N314" s="20" t="n">
        <v>7031.129999999999</v>
      </c>
      <c r="O314" s="20" t="n">
        <v>13470.78461538461</v>
      </c>
      <c r="P314" s="20" t="n">
        <v>11589.46</v>
      </c>
      <c r="Q314" s="20" t="n">
        <v>8617.418020989506</v>
      </c>
    </row>
    <row r="315">
      <c r="A315" s="19" t="inlineStr">
        <is>
          <t>Company 128</t>
        </is>
      </c>
      <c r="B315" s="19" t="inlineStr">
        <is>
          <t>Software</t>
        </is>
      </c>
      <c r="C315" s="19" t="inlineStr">
        <is>
          <t>Hosting</t>
        </is>
      </c>
      <c r="D315" s="19" t="inlineStr">
        <is>
          <t>France</t>
        </is>
      </c>
      <c r="E315" s="20" t="n">
        <v>0</v>
      </c>
      <c r="F315" s="20" t="n">
        <v>0</v>
      </c>
      <c r="G315" s="20" t="n">
        <v>0</v>
      </c>
      <c r="H315" s="20" t="n">
        <v>0</v>
      </c>
      <c r="I315" s="20" t="n">
        <v>0</v>
      </c>
      <c r="J315" s="20" t="n">
        <v>0</v>
      </c>
      <c r="K315" s="20" t="n">
        <v>0</v>
      </c>
      <c r="L315" s="20" t="n">
        <v>0</v>
      </c>
      <c r="M315" s="20" t="n">
        <v>0</v>
      </c>
      <c r="N315" s="20" t="n">
        <v>4040.07</v>
      </c>
      <c r="O315" s="20" t="n">
        <v>12142.19341880342</v>
      </c>
      <c r="P315" s="20" t="n">
        <v>12430.31</v>
      </c>
      <c r="Q315" s="20" t="n">
        <v>13429.52431784108</v>
      </c>
    </row>
    <row r="316">
      <c r="A316" s="19" t="inlineStr">
        <is>
          <t>Company 128</t>
        </is>
      </c>
      <c r="B316" s="19" t="inlineStr">
        <is>
          <t>Software</t>
        </is>
      </c>
      <c r="C316" s="19" t="inlineStr">
        <is>
          <t>Routing</t>
        </is>
      </c>
      <c r="D316" s="19" t="inlineStr">
        <is>
          <t>France</t>
        </is>
      </c>
      <c r="E316" s="20" t="n">
        <v>0</v>
      </c>
      <c r="F316" s="20" t="n">
        <v>0</v>
      </c>
      <c r="G316" s="20" t="n">
        <v>0</v>
      </c>
      <c r="H316" s="20" t="n">
        <v>0</v>
      </c>
      <c r="I316" s="20" t="n">
        <v>0</v>
      </c>
      <c r="J316" s="20" t="n">
        <v>0</v>
      </c>
      <c r="K316" s="20" t="n">
        <v>0</v>
      </c>
      <c r="L316" s="20" t="n">
        <v>0</v>
      </c>
      <c r="M316" s="20" t="n">
        <v>0</v>
      </c>
      <c r="N316" s="20" t="n">
        <v>0</v>
      </c>
      <c r="O316" s="20" t="n">
        <v>0</v>
      </c>
      <c r="P316" s="20" t="n">
        <v>3205.28</v>
      </c>
      <c r="Q316" s="20" t="n">
        <v>6452.487646176914</v>
      </c>
    </row>
    <row r="317">
      <c r="A317" s="19" t="inlineStr">
        <is>
          <t>Company 129</t>
        </is>
      </c>
      <c r="B317" s="19" t="inlineStr">
        <is>
          <t>Operations</t>
        </is>
      </c>
      <c r="C317" s="19" t="inlineStr">
        <is>
          <t>Shipper Gas</t>
        </is>
      </c>
      <c r="D317" s="19" t="inlineStr">
        <is>
          <t>UK</t>
        </is>
      </c>
      <c r="E317" s="20" t="n">
        <v>0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0</v>
      </c>
      <c r="K317" s="20" t="n">
        <v>0</v>
      </c>
      <c r="L317" s="20" t="n">
        <v>0</v>
      </c>
      <c r="M317" s="20" t="n">
        <v>0</v>
      </c>
      <c r="N317" s="20" t="n">
        <v>2124.29</v>
      </c>
      <c r="O317" s="20" t="n">
        <v>0</v>
      </c>
      <c r="P317" s="20" t="n">
        <v>7950</v>
      </c>
      <c r="Q317" s="20" t="n">
        <v>69084</v>
      </c>
    </row>
    <row r="318">
      <c r="A318" s="19" t="inlineStr">
        <is>
          <t>Company 129</t>
        </is>
      </c>
      <c r="B318" s="19" t="inlineStr">
        <is>
          <t>Software</t>
        </is>
      </c>
      <c r="C318" s="19" t="inlineStr">
        <is>
          <t>Hosting</t>
        </is>
      </c>
      <c r="D318" s="19" t="inlineStr">
        <is>
          <t>UK</t>
        </is>
      </c>
      <c r="E318" s="20" t="n">
        <v>0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0</v>
      </c>
      <c r="K318" s="20" t="n">
        <v>0</v>
      </c>
      <c r="L318" s="20" t="n">
        <v>0</v>
      </c>
      <c r="M318" s="20" t="n">
        <v>0</v>
      </c>
      <c r="N318" s="20" t="n">
        <v>3000</v>
      </c>
      <c r="O318" s="20" t="n">
        <v>9024</v>
      </c>
      <c r="P318" s="20" t="n">
        <v>9000</v>
      </c>
      <c r="Q318" s="20" t="n">
        <v>7590</v>
      </c>
    </row>
    <row r="319">
      <c r="A319" s="19" t="inlineStr">
        <is>
          <t>Company 130</t>
        </is>
      </c>
      <c r="B319" s="19" t="inlineStr">
        <is>
          <t>Software</t>
        </is>
      </c>
      <c r="C319" s="19" t="inlineStr">
        <is>
          <t>Routing</t>
        </is>
      </c>
      <c r="D319" s="19" t="inlineStr">
        <is>
          <t>Spain</t>
        </is>
      </c>
      <c r="E319" s="20" t="n">
        <v>0</v>
      </c>
      <c r="F319" s="20" t="n">
        <v>0</v>
      </c>
      <c r="G319" s="20" t="n">
        <v>0</v>
      </c>
      <c r="H319" s="20" t="n">
        <v>0</v>
      </c>
      <c r="I319" s="20" t="n">
        <v>0</v>
      </c>
      <c r="J319" s="20" t="n">
        <v>0</v>
      </c>
      <c r="K319" s="20" t="n">
        <v>0</v>
      </c>
      <c r="L319" s="20" t="n">
        <v>0</v>
      </c>
      <c r="M319" s="20" t="n">
        <v>0</v>
      </c>
      <c r="N319" s="20" t="n">
        <v>1390.18</v>
      </c>
      <c r="O319" s="20" t="n">
        <v>5559.915726495727</v>
      </c>
      <c r="P319" s="20" t="n">
        <v>7576.48</v>
      </c>
      <c r="Q319" s="20" t="n">
        <v>6337.083065412896</v>
      </c>
    </row>
    <row r="320">
      <c r="A320" s="19" t="inlineStr">
        <is>
          <t>Company 131</t>
        </is>
      </c>
      <c r="B320" s="19" t="inlineStr">
        <is>
          <t>Software</t>
        </is>
      </c>
      <c r="C320" s="19" t="inlineStr">
        <is>
          <t>Chorus</t>
        </is>
      </c>
      <c r="D320" s="19" t="inlineStr">
        <is>
          <t>Switzerland</t>
        </is>
      </c>
      <c r="E320" s="20" t="n">
        <v>0</v>
      </c>
      <c r="F320" s="20" t="n">
        <v>0</v>
      </c>
      <c r="G320" s="20" t="n">
        <v>0</v>
      </c>
      <c r="H320" s="20" t="n">
        <v>0</v>
      </c>
      <c r="I320" s="20" t="n">
        <v>0</v>
      </c>
      <c r="J320" s="20" t="n">
        <v>0</v>
      </c>
      <c r="K320" s="20" t="n">
        <v>0</v>
      </c>
      <c r="L320" s="20" t="n">
        <v>0</v>
      </c>
      <c r="M320" s="20" t="n">
        <v>0</v>
      </c>
      <c r="N320" s="20" t="n">
        <v>1728.34</v>
      </c>
      <c r="O320" s="20" t="n">
        <v>14803</v>
      </c>
      <c r="P320" s="20" t="n">
        <v>13839.73</v>
      </c>
      <c r="Q320" s="20" t="n">
        <v>0</v>
      </c>
    </row>
    <row r="321">
      <c r="A321" s="19" t="inlineStr">
        <is>
          <t>Company 132</t>
        </is>
      </c>
      <c r="B321" s="19" t="inlineStr">
        <is>
          <t>Software</t>
        </is>
      </c>
      <c r="C321" s="19" t="inlineStr">
        <is>
          <t>Chorus</t>
        </is>
      </c>
      <c r="D321" s="19" t="inlineStr">
        <is>
          <t>Netherlands</t>
        </is>
      </c>
      <c r="E321" s="20" t="n">
        <v>0</v>
      </c>
      <c r="F321" s="20" t="n">
        <v>0</v>
      </c>
      <c r="G321" s="20" t="n">
        <v>0</v>
      </c>
      <c r="H321" s="20" t="n">
        <v>0</v>
      </c>
      <c r="I321" s="20" t="n">
        <v>0</v>
      </c>
      <c r="J321" s="20" t="n">
        <v>0</v>
      </c>
      <c r="K321" s="20" t="n">
        <v>0</v>
      </c>
      <c r="L321" s="20" t="n">
        <v>0</v>
      </c>
      <c r="M321" s="20" t="n">
        <v>0</v>
      </c>
      <c r="N321" s="20" t="n">
        <v>0</v>
      </c>
      <c r="O321" s="20" t="n">
        <v>3362.223760683761</v>
      </c>
      <c r="P321" s="20" t="n">
        <v>0</v>
      </c>
      <c r="Q321" s="20" t="n">
        <v>0</v>
      </c>
    </row>
    <row r="322">
      <c r="A322" s="19" t="inlineStr">
        <is>
          <t>Company 132</t>
        </is>
      </c>
      <c r="B322" s="19" t="inlineStr">
        <is>
          <t>Operations</t>
        </is>
      </c>
      <c r="C322" s="19" t="inlineStr">
        <is>
          <t>Shipper Gas</t>
        </is>
      </c>
      <c r="D322" s="19" t="inlineStr">
        <is>
          <t>Netherlands</t>
        </is>
      </c>
      <c r="E322" s="20" t="n">
        <v>0</v>
      </c>
      <c r="F322" s="20" t="n">
        <v>0</v>
      </c>
      <c r="G322" s="20" t="n">
        <v>0</v>
      </c>
      <c r="H322" s="20" t="n">
        <v>0</v>
      </c>
      <c r="I322" s="20" t="n">
        <v>0</v>
      </c>
      <c r="J322" s="20" t="n">
        <v>0</v>
      </c>
      <c r="K322" s="20" t="n">
        <v>0</v>
      </c>
      <c r="L322" s="20" t="n">
        <v>0</v>
      </c>
      <c r="M322" s="20" t="n">
        <v>0</v>
      </c>
      <c r="N322" s="20" t="n">
        <v>0</v>
      </c>
      <c r="O322" s="20" t="n">
        <v>12402</v>
      </c>
      <c r="P322" s="20" t="n">
        <v>159107.34</v>
      </c>
      <c r="Q322" s="20" t="n">
        <v>198905.8415892054</v>
      </c>
    </row>
    <row r="323">
      <c r="A323" s="19" t="inlineStr">
        <is>
          <t>Company 133</t>
        </is>
      </c>
      <c r="B323" s="19" t="inlineStr">
        <is>
          <t>Software</t>
        </is>
      </c>
      <c r="C323" s="19" t="inlineStr">
        <is>
          <t>Chorus</t>
        </is>
      </c>
      <c r="D323" s="19" t="inlineStr">
        <is>
          <t>Netherlands</t>
        </is>
      </c>
      <c r="E323" s="20" t="n">
        <v>0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0</v>
      </c>
      <c r="K323" s="20" t="n">
        <v>0</v>
      </c>
      <c r="L323" s="20" t="n">
        <v>0</v>
      </c>
      <c r="M323" s="20" t="n">
        <v>0</v>
      </c>
      <c r="N323" s="20" t="n">
        <v>981.64</v>
      </c>
      <c r="O323" s="20" t="n">
        <v>16392.88</v>
      </c>
      <c r="P323" s="20" t="n">
        <v>28247.87</v>
      </c>
      <c r="Q323" s="20" t="n">
        <v>28207.1668</v>
      </c>
    </row>
    <row r="324">
      <c r="A324" s="19" t="inlineStr">
        <is>
          <t>Company 133</t>
        </is>
      </c>
      <c r="B324" s="19" t="inlineStr">
        <is>
          <t>Software</t>
        </is>
      </c>
      <c r="C324" s="19" t="inlineStr">
        <is>
          <t>Hosting</t>
        </is>
      </c>
      <c r="D324" s="19" t="inlineStr">
        <is>
          <t>Netherlands</t>
        </is>
      </c>
      <c r="E324" s="20" t="n">
        <v>0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0</v>
      </c>
      <c r="K324" s="20" t="n">
        <v>0</v>
      </c>
      <c r="L324" s="20" t="n">
        <v>0</v>
      </c>
      <c r="M324" s="20" t="n">
        <v>0</v>
      </c>
      <c r="N324" s="20" t="n">
        <v>0</v>
      </c>
      <c r="O324" s="20" t="n">
        <v>1818.69</v>
      </c>
      <c r="P324" s="20" t="n">
        <v>7320.870000000001</v>
      </c>
      <c r="Q324" s="20" t="n">
        <v>7210.68</v>
      </c>
    </row>
    <row r="325">
      <c r="A325" s="19" t="inlineStr">
        <is>
          <t>Company 133</t>
        </is>
      </c>
      <c r="B325" s="19" t="inlineStr">
        <is>
          <t>Software</t>
        </is>
      </c>
      <c r="C325" s="19" t="inlineStr">
        <is>
          <t>Routing</t>
        </is>
      </c>
      <c r="D325" s="19" t="inlineStr">
        <is>
          <t>Netherlands</t>
        </is>
      </c>
      <c r="E325" s="20" t="n">
        <v>0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0</v>
      </c>
      <c r="N325" s="20" t="n">
        <v>0</v>
      </c>
      <c r="O325" s="20" t="n">
        <v>0</v>
      </c>
      <c r="P325" s="20" t="n">
        <v>4285.51</v>
      </c>
      <c r="Q325" s="20" t="n">
        <v>7214.6</v>
      </c>
    </row>
    <row r="326">
      <c r="A326" s="19" t="inlineStr">
        <is>
          <t>Company 134</t>
        </is>
      </c>
      <c r="B326" s="19" t="inlineStr">
        <is>
          <t>Software</t>
        </is>
      </c>
      <c r="C326" s="19" t="inlineStr">
        <is>
          <t>PowerTrak</t>
        </is>
      </c>
      <c r="D326" s="19" t="inlineStr">
        <is>
          <t>Denmark</t>
        </is>
      </c>
      <c r="E326" s="20" t="n">
        <v>0</v>
      </c>
      <c r="F326" s="20" t="n">
        <v>0</v>
      </c>
      <c r="G326" s="20" t="n">
        <v>0</v>
      </c>
      <c r="H326" s="20" t="n">
        <v>0</v>
      </c>
      <c r="I326" s="20" t="n">
        <v>0</v>
      </c>
      <c r="J326" s="20" t="n">
        <v>0</v>
      </c>
      <c r="K326" s="20" t="n">
        <v>0</v>
      </c>
      <c r="L326" s="20" t="n">
        <v>0</v>
      </c>
      <c r="M326" s="20" t="n">
        <v>0</v>
      </c>
      <c r="N326" s="20" t="n">
        <v>0</v>
      </c>
      <c r="O326" s="20" t="n">
        <v>40685.74333333333</v>
      </c>
      <c r="P326" s="20" t="n">
        <v>45858.27</v>
      </c>
      <c r="Q326" s="20" t="n">
        <v>46644.66</v>
      </c>
    </row>
    <row r="327">
      <c r="A327" s="19" t="inlineStr">
        <is>
          <t>Company 134</t>
        </is>
      </c>
      <c r="B327" s="19" t="inlineStr">
        <is>
          <t>Software</t>
        </is>
      </c>
      <c r="C327" s="19" t="inlineStr">
        <is>
          <t>Routing</t>
        </is>
      </c>
      <c r="D327" s="19" t="inlineStr">
        <is>
          <t>Denmark</t>
        </is>
      </c>
      <c r="E327" s="20" t="n">
        <v>0</v>
      </c>
      <c r="F327" s="20" t="n">
        <v>0</v>
      </c>
      <c r="G327" s="20" t="n">
        <v>0</v>
      </c>
      <c r="H327" s="20" t="n">
        <v>0</v>
      </c>
      <c r="I327" s="20" t="n">
        <v>0</v>
      </c>
      <c r="J327" s="20" t="n">
        <v>0</v>
      </c>
      <c r="K327" s="20" t="n">
        <v>0</v>
      </c>
      <c r="L327" s="20" t="n">
        <v>0</v>
      </c>
      <c r="M327" s="20" t="n">
        <v>0</v>
      </c>
      <c r="N327" s="20" t="n">
        <v>0</v>
      </c>
      <c r="O327" s="20" t="n">
        <v>11714.94333333333</v>
      </c>
      <c r="P327" s="20" t="n">
        <v>14260.09</v>
      </c>
      <c r="Q327" s="20" t="n">
        <v>14925.74</v>
      </c>
    </row>
    <row r="328">
      <c r="A328" s="19" t="inlineStr">
        <is>
          <t>Company 134</t>
        </is>
      </c>
      <c r="B328" s="19" t="inlineStr">
        <is>
          <t>Software</t>
        </is>
      </c>
      <c r="C328" s="19" t="inlineStr">
        <is>
          <t>Hosting</t>
        </is>
      </c>
      <c r="D328" s="19" t="inlineStr">
        <is>
          <t>Denmark</t>
        </is>
      </c>
      <c r="E328" s="20" t="n">
        <v>0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0</v>
      </c>
      <c r="K328" s="20" t="n">
        <v>0</v>
      </c>
      <c r="L328" s="20" t="n">
        <v>0</v>
      </c>
      <c r="M328" s="20" t="n">
        <v>0</v>
      </c>
      <c r="N328" s="20" t="n">
        <v>0</v>
      </c>
      <c r="O328" s="20" t="n">
        <v>23448.19333333334</v>
      </c>
      <c r="P328" s="20" t="n">
        <v>29155.5</v>
      </c>
      <c r="Q328" s="20" t="n">
        <v>29954.46</v>
      </c>
    </row>
    <row r="329">
      <c r="A329" s="19" t="inlineStr">
        <is>
          <t>Company 135</t>
        </is>
      </c>
      <c r="B329" s="19" t="inlineStr">
        <is>
          <t>Operations</t>
        </is>
      </c>
      <c r="C329" s="19" t="inlineStr">
        <is>
          <t>Shipper Gas</t>
        </is>
      </c>
      <c r="D329" s="19" t="inlineStr">
        <is>
          <t>UK</t>
        </is>
      </c>
      <c r="E329" s="20" t="n">
        <v>0</v>
      </c>
      <c r="F329" s="20" t="n">
        <v>0</v>
      </c>
      <c r="G329" s="20" t="n">
        <v>0</v>
      </c>
      <c r="H329" s="20" t="n">
        <v>0</v>
      </c>
      <c r="I329" s="20" t="n">
        <v>0</v>
      </c>
      <c r="J329" s="20" t="n">
        <v>0</v>
      </c>
      <c r="K329" s="20" t="n">
        <v>0</v>
      </c>
      <c r="L329" s="20" t="n">
        <v>0</v>
      </c>
      <c r="M329" s="20" t="n">
        <v>0</v>
      </c>
      <c r="N329" s="20" t="n">
        <v>0</v>
      </c>
      <c r="O329" s="20" t="n">
        <v>9979.290000000001</v>
      </c>
      <c r="P329" s="20" t="n">
        <v>26400</v>
      </c>
      <c r="Q329" s="20" t="n">
        <v>26918.75</v>
      </c>
    </row>
    <row r="330">
      <c r="A330" s="19" t="inlineStr">
        <is>
          <t>Company 136</t>
        </is>
      </c>
      <c r="B330" s="19" t="inlineStr">
        <is>
          <t>Software</t>
        </is>
      </c>
      <c r="C330" s="19" t="inlineStr">
        <is>
          <t>PowerTrak</t>
        </is>
      </c>
      <c r="D330" s="19" t="inlineStr">
        <is>
          <t>Netherlands</t>
        </is>
      </c>
      <c r="E330" s="20" t="n">
        <v>0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0</v>
      </c>
      <c r="K330" s="20" t="n">
        <v>0</v>
      </c>
      <c r="L330" s="20" t="n">
        <v>0</v>
      </c>
      <c r="M330" s="20" t="n">
        <v>0</v>
      </c>
      <c r="N330" s="20" t="n">
        <v>0</v>
      </c>
      <c r="O330" s="20" t="n">
        <v>36549.22675213675</v>
      </c>
      <c r="P330" s="20" t="n">
        <v>38575.07</v>
      </c>
      <c r="Q330" s="20" t="n">
        <v>41384.6711604198</v>
      </c>
    </row>
    <row r="331">
      <c r="A331" s="19" t="inlineStr">
        <is>
          <t>Company 136</t>
        </is>
      </c>
      <c r="B331" s="19" t="inlineStr">
        <is>
          <t>Software</t>
        </is>
      </c>
      <c r="C331" s="19" t="inlineStr">
        <is>
          <t>Routing</t>
        </is>
      </c>
      <c r="D331" s="19" t="inlineStr">
        <is>
          <t>Netherlands</t>
        </is>
      </c>
      <c r="E331" s="20" t="n">
        <v>0</v>
      </c>
      <c r="F331" s="20" t="n">
        <v>0</v>
      </c>
      <c r="G331" s="20" t="n">
        <v>0</v>
      </c>
      <c r="H331" s="20" t="n">
        <v>0</v>
      </c>
      <c r="I331" s="20" t="n">
        <v>0</v>
      </c>
      <c r="J331" s="20" t="n">
        <v>0</v>
      </c>
      <c r="K331" s="20" t="n">
        <v>0</v>
      </c>
      <c r="L331" s="20" t="n">
        <v>0</v>
      </c>
      <c r="M331" s="20" t="n">
        <v>0</v>
      </c>
      <c r="N331" s="20" t="n">
        <v>0</v>
      </c>
      <c r="O331" s="20" t="n">
        <v>4085.991282051282</v>
      </c>
      <c r="P331" s="20" t="n">
        <v>5197.73</v>
      </c>
      <c r="Q331" s="20" t="n">
        <v>5573.439877061469</v>
      </c>
    </row>
    <row r="332">
      <c r="A332" s="19" t="inlineStr">
        <is>
          <t>Company 136</t>
        </is>
      </c>
      <c r="B332" s="19" t="inlineStr">
        <is>
          <t>Software</t>
        </is>
      </c>
      <c r="C332" s="19" t="inlineStr">
        <is>
          <t>Hosting</t>
        </is>
      </c>
      <c r="D332" s="19" t="inlineStr">
        <is>
          <t>Netherlands</t>
        </is>
      </c>
      <c r="E332" s="20" t="n">
        <v>0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0</v>
      </c>
      <c r="K332" s="20" t="n">
        <v>0</v>
      </c>
      <c r="L332" s="20" t="n">
        <v>0</v>
      </c>
      <c r="M332" s="20" t="n">
        <v>0</v>
      </c>
      <c r="N332" s="20" t="n">
        <v>0</v>
      </c>
      <c r="O332" s="20" t="n">
        <v>3525.374700854702</v>
      </c>
      <c r="P332" s="20" t="n">
        <v>4014.82</v>
      </c>
      <c r="Q332" s="20" t="n">
        <v>4498.812017991007</v>
      </c>
    </row>
    <row r="333">
      <c r="A333" s="19" t="inlineStr">
        <is>
          <t>Company 137</t>
        </is>
      </c>
      <c r="B333" s="19" t="inlineStr">
        <is>
          <t>Operations</t>
        </is>
      </c>
      <c r="C333" s="19" t="inlineStr">
        <is>
          <t>Shipper Gas</t>
        </is>
      </c>
      <c r="D333" s="19" t="inlineStr">
        <is>
          <t>Norway</t>
        </is>
      </c>
      <c r="E333" s="20" t="n">
        <v>0</v>
      </c>
      <c r="F333" s="20" t="n">
        <v>0</v>
      </c>
      <c r="G333" s="20" t="n">
        <v>0</v>
      </c>
      <c r="H333" s="20" t="n">
        <v>0</v>
      </c>
      <c r="I333" s="20" t="n">
        <v>0</v>
      </c>
      <c r="J333" s="20" t="n">
        <v>0</v>
      </c>
      <c r="K333" s="20" t="n">
        <v>0</v>
      </c>
      <c r="L333" s="20" t="n">
        <v>0</v>
      </c>
      <c r="M333" s="20" t="n">
        <v>0</v>
      </c>
      <c r="N333" s="20" t="n">
        <v>0</v>
      </c>
      <c r="O333" s="20" t="n">
        <v>17900</v>
      </c>
      <c r="P333" s="20" t="n">
        <v>77400</v>
      </c>
      <c r="Q333" s="20" t="n">
        <v>79206</v>
      </c>
    </row>
    <row r="334">
      <c r="A334" s="19" t="inlineStr">
        <is>
          <t>Company 138</t>
        </is>
      </c>
      <c r="B334" s="19" t="inlineStr">
        <is>
          <t>Software</t>
        </is>
      </c>
      <c r="C334" s="19" t="inlineStr">
        <is>
          <t>Routing</t>
        </is>
      </c>
      <c r="D334" s="19" t="inlineStr">
        <is>
          <t>Germany</t>
        </is>
      </c>
      <c r="E334" s="20" t="n">
        <v>0</v>
      </c>
      <c r="F334" s="20" t="n">
        <v>0</v>
      </c>
      <c r="G334" s="20" t="n">
        <v>0</v>
      </c>
      <c r="H334" s="20" t="n">
        <v>0</v>
      </c>
      <c r="I334" s="20" t="n">
        <v>0</v>
      </c>
      <c r="J334" s="20" t="n">
        <v>0</v>
      </c>
      <c r="K334" s="20" t="n">
        <v>0</v>
      </c>
      <c r="L334" s="20" t="n">
        <v>0</v>
      </c>
      <c r="M334" s="20" t="n">
        <v>0</v>
      </c>
      <c r="N334" s="20" t="n">
        <v>0</v>
      </c>
      <c r="O334" s="20" t="n">
        <v>2815.63</v>
      </c>
      <c r="P334" s="20" t="n">
        <v>8384.629999999999</v>
      </c>
      <c r="Q334" s="20" t="n">
        <v>9332.110000000001</v>
      </c>
    </row>
    <row r="335">
      <c r="A335" s="19" t="inlineStr">
        <is>
          <t>Company 139</t>
        </is>
      </c>
      <c r="B335" s="19" t="inlineStr">
        <is>
          <t>Software</t>
        </is>
      </c>
      <c r="C335" s="19" t="inlineStr">
        <is>
          <t>Routing</t>
        </is>
      </c>
      <c r="D335" s="19" t="inlineStr">
        <is>
          <t>Netherlands</t>
        </is>
      </c>
      <c r="E335" s="20" t="n">
        <v>0</v>
      </c>
      <c r="F335" s="20" t="n">
        <v>0</v>
      </c>
      <c r="G335" s="20" t="n">
        <v>0</v>
      </c>
      <c r="H335" s="20" t="n">
        <v>0</v>
      </c>
      <c r="I335" s="20" t="n">
        <v>0</v>
      </c>
      <c r="J335" s="20" t="n">
        <v>0</v>
      </c>
      <c r="K335" s="20" t="n">
        <v>0</v>
      </c>
      <c r="L335" s="20" t="n">
        <v>0</v>
      </c>
      <c r="M335" s="20" t="n">
        <v>0</v>
      </c>
      <c r="N335" s="20" t="n">
        <v>0</v>
      </c>
      <c r="O335" s="20" t="n">
        <v>2335.79</v>
      </c>
      <c r="P335" s="20" t="n">
        <v>7220.94</v>
      </c>
      <c r="Q335" s="20" t="n">
        <v>7727.46</v>
      </c>
    </row>
    <row r="336">
      <c r="A336" s="19" t="inlineStr">
        <is>
          <t>Company 140</t>
        </is>
      </c>
      <c r="B336" s="19" t="inlineStr">
        <is>
          <t>Software</t>
        </is>
      </c>
      <c r="C336" s="19" t="inlineStr">
        <is>
          <t>Hosting</t>
        </is>
      </c>
      <c r="D336" s="19" t="inlineStr">
        <is>
          <t>UK</t>
        </is>
      </c>
      <c r="E336" s="20" t="n">
        <v>0</v>
      </c>
      <c r="F336" s="20" t="n">
        <v>0</v>
      </c>
      <c r="G336" s="20" t="n">
        <v>0</v>
      </c>
      <c r="H336" s="20" t="n">
        <v>0</v>
      </c>
      <c r="I336" s="20" t="n">
        <v>0</v>
      </c>
      <c r="J336" s="20" t="n">
        <v>0</v>
      </c>
      <c r="K336" s="20" t="n">
        <v>0</v>
      </c>
      <c r="L336" s="20" t="n">
        <v>0</v>
      </c>
      <c r="M336" s="20" t="n">
        <v>0</v>
      </c>
      <c r="N336" s="20" t="n">
        <v>0</v>
      </c>
      <c r="O336" s="20" t="n">
        <v>0</v>
      </c>
      <c r="P336" s="20" t="n">
        <v>1050</v>
      </c>
      <c r="Q336" s="20" t="n">
        <v>0</v>
      </c>
    </row>
    <row r="337">
      <c r="A337" s="19" t="inlineStr">
        <is>
          <t>Company 140</t>
        </is>
      </c>
      <c r="B337" s="19" t="inlineStr">
        <is>
          <t>Operations</t>
        </is>
      </c>
      <c r="C337" s="19" t="inlineStr">
        <is>
          <t>Shipper Gas</t>
        </is>
      </c>
      <c r="D337" s="19" t="inlineStr">
        <is>
          <t>UK</t>
        </is>
      </c>
      <c r="E337" s="20" t="n">
        <v>0</v>
      </c>
      <c r="F337" s="20" t="n">
        <v>0</v>
      </c>
      <c r="G337" s="20" t="n">
        <v>0</v>
      </c>
      <c r="H337" s="20" t="n">
        <v>0</v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0" t="n">
        <v>0</v>
      </c>
      <c r="O337" s="20" t="n">
        <v>0</v>
      </c>
      <c r="P337" s="20" t="n">
        <v>46962.5</v>
      </c>
      <c r="Q337" s="20" t="n">
        <v>87964.80000000002</v>
      </c>
    </row>
    <row r="338">
      <c r="A338" s="19" t="inlineStr">
        <is>
          <t>Company 141</t>
        </is>
      </c>
      <c r="B338" s="19" t="inlineStr">
        <is>
          <t>Software</t>
        </is>
      </c>
      <c r="C338" s="19" t="inlineStr">
        <is>
          <t>Routing</t>
        </is>
      </c>
      <c r="D338" s="19" t="inlineStr">
        <is>
          <t>Switzerland</t>
        </is>
      </c>
      <c r="E338" s="20" t="n">
        <v>0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0</v>
      </c>
      <c r="K338" s="20" t="n">
        <v>0</v>
      </c>
      <c r="L338" s="20" t="n">
        <v>0</v>
      </c>
      <c r="M338" s="20" t="n">
        <v>0</v>
      </c>
      <c r="N338" s="20" t="n">
        <v>0</v>
      </c>
      <c r="O338" s="20" t="n">
        <v>0</v>
      </c>
      <c r="P338" s="20" t="n">
        <v>4500</v>
      </c>
      <c r="Q338" s="20" t="n">
        <v>0</v>
      </c>
    </row>
    <row r="339">
      <c r="A339" s="19" t="inlineStr">
        <is>
          <t>Company 141</t>
        </is>
      </c>
      <c r="B339" s="19" t="inlineStr">
        <is>
          <t>Software</t>
        </is>
      </c>
      <c r="C339" s="19" t="inlineStr">
        <is>
          <t>Routing</t>
        </is>
      </c>
      <c r="D339" s="19" t="inlineStr">
        <is>
          <t>Switzerland</t>
        </is>
      </c>
      <c r="E339" s="20" t="n">
        <v>0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0</v>
      </c>
      <c r="K339" s="20" t="n">
        <v>0</v>
      </c>
      <c r="L339" s="20" t="n">
        <v>0</v>
      </c>
      <c r="M339" s="20" t="n">
        <v>0</v>
      </c>
      <c r="N339" s="20" t="n">
        <v>0</v>
      </c>
      <c r="O339" s="20" t="n">
        <v>1889.8</v>
      </c>
      <c r="P339" s="20" t="n">
        <v>14009.34</v>
      </c>
      <c r="Q339" s="20" t="n">
        <v>21128.20769115443</v>
      </c>
    </row>
    <row r="340">
      <c r="A340" s="19" t="inlineStr">
        <is>
          <t>Company 142</t>
        </is>
      </c>
      <c r="B340" s="19" t="inlineStr">
        <is>
          <t>Software</t>
        </is>
      </c>
      <c r="C340" s="19" t="inlineStr">
        <is>
          <t>Chorus</t>
        </is>
      </c>
      <c r="D340" s="19" t="inlineStr">
        <is>
          <t>Germany</t>
        </is>
      </c>
      <c r="E340" s="20" t="n">
        <v>0</v>
      </c>
      <c r="F340" s="20" t="n">
        <v>0</v>
      </c>
      <c r="G340" s="20" t="n">
        <v>0</v>
      </c>
      <c r="H340" s="20" t="n">
        <v>0</v>
      </c>
      <c r="I340" s="20" t="n">
        <v>0</v>
      </c>
      <c r="J340" s="20" t="n">
        <v>0</v>
      </c>
      <c r="K340" s="20" t="n">
        <v>0</v>
      </c>
      <c r="L340" s="20" t="n">
        <v>0</v>
      </c>
      <c r="M340" s="20" t="n">
        <v>0</v>
      </c>
      <c r="N340" s="20" t="n">
        <v>0</v>
      </c>
      <c r="O340" s="20" t="n">
        <v>2654.5</v>
      </c>
      <c r="P340" s="20" t="n">
        <v>16041.9</v>
      </c>
      <c r="Q340" s="20" t="n">
        <v>16617.36</v>
      </c>
    </row>
    <row r="341">
      <c r="A341" s="19" t="inlineStr">
        <is>
          <t>Company 142</t>
        </is>
      </c>
      <c r="B341" s="19" t="inlineStr">
        <is>
          <t>Software</t>
        </is>
      </c>
      <c r="C341" s="19" t="inlineStr">
        <is>
          <t>Routing</t>
        </is>
      </c>
      <c r="D341" s="19" t="inlineStr">
        <is>
          <t>Germany</t>
        </is>
      </c>
      <c r="E341" s="20" t="n">
        <v>0</v>
      </c>
      <c r="F341" s="20" t="n">
        <v>0</v>
      </c>
      <c r="G341" s="20" t="n">
        <v>0</v>
      </c>
      <c r="H341" s="20" t="n">
        <v>0</v>
      </c>
      <c r="I341" s="20" t="n">
        <v>0</v>
      </c>
      <c r="J341" s="20" t="n">
        <v>0</v>
      </c>
      <c r="K341" s="20" t="n">
        <v>0</v>
      </c>
      <c r="L341" s="20" t="n">
        <v>0</v>
      </c>
      <c r="M341" s="20" t="n">
        <v>0</v>
      </c>
      <c r="N341" s="20" t="n">
        <v>0</v>
      </c>
      <c r="O341" s="20" t="n">
        <v>0</v>
      </c>
      <c r="P341" s="20" t="n">
        <v>1301.74</v>
      </c>
      <c r="Q341" s="20" t="n">
        <v>3976.922399999999</v>
      </c>
    </row>
    <row r="342">
      <c r="A342" s="19" t="inlineStr">
        <is>
          <t>Company 143</t>
        </is>
      </c>
      <c r="B342" s="19" t="inlineStr">
        <is>
          <t>Software</t>
        </is>
      </c>
      <c r="C342" s="19" t="inlineStr">
        <is>
          <t>Routing</t>
        </is>
      </c>
      <c r="D342" s="19" t="inlineStr">
        <is>
          <t>Denmark</t>
        </is>
      </c>
      <c r="E342" s="20" t="n">
        <v>0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0</v>
      </c>
      <c r="K342" s="20" t="n">
        <v>0</v>
      </c>
      <c r="L342" s="20" t="n">
        <v>0</v>
      </c>
      <c r="M342" s="20" t="n">
        <v>0</v>
      </c>
      <c r="N342" s="20" t="n">
        <v>0</v>
      </c>
      <c r="O342" s="20" t="n">
        <v>0</v>
      </c>
      <c r="P342" s="20" t="n">
        <v>1712.61</v>
      </c>
      <c r="Q342" s="20" t="n">
        <v>4138.035600000001</v>
      </c>
    </row>
    <row r="343">
      <c r="A343" s="19" t="inlineStr">
        <is>
          <t>Company 144</t>
        </is>
      </c>
      <c r="B343" s="19" t="inlineStr">
        <is>
          <t>Operations</t>
        </is>
      </c>
      <c r="C343" s="19" t="inlineStr">
        <is>
          <t>Market Gas</t>
        </is>
      </c>
      <c r="D343" s="19" t="inlineStr">
        <is>
          <t>Netherlands</t>
        </is>
      </c>
      <c r="E343" s="20" t="n">
        <v>0</v>
      </c>
      <c r="F343" s="20" t="n">
        <v>0</v>
      </c>
      <c r="G343" s="20" t="n">
        <v>0</v>
      </c>
      <c r="H343" s="20" t="n">
        <v>0</v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0</v>
      </c>
      <c r="N343" s="20" t="n">
        <v>0</v>
      </c>
      <c r="O343" s="20" t="n">
        <v>7500</v>
      </c>
      <c r="P343" s="20" t="n">
        <v>45680</v>
      </c>
      <c r="Q343" s="20" t="n">
        <v>45340</v>
      </c>
    </row>
    <row r="344">
      <c r="A344" s="19" t="inlineStr">
        <is>
          <t>Company 145</t>
        </is>
      </c>
      <c r="B344" s="19" t="inlineStr">
        <is>
          <t>Operations</t>
        </is>
      </c>
      <c r="C344" s="19" t="inlineStr">
        <is>
          <t>Shipper Gas</t>
        </is>
      </c>
      <c r="D344" s="19" t="inlineStr">
        <is>
          <t>UK</t>
        </is>
      </c>
      <c r="E344" s="20" t="n">
        <v>0</v>
      </c>
      <c r="F344" s="20" t="n">
        <v>0</v>
      </c>
      <c r="G344" s="20" t="n">
        <v>0</v>
      </c>
      <c r="H344" s="20" t="n">
        <v>0</v>
      </c>
      <c r="I344" s="20" t="n">
        <v>0</v>
      </c>
      <c r="J344" s="20" t="n">
        <v>0</v>
      </c>
      <c r="K344" s="20" t="n">
        <v>0</v>
      </c>
      <c r="L344" s="20" t="n">
        <v>0</v>
      </c>
      <c r="M344" s="20" t="n">
        <v>0</v>
      </c>
      <c r="N344" s="20" t="n">
        <v>0</v>
      </c>
      <c r="O344" s="20" t="n">
        <v>1900</v>
      </c>
      <c r="P344" s="20" t="n">
        <v>10875</v>
      </c>
      <c r="Q344" s="20" t="n">
        <v>10500</v>
      </c>
    </row>
    <row r="345">
      <c r="A345" s="19" t="inlineStr">
        <is>
          <t>Company 146</t>
        </is>
      </c>
      <c r="B345" s="19" t="inlineStr">
        <is>
          <t>Software</t>
        </is>
      </c>
      <c r="C345" s="19" t="inlineStr">
        <is>
          <t>ENOM+</t>
        </is>
      </c>
      <c r="D345" s="19" t="inlineStr">
        <is>
          <t>Czech Republic</t>
        </is>
      </c>
      <c r="E345" s="20" t="n">
        <v>0</v>
      </c>
      <c r="F345" s="20" t="n">
        <v>0</v>
      </c>
      <c r="G345" s="20" t="n">
        <v>0</v>
      </c>
      <c r="H345" s="20" t="n">
        <v>0</v>
      </c>
      <c r="I345" s="20" t="n">
        <v>0</v>
      </c>
      <c r="J345" s="20" t="n">
        <v>0</v>
      </c>
      <c r="K345" s="20" t="n">
        <v>5344.22</v>
      </c>
      <c r="L345" s="20" t="n">
        <v>9012.33</v>
      </c>
      <c r="M345" s="20" t="n">
        <v>8814.140000000001</v>
      </c>
      <c r="N345" s="20" t="n">
        <v>5286.17</v>
      </c>
      <c r="O345" s="20" t="n">
        <v>9083.106495726493</v>
      </c>
      <c r="P345" s="20" t="n">
        <v>8963.019999999999</v>
      </c>
      <c r="Q345" s="20" t="n">
        <v>9030.318770614693</v>
      </c>
    </row>
    <row r="346">
      <c r="A346" s="19" t="inlineStr">
        <is>
          <t>Company 147</t>
        </is>
      </c>
      <c r="B346" s="19" t="inlineStr">
        <is>
          <t>Operations</t>
        </is>
      </c>
      <c r="C346" s="19" t="inlineStr">
        <is>
          <t>Shipper Gas</t>
        </is>
      </c>
      <c r="D346" s="19" t="inlineStr">
        <is>
          <t>UK</t>
        </is>
      </c>
      <c r="E346" s="20" t="n">
        <v>0</v>
      </c>
      <c r="F346" s="20" t="n">
        <v>0</v>
      </c>
      <c r="G346" s="20" t="n">
        <v>0</v>
      </c>
      <c r="H346" s="20" t="n">
        <v>0</v>
      </c>
      <c r="I346" s="20" t="n">
        <v>0</v>
      </c>
      <c r="J346" s="20" t="n">
        <v>0</v>
      </c>
      <c r="K346" s="20" t="n">
        <v>0</v>
      </c>
      <c r="L346" s="20" t="n">
        <v>0</v>
      </c>
      <c r="M346" s="20" t="n">
        <v>0</v>
      </c>
      <c r="N346" s="20" t="n">
        <v>0</v>
      </c>
      <c r="O346" s="20" t="n">
        <v>435.48</v>
      </c>
      <c r="P346" s="20" t="n">
        <v>16900</v>
      </c>
      <c r="Q346" s="20" t="n">
        <v>17400</v>
      </c>
    </row>
    <row r="347">
      <c r="A347" s="19" t="inlineStr">
        <is>
          <t>Company 148</t>
        </is>
      </c>
      <c r="B347" s="19" t="inlineStr">
        <is>
          <t>Software</t>
        </is>
      </c>
      <c r="C347" s="19" t="inlineStr">
        <is>
          <t>Chorus</t>
        </is>
      </c>
      <c r="D347" s="19" t="inlineStr">
        <is>
          <t>Slovenia</t>
        </is>
      </c>
      <c r="E347" s="20" t="n">
        <v>0</v>
      </c>
      <c r="F347" s="20" t="n">
        <v>0</v>
      </c>
      <c r="G347" s="20" t="n">
        <v>0</v>
      </c>
      <c r="H347" s="20" t="n">
        <v>0</v>
      </c>
      <c r="I347" s="20" t="n">
        <v>0</v>
      </c>
      <c r="J347" s="20" t="n">
        <v>0</v>
      </c>
      <c r="K347" s="20" t="n">
        <v>0</v>
      </c>
      <c r="L347" s="20" t="n">
        <v>0</v>
      </c>
      <c r="M347" s="20" t="n">
        <v>0</v>
      </c>
      <c r="N347" s="20" t="n">
        <v>0</v>
      </c>
      <c r="O347" s="20" t="n">
        <v>1577.46</v>
      </c>
      <c r="P347" s="20" t="n">
        <v>9528.59</v>
      </c>
      <c r="Q347" s="20" t="n">
        <v>9524.24</v>
      </c>
    </row>
    <row r="348">
      <c r="A348" s="19" t="inlineStr">
        <is>
          <t>Company 148</t>
        </is>
      </c>
      <c r="B348" s="19" t="inlineStr">
        <is>
          <t>Software</t>
        </is>
      </c>
      <c r="C348" s="19" t="inlineStr">
        <is>
          <t>Routing</t>
        </is>
      </c>
      <c r="D348" s="19" t="inlineStr">
        <is>
          <t>Slovenia</t>
        </is>
      </c>
      <c r="E348" s="20" t="n">
        <v>0</v>
      </c>
      <c r="F348" s="20" t="n">
        <v>0</v>
      </c>
      <c r="G348" s="20" t="n">
        <v>0</v>
      </c>
      <c r="H348" s="20" t="n">
        <v>0</v>
      </c>
      <c r="I348" s="20" t="n">
        <v>0</v>
      </c>
      <c r="J348" s="20" t="n">
        <v>0</v>
      </c>
      <c r="K348" s="20" t="n">
        <v>0</v>
      </c>
      <c r="L348" s="20" t="n">
        <v>0</v>
      </c>
      <c r="M348" s="20" t="n">
        <v>0</v>
      </c>
      <c r="N348" s="20" t="n">
        <v>0</v>
      </c>
      <c r="O348" s="20" t="n">
        <v>0</v>
      </c>
      <c r="P348" s="20" t="n">
        <v>450.79</v>
      </c>
      <c r="Q348" s="20" t="n">
        <v>2736.0736</v>
      </c>
    </row>
    <row r="349">
      <c r="A349" s="19" t="inlineStr">
        <is>
          <t>Company 149</t>
        </is>
      </c>
      <c r="B349" s="19" t="inlineStr">
        <is>
          <t>Operations</t>
        </is>
      </c>
      <c r="C349" s="19" t="inlineStr">
        <is>
          <t>Shipper Gas</t>
        </is>
      </c>
      <c r="D349" s="19" t="inlineStr">
        <is>
          <t>Italy</t>
        </is>
      </c>
      <c r="E349" s="20" t="n">
        <v>0</v>
      </c>
      <c r="F349" s="20" t="n">
        <v>0</v>
      </c>
      <c r="G349" s="20" t="n">
        <v>0</v>
      </c>
      <c r="H349" s="20" t="n">
        <v>7500</v>
      </c>
      <c r="I349" s="20" t="n">
        <v>24000</v>
      </c>
      <c r="J349" s="20" t="n">
        <v>24000</v>
      </c>
      <c r="K349" s="20" t="n">
        <v>24000</v>
      </c>
      <c r="L349" s="20" t="n">
        <v>32400</v>
      </c>
      <c r="M349" s="20" t="n">
        <v>24400</v>
      </c>
      <c r="N349" s="20" t="n">
        <v>39400</v>
      </c>
      <c r="O349" s="20" t="n">
        <v>60400</v>
      </c>
      <c r="P349" s="20" t="n">
        <v>62590</v>
      </c>
      <c r="Q349" s="20" t="n">
        <v>66189.2</v>
      </c>
    </row>
    <row r="350">
      <c r="A350" s="19" t="inlineStr">
        <is>
          <t>Company 149</t>
        </is>
      </c>
      <c r="B350" s="19" t="inlineStr">
        <is>
          <t>Operations</t>
        </is>
      </c>
      <c r="C350" s="19" t="inlineStr">
        <is>
          <t>Shipper Power</t>
        </is>
      </c>
      <c r="D350" s="19" t="inlineStr">
        <is>
          <t>Italy</t>
        </is>
      </c>
      <c r="E350" s="20" t="n">
        <v>0</v>
      </c>
      <c r="F350" s="20" t="n">
        <v>0</v>
      </c>
      <c r="G350" s="20" t="n">
        <v>0</v>
      </c>
      <c r="H350" s="20" t="n">
        <v>0</v>
      </c>
      <c r="I350" s="20" t="n">
        <v>0</v>
      </c>
      <c r="J350" s="20" t="n">
        <v>0</v>
      </c>
      <c r="K350" s="20" t="n">
        <v>0</v>
      </c>
      <c r="L350" s="20" t="n">
        <v>0</v>
      </c>
      <c r="M350" s="20" t="n">
        <v>0</v>
      </c>
      <c r="N350" s="20" t="n">
        <v>0</v>
      </c>
      <c r="O350" s="20" t="n">
        <v>2000</v>
      </c>
      <c r="P350" s="20" t="n">
        <v>30000</v>
      </c>
      <c r="Q350" s="20" t="n">
        <v>18300</v>
      </c>
    </row>
    <row r="351">
      <c r="A351" s="19" t="inlineStr">
        <is>
          <t>Company 150</t>
        </is>
      </c>
      <c r="B351" s="19" t="inlineStr">
        <is>
          <t>Software</t>
        </is>
      </c>
      <c r="C351" s="19" t="inlineStr">
        <is>
          <t>PowerTrak</t>
        </is>
      </c>
      <c r="D351" s="19" t="inlineStr">
        <is>
          <t>Germany</t>
        </is>
      </c>
      <c r="E351" s="20" t="n">
        <v>0</v>
      </c>
      <c r="F351" s="20" t="n">
        <v>0</v>
      </c>
      <c r="G351" s="20" t="n">
        <v>0</v>
      </c>
      <c r="H351" s="20" t="n">
        <v>0</v>
      </c>
      <c r="I351" s="20" t="n">
        <v>0</v>
      </c>
      <c r="J351" s="20" t="n">
        <v>0</v>
      </c>
      <c r="K351" s="20" t="n">
        <v>0</v>
      </c>
      <c r="L351" s="20" t="n">
        <v>0</v>
      </c>
      <c r="M351" s="20" t="n">
        <v>0</v>
      </c>
      <c r="N351" s="20" t="n">
        <v>0</v>
      </c>
      <c r="O351" s="20" t="n">
        <v>0</v>
      </c>
      <c r="P351" s="20" t="n">
        <v>0</v>
      </c>
      <c r="Q351" s="20" t="n">
        <v>23470</v>
      </c>
    </row>
    <row r="352">
      <c r="A352" s="19" t="inlineStr">
        <is>
          <t>Company 150</t>
        </is>
      </c>
      <c r="B352" s="19" t="inlineStr">
        <is>
          <t>Power</t>
        </is>
      </c>
      <c r="C352" s="19" t="inlineStr">
        <is>
          <t>Shipper Power</t>
        </is>
      </c>
      <c r="D352" s="19" t="inlineStr">
        <is>
          <t>Germany</t>
        </is>
      </c>
      <c r="E352" s="20" t="n">
        <v>0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0</v>
      </c>
      <c r="K352" s="20" t="n">
        <v>0</v>
      </c>
      <c r="L352" s="20" t="n">
        <v>0</v>
      </c>
      <c r="M352" s="20" t="n">
        <v>0</v>
      </c>
      <c r="N352" s="20" t="n">
        <v>0</v>
      </c>
      <c r="O352" s="20" t="n">
        <v>5000</v>
      </c>
      <c r="P352" s="20" t="n">
        <v>53000</v>
      </c>
      <c r="Q352" s="20" t="n">
        <v>68684</v>
      </c>
    </row>
    <row r="353">
      <c r="A353" s="19" t="inlineStr">
        <is>
          <t>Company 151</t>
        </is>
      </c>
      <c r="B353" s="19" t="inlineStr">
        <is>
          <t>Software</t>
        </is>
      </c>
      <c r="C353" s="19" t="inlineStr">
        <is>
          <t>Routing</t>
        </is>
      </c>
      <c r="D353" s="19" t="inlineStr">
        <is>
          <t>Hungary</t>
        </is>
      </c>
      <c r="E353" s="20" t="n">
        <v>0</v>
      </c>
      <c r="F353" s="20" t="n">
        <v>0</v>
      </c>
      <c r="G353" s="20" t="n">
        <v>0</v>
      </c>
      <c r="H353" s="20" t="n">
        <v>0</v>
      </c>
      <c r="I353" s="20" t="n">
        <v>0</v>
      </c>
      <c r="J353" s="20" t="n">
        <v>0</v>
      </c>
      <c r="K353" s="20" t="n">
        <v>0</v>
      </c>
      <c r="L353" s="20" t="n">
        <v>0</v>
      </c>
      <c r="M353" s="20" t="n">
        <v>0</v>
      </c>
      <c r="N353" s="20" t="n">
        <v>0</v>
      </c>
      <c r="O353" s="20" t="n">
        <v>0</v>
      </c>
      <c r="P353" s="20" t="n">
        <v>4143.46</v>
      </c>
      <c r="Q353" s="20" t="n">
        <v>813.75</v>
      </c>
    </row>
    <row r="354">
      <c r="A354" s="19" t="inlineStr">
        <is>
          <t>Company 151</t>
        </is>
      </c>
      <c r="B354" s="19" t="inlineStr">
        <is>
          <t>Software</t>
        </is>
      </c>
      <c r="C354" s="19" t="inlineStr">
        <is>
          <t>ENOM+</t>
        </is>
      </c>
      <c r="D354" s="19" t="inlineStr">
        <is>
          <t>Hungary</t>
        </is>
      </c>
      <c r="E354" s="20" t="n">
        <v>0</v>
      </c>
      <c r="F354" s="20" t="n">
        <v>0</v>
      </c>
      <c r="G354" s="20" t="n">
        <v>0</v>
      </c>
      <c r="H354" s="20" t="n">
        <v>0</v>
      </c>
      <c r="I354" s="20" t="n">
        <v>0</v>
      </c>
      <c r="J354" s="20" t="n">
        <v>0</v>
      </c>
      <c r="K354" s="20" t="n">
        <v>0</v>
      </c>
      <c r="L354" s="20" t="n">
        <v>0</v>
      </c>
      <c r="M354" s="20" t="n">
        <v>0</v>
      </c>
      <c r="N354" s="20" t="n">
        <v>0</v>
      </c>
      <c r="O354" s="20" t="n">
        <v>0</v>
      </c>
      <c r="P354" s="20" t="n">
        <v>4264.24</v>
      </c>
      <c r="Q354" s="20" t="n">
        <v>1605.76</v>
      </c>
    </row>
    <row r="355">
      <c r="A355" s="19" t="inlineStr">
        <is>
          <t>Company 151</t>
        </is>
      </c>
      <c r="B355" s="19" t="inlineStr">
        <is>
          <t>Software</t>
        </is>
      </c>
      <c r="C355" s="19" t="inlineStr">
        <is>
          <t>ENOM</t>
        </is>
      </c>
      <c r="D355" s="19" t="inlineStr">
        <is>
          <t>Hungary</t>
        </is>
      </c>
      <c r="E355" s="20" t="n">
        <v>0</v>
      </c>
      <c r="F355" s="20" t="n">
        <v>0</v>
      </c>
      <c r="G355" s="20" t="n">
        <v>0</v>
      </c>
      <c r="H355" s="20" t="n">
        <v>0</v>
      </c>
      <c r="I355" s="20" t="n">
        <v>0</v>
      </c>
      <c r="J355" s="20" t="n">
        <v>0</v>
      </c>
      <c r="K355" s="20" t="n">
        <v>0</v>
      </c>
      <c r="L355" s="20" t="n">
        <v>0</v>
      </c>
      <c r="M355" s="20" t="n">
        <v>0</v>
      </c>
      <c r="N355" s="20" t="n">
        <v>0</v>
      </c>
      <c r="O355" s="20" t="n">
        <v>0</v>
      </c>
      <c r="P355" s="20" t="n">
        <v>4824.09</v>
      </c>
      <c r="Q355" s="20" t="n">
        <v>11630.27</v>
      </c>
    </row>
    <row r="356">
      <c r="A356" s="19" t="inlineStr">
        <is>
          <t>Company 151</t>
        </is>
      </c>
      <c r="B356" s="19" t="inlineStr">
        <is>
          <t>Software</t>
        </is>
      </c>
      <c r="C356" s="19" t="inlineStr">
        <is>
          <t>Routing</t>
        </is>
      </c>
      <c r="D356" s="19" t="inlineStr">
        <is>
          <t>Hungary</t>
        </is>
      </c>
      <c r="E356" s="20" t="n">
        <v>0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0</v>
      </c>
      <c r="K356" s="20" t="n">
        <v>0</v>
      </c>
      <c r="L356" s="20" t="n">
        <v>0</v>
      </c>
      <c r="M356" s="20" t="n">
        <v>0</v>
      </c>
      <c r="N356" s="20" t="n">
        <v>0</v>
      </c>
      <c r="O356" s="20" t="n">
        <v>0</v>
      </c>
      <c r="P356" s="20" t="n">
        <v>-825.8199999999999</v>
      </c>
      <c r="Q356" s="20" t="n">
        <v>4488.03</v>
      </c>
    </row>
    <row r="357">
      <c r="A357" s="19" t="inlineStr">
        <is>
          <t>Company 151</t>
        </is>
      </c>
      <c r="B357" s="19" t="inlineStr">
        <is>
          <t>Software</t>
        </is>
      </c>
      <c r="C357" s="19" t="inlineStr">
        <is>
          <t>Routing</t>
        </is>
      </c>
      <c r="D357" s="19" t="inlineStr">
        <is>
          <t>Hungary</t>
        </is>
      </c>
      <c r="E357" s="20" t="n">
        <v>0</v>
      </c>
      <c r="F357" s="20" t="n">
        <v>0</v>
      </c>
      <c r="G357" s="20" t="n">
        <v>0</v>
      </c>
      <c r="H357" s="20" t="n">
        <v>0</v>
      </c>
      <c r="I357" s="20" t="n">
        <v>0</v>
      </c>
      <c r="J357" s="20" t="n">
        <v>0</v>
      </c>
      <c r="K357" s="20" t="n">
        <v>0</v>
      </c>
      <c r="L357" s="20" t="n">
        <v>0</v>
      </c>
      <c r="M357" s="20" t="n">
        <v>0</v>
      </c>
      <c r="N357" s="20" t="n">
        <v>0</v>
      </c>
      <c r="O357" s="20" t="n">
        <v>0</v>
      </c>
      <c r="P357" s="20" t="n">
        <v>0</v>
      </c>
      <c r="Q357" s="20" t="n">
        <v>888.77</v>
      </c>
    </row>
    <row r="358">
      <c r="A358" s="19" t="inlineStr">
        <is>
          <t>Company 152</t>
        </is>
      </c>
      <c r="B358" s="19" t="inlineStr">
        <is>
          <t>Software</t>
        </is>
      </c>
      <c r="C358" s="19" t="inlineStr">
        <is>
          <t>ENOM+</t>
        </is>
      </c>
      <c r="D358" s="19" t="inlineStr">
        <is>
          <t>Netherlands</t>
        </is>
      </c>
      <c r="E358" s="20" t="n">
        <v>0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0</v>
      </c>
      <c r="K358" s="20" t="n">
        <v>0</v>
      </c>
      <c r="L358" s="20" t="n">
        <v>0</v>
      </c>
      <c r="M358" s="20" t="n">
        <v>0</v>
      </c>
      <c r="N358" s="20" t="n">
        <v>0</v>
      </c>
      <c r="O358" s="20" t="n">
        <v>0</v>
      </c>
      <c r="P358" s="20" t="n">
        <v>55327.12000000001</v>
      </c>
      <c r="Q358" s="20" t="n">
        <v>56740.02666666665</v>
      </c>
    </row>
    <row r="359">
      <c r="A359" s="19" t="inlineStr">
        <is>
          <t>Company 152</t>
        </is>
      </c>
      <c r="B359" s="19" t="inlineStr">
        <is>
          <t>Operations</t>
        </is>
      </c>
      <c r="C359" s="19" t="inlineStr">
        <is>
          <t>Shipper Gas</t>
        </is>
      </c>
      <c r="D359" s="19" t="inlineStr">
        <is>
          <t>Netherlands</t>
        </is>
      </c>
      <c r="E359" s="20" t="n">
        <v>0</v>
      </c>
      <c r="F359" s="20" t="n">
        <v>0</v>
      </c>
      <c r="G359" s="20" t="n">
        <v>0</v>
      </c>
      <c r="H359" s="20" t="n">
        <v>0</v>
      </c>
      <c r="I359" s="20" t="n">
        <v>0</v>
      </c>
      <c r="J359" s="20" t="n">
        <v>0</v>
      </c>
      <c r="K359" s="20" t="n">
        <v>0</v>
      </c>
      <c r="L359" s="20" t="n">
        <v>0</v>
      </c>
      <c r="M359" s="20" t="n">
        <v>0</v>
      </c>
      <c r="N359" s="20" t="n">
        <v>0</v>
      </c>
      <c r="O359" s="20" t="n">
        <v>0</v>
      </c>
      <c r="P359" s="20" t="n">
        <v>85800</v>
      </c>
      <c r="Q359" s="20" t="n">
        <v>78172.8</v>
      </c>
    </row>
    <row r="360">
      <c r="A360" s="19" t="inlineStr">
        <is>
          <t>Company 152</t>
        </is>
      </c>
      <c r="B360" s="19" t="inlineStr">
        <is>
          <t>Software</t>
        </is>
      </c>
      <c r="C360" s="19" t="inlineStr">
        <is>
          <t>Routing</t>
        </is>
      </c>
      <c r="D360" s="19" t="inlineStr">
        <is>
          <t>Netherlands</t>
        </is>
      </c>
      <c r="E360" s="20" t="n">
        <v>0</v>
      </c>
      <c r="F360" s="20" t="n">
        <v>0</v>
      </c>
      <c r="G360" s="20" t="n">
        <v>0</v>
      </c>
      <c r="H360" s="20" t="n">
        <v>0</v>
      </c>
      <c r="I360" s="20" t="n">
        <v>0</v>
      </c>
      <c r="J360" s="20" t="n">
        <v>0</v>
      </c>
      <c r="K360" s="20" t="n">
        <v>0</v>
      </c>
      <c r="L360" s="20" t="n">
        <v>0</v>
      </c>
      <c r="M360" s="20" t="n">
        <v>0</v>
      </c>
      <c r="N360" s="20" t="n">
        <v>0</v>
      </c>
      <c r="O360" s="20" t="n">
        <v>0</v>
      </c>
      <c r="P360" s="20" t="n">
        <v>21810.2</v>
      </c>
      <c r="Q360" s="20" t="n">
        <v>24311.12000000001</v>
      </c>
    </row>
    <row r="361">
      <c r="A361" s="19" t="inlineStr">
        <is>
          <t>Company 152</t>
        </is>
      </c>
      <c r="B361" s="19" t="inlineStr">
        <is>
          <t>Software</t>
        </is>
      </c>
      <c r="C361" s="19" t="inlineStr">
        <is>
          <t>Hosting</t>
        </is>
      </c>
      <c r="D361" s="19" t="inlineStr">
        <is>
          <t>Netherlands</t>
        </is>
      </c>
      <c r="E361" s="20" t="n">
        <v>0</v>
      </c>
      <c r="F361" s="20" t="n">
        <v>0</v>
      </c>
      <c r="G361" s="20" t="n">
        <v>0</v>
      </c>
      <c r="H361" s="20" t="n">
        <v>0</v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0" t="n">
        <v>0</v>
      </c>
      <c r="O361" s="20" t="n">
        <v>0</v>
      </c>
      <c r="P361" s="20" t="n">
        <v>11209.04</v>
      </c>
      <c r="Q361" s="20" t="n">
        <v>12479.76</v>
      </c>
    </row>
    <row r="362">
      <c r="A362" s="19" t="inlineStr">
        <is>
          <t>Company 153</t>
        </is>
      </c>
      <c r="B362" s="19" t="inlineStr">
        <is>
          <t>Software</t>
        </is>
      </c>
      <c r="C362" s="19" t="inlineStr">
        <is>
          <t>Chorus</t>
        </is>
      </c>
      <c r="D362" s="19" t="inlineStr">
        <is>
          <t>Czech Republic</t>
        </is>
      </c>
      <c r="E362" s="20" t="n">
        <v>0</v>
      </c>
      <c r="F362" s="20" t="n">
        <v>0</v>
      </c>
      <c r="G362" s="20" t="n">
        <v>0</v>
      </c>
      <c r="H362" s="20" t="n">
        <v>0</v>
      </c>
      <c r="I362" s="20" t="n">
        <v>0</v>
      </c>
      <c r="J362" s="20" t="n">
        <v>0</v>
      </c>
      <c r="K362" s="20" t="n">
        <v>0</v>
      </c>
      <c r="L362" s="20" t="n">
        <v>0</v>
      </c>
      <c r="M362" s="20" t="n">
        <v>0</v>
      </c>
      <c r="N362" s="20" t="n">
        <v>0</v>
      </c>
      <c r="O362" s="20" t="n">
        <v>0</v>
      </c>
      <c r="P362" s="20" t="n">
        <v>4405.5</v>
      </c>
      <c r="Q362" s="20" t="n">
        <v>5915.18</v>
      </c>
    </row>
    <row r="363">
      <c r="A363" s="19" t="inlineStr">
        <is>
          <t>Company 153</t>
        </is>
      </c>
      <c r="B363" s="19" t="inlineStr">
        <is>
          <t>Software</t>
        </is>
      </c>
      <c r="C363" s="19" t="inlineStr">
        <is>
          <t>Routing</t>
        </is>
      </c>
      <c r="D363" s="19" t="inlineStr">
        <is>
          <t>Czech Republic</t>
        </is>
      </c>
      <c r="E363" s="20" t="n">
        <v>0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0</v>
      </c>
      <c r="K363" s="20" t="n">
        <v>0</v>
      </c>
      <c r="L363" s="20" t="n">
        <v>0</v>
      </c>
      <c r="M363" s="20" t="n">
        <v>0</v>
      </c>
      <c r="N363" s="20" t="n">
        <v>0</v>
      </c>
      <c r="O363" s="20" t="n">
        <v>0</v>
      </c>
      <c r="P363" s="20" t="n">
        <v>1787.5</v>
      </c>
      <c r="Q363" s="20" t="n">
        <v>2403.5</v>
      </c>
    </row>
    <row r="364">
      <c r="A364" s="19" t="inlineStr">
        <is>
          <t>Company 154</t>
        </is>
      </c>
      <c r="B364" s="19" t="inlineStr">
        <is>
          <t>Software</t>
        </is>
      </c>
      <c r="C364" s="19" t="inlineStr">
        <is>
          <t>Routing</t>
        </is>
      </c>
      <c r="D364" s="19" t="inlineStr">
        <is>
          <t>Poland</t>
        </is>
      </c>
      <c r="E364" s="20" t="n">
        <v>0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0</v>
      </c>
      <c r="K364" s="20" t="n">
        <v>0</v>
      </c>
      <c r="L364" s="20" t="n">
        <v>0</v>
      </c>
      <c r="M364" s="20" t="n">
        <v>0</v>
      </c>
      <c r="N364" s="20" t="n">
        <v>0</v>
      </c>
      <c r="O364" s="20" t="n">
        <v>0</v>
      </c>
      <c r="P364" s="20" t="n">
        <v>5767.11</v>
      </c>
      <c r="Q364" s="20" t="n">
        <v>6107.930000000001</v>
      </c>
    </row>
    <row r="365">
      <c r="A365" s="19" t="inlineStr">
        <is>
          <t>Company 155</t>
        </is>
      </c>
      <c r="B365" s="19" t="inlineStr">
        <is>
          <t>Software</t>
        </is>
      </c>
      <c r="C365" s="19" t="inlineStr">
        <is>
          <t>PowerTrak</t>
        </is>
      </c>
      <c r="D365" s="19" t="inlineStr">
        <is>
          <t>UK</t>
        </is>
      </c>
      <c r="E365" s="20" t="n">
        <v>0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0</v>
      </c>
      <c r="K365" s="20" t="n">
        <v>0</v>
      </c>
      <c r="L365" s="20" t="n">
        <v>0</v>
      </c>
      <c r="M365" s="20" t="n">
        <v>0</v>
      </c>
      <c r="N365" s="20" t="n">
        <v>0</v>
      </c>
      <c r="O365" s="20" t="n">
        <v>0</v>
      </c>
      <c r="P365" s="20" t="n">
        <v>38904.74999999999</v>
      </c>
      <c r="Q365" s="20" t="n">
        <v>47022.91</v>
      </c>
    </row>
    <row r="366">
      <c r="A366" s="19" t="inlineStr">
        <is>
          <t>Company 155</t>
        </is>
      </c>
      <c r="B366" s="19" t="inlineStr">
        <is>
          <t>Software</t>
        </is>
      </c>
      <c r="C366" s="19" t="inlineStr">
        <is>
          <t>Hosting</t>
        </is>
      </c>
      <c r="D366" s="19" t="inlineStr">
        <is>
          <t>UK</t>
        </is>
      </c>
      <c r="E366" s="20" t="n">
        <v>0</v>
      </c>
      <c r="F366" s="20" t="n">
        <v>0</v>
      </c>
      <c r="G366" s="20" t="n">
        <v>0</v>
      </c>
      <c r="H366" s="20" t="n">
        <v>0</v>
      </c>
      <c r="I366" s="20" t="n">
        <v>0</v>
      </c>
      <c r="J366" s="20" t="n">
        <v>0</v>
      </c>
      <c r="K366" s="20" t="n">
        <v>0</v>
      </c>
      <c r="L366" s="20" t="n">
        <v>0</v>
      </c>
      <c r="M366" s="20" t="n">
        <v>0</v>
      </c>
      <c r="N366" s="20" t="n">
        <v>0</v>
      </c>
      <c r="O366" s="20" t="n">
        <v>0</v>
      </c>
      <c r="P366" s="20" t="n">
        <v>541.7500000000001</v>
      </c>
      <c r="Q366" s="20" t="n">
        <v>729.83</v>
      </c>
    </row>
    <row r="367">
      <c r="A367" s="19" t="inlineStr">
        <is>
          <t>Company 155</t>
        </is>
      </c>
      <c r="B367" s="19" t="inlineStr">
        <is>
          <t>Software</t>
        </is>
      </c>
      <c r="C367" s="19" t="inlineStr">
        <is>
          <t>Routing</t>
        </is>
      </c>
      <c r="D367" s="19" t="inlineStr">
        <is>
          <t>UK</t>
        </is>
      </c>
      <c r="E367" s="20" t="n">
        <v>0</v>
      </c>
      <c r="F367" s="20" t="n">
        <v>0</v>
      </c>
      <c r="G367" s="20" t="n">
        <v>0</v>
      </c>
      <c r="H367" s="20" t="n">
        <v>0</v>
      </c>
      <c r="I367" s="20" t="n">
        <v>0</v>
      </c>
      <c r="J367" s="20" t="n">
        <v>0</v>
      </c>
      <c r="K367" s="20" t="n">
        <v>0</v>
      </c>
      <c r="L367" s="20" t="n">
        <v>0</v>
      </c>
      <c r="M367" s="20" t="n">
        <v>0</v>
      </c>
      <c r="N367" s="20" t="n">
        <v>0</v>
      </c>
      <c r="O367" s="20" t="n">
        <v>0</v>
      </c>
      <c r="P367" s="20" t="n">
        <v>813.9999999999999</v>
      </c>
      <c r="Q367" s="20" t="n">
        <v>1094.64</v>
      </c>
    </row>
    <row r="368">
      <c r="A368" s="19" t="inlineStr">
        <is>
          <t>Company 156</t>
        </is>
      </c>
      <c r="B368" s="19" t="inlineStr">
        <is>
          <t>Software</t>
        </is>
      </c>
      <c r="C368" s="19" t="inlineStr">
        <is>
          <t>Chorus</t>
        </is>
      </c>
      <c r="D368" s="19" t="inlineStr">
        <is>
          <t>Austria</t>
        </is>
      </c>
      <c r="E368" s="20" t="n">
        <v>0</v>
      </c>
      <c r="F368" s="20" t="n">
        <v>0</v>
      </c>
      <c r="G368" s="20" t="n">
        <v>0</v>
      </c>
      <c r="H368" s="20" t="n">
        <v>0</v>
      </c>
      <c r="I368" s="20" t="n">
        <v>0</v>
      </c>
      <c r="J368" s="20" t="n">
        <v>0</v>
      </c>
      <c r="K368" s="20" t="n">
        <v>0</v>
      </c>
      <c r="L368" s="20" t="n">
        <v>0</v>
      </c>
      <c r="M368" s="20" t="n">
        <v>0</v>
      </c>
      <c r="N368" s="20" t="n">
        <v>0</v>
      </c>
      <c r="O368" s="20" t="n">
        <v>0</v>
      </c>
      <c r="P368" s="20" t="n">
        <v>12938.08</v>
      </c>
      <c r="Q368" s="20" t="n">
        <v>17453.86095652173</v>
      </c>
    </row>
    <row r="369">
      <c r="A369" s="19" t="inlineStr">
        <is>
          <t>Company 156</t>
        </is>
      </c>
      <c r="B369" s="19" t="inlineStr">
        <is>
          <t>Software</t>
        </is>
      </c>
      <c r="C369" s="19" t="inlineStr">
        <is>
          <t>Routing</t>
        </is>
      </c>
      <c r="D369" s="19" t="inlineStr">
        <is>
          <t>Austria</t>
        </is>
      </c>
      <c r="E369" s="20" t="n">
        <v>0</v>
      </c>
      <c r="F369" s="20" t="n">
        <v>0</v>
      </c>
      <c r="G369" s="20" t="n">
        <v>0</v>
      </c>
      <c r="H369" s="20" t="n">
        <v>0</v>
      </c>
      <c r="I369" s="20" t="n">
        <v>0</v>
      </c>
      <c r="J369" s="20" t="n">
        <v>0</v>
      </c>
      <c r="K369" s="20" t="n">
        <v>0</v>
      </c>
      <c r="L369" s="20" t="n">
        <v>0</v>
      </c>
      <c r="M369" s="20" t="n">
        <v>0</v>
      </c>
      <c r="N369" s="20" t="n">
        <v>0</v>
      </c>
      <c r="O369" s="20" t="n">
        <v>0</v>
      </c>
      <c r="P369" s="20" t="n">
        <v>4607.77</v>
      </c>
      <c r="Q369" s="20" t="n">
        <v>6216.284260869564</v>
      </c>
    </row>
    <row r="370">
      <c r="A370" s="19" t="inlineStr">
        <is>
          <t>Company 157</t>
        </is>
      </c>
      <c r="B370" s="19" t="inlineStr">
        <is>
          <t>Software</t>
        </is>
      </c>
      <c r="C370" s="19" t="inlineStr">
        <is>
          <t>Chorus</t>
        </is>
      </c>
      <c r="D370" s="19" t="inlineStr">
        <is>
          <t>UK</t>
        </is>
      </c>
      <c r="E370" s="20" t="n">
        <v>0</v>
      </c>
      <c r="F370" s="20" t="n">
        <v>0</v>
      </c>
      <c r="G370" s="20" t="n">
        <v>0</v>
      </c>
      <c r="H370" s="20" t="n">
        <v>0</v>
      </c>
      <c r="I370" s="20" t="n">
        <v>0</v>
      </c>
      <c r="J370" s="20" t="n">
        <v>0</v>
      </c>
      <c r="K370" s="20" t="n">
        <v>0</v>
      </c>
      <c r="L370" s="20" t="n">
        <v>0</v>
      </c>
      <c r="M370" s="20" t="n">
        <v>0</v>
      </c>
      <c r="N370" s="20" t="n">
        <v>0</v>
      </c>
      <c r="O370" s="20" t="n">
        <v>0</v>
      </c>
      <c r="P370" s="20" t="n">
        <v>14313.75</v>
      </c>
      <c r="Q370" s="20" t="n">
        <v>19210.95</v>
      </c>
    </row>
    <row r="371">
      <c r="A371" s="19" t="inlineStr">
        <is>
          <t>Company 157</t>
        </is>
      </c>
      <c r="B371" s="19" t="inlineStr">
        <is>
          <t>Software</t>
        </is>
      </c>
      <c r="C371" s="19" t="inlineStr">
        <is>
          <t>Routing</t>
        </is>
      </c>
      <c r="D371" s="19" t="inlineStr">
        <is>
          <t>UK</t>
        </is>
      </c>
      <c r="E371" s="20" t="n">
        <v>0</v>
      </c>
      <c r="F371" s="20" t="n">
        <v>0</v>
      </c>
      <c r="G371" s="20" t="n">
        <v>0</v>
      </c>
      <c r="H371" s="20" t="n">
        <v>0</v>
      </c>
      <c r="I371" s="20" t="n">
        <v>0</v>
      </c>
      <c r="J371" s="20" t="n">
        <v>0</v>
      </c>
      <c r="K371" s="20" t="n">
        <v>0</v>
      </c>
      <c r="L371" s="20" t="n">
        <v>0</v>
      </c>
      <c r="M371" s="20" t="n">
        <v>0</v>
      </c>
      <c r="N371" s="20" t="n">
        <v>0</v>
      </c>
      <c r="O371" s="20" t="n">
        <v>0</v>
      </c>
      <c r="P371" s="20" t="n">
        <v>6327.75</v>
      </c>
      <c r="Q371" s="20" t="n">
        <v>8487.59</v>
      </c>
    </row>
    <row r="372">
      <c r="A372" s="19" t="inlineStr">
        <is>
          <t>Company 158</t>
        </is>
      </c>
      <c r="B372" s="19" t="inlineStr">
        <is>
          <t>Software</t>
        </is>
      </c>
      <c r="C372" s="19" t="inlineStr">
        <is>
          <t>ENOM+</t>
        </is>
      </c>
      <c r="D372" s="19" t="inlineStr">
        <is>
          <t>France</t>
        </is>
      </c>
      <c r="E372" s="20" t="n">
        <v>0</v>
      </c>
      <c r="F372" s="20" t="n">
        <v>0</v>
      </c>
      <c r="G372" s="20" t="n">
        <v>0</v>
      </c>
      <c r="H372" s="20" t="n">
        <v>0</v>
      </c>
      <c r="I372" s="20" t="n">
        <v>0</v>
      </c>
      <c r="J372" s="20" t="n">
        <v>0</v>
      </c>
      <c r="K372" s="20" t="n">
        <v>0</v>
      </c>
      <c r="L372" s="20" t="n">
        <v>0</v>
      </c>
      <c r="M372" s="20" t="n">
        <v>0</v>
      </c>
      <c r="N372" s="20" t="n">
        <v>27256.25</v>
      </c>
      <c r="O372" s="20" t="n">
        <v>19945.2</v>
      </c>
      <c r="P372" s="20" t="n">
        <v>15432.91</v>
      </c>
      <c r="Q372" s="20" t="n">
        <v>15605.11</v>
      </c>
    </row>
    <row r="373">
      <c r="A373" s="19" t="inlineStr">
        <is>
          <t>Company 158</t>
        </is>
      </c>
      <c r="B373" s="19" t="inlineStr">
        <is>
          <t>Software</t>
        </is>
      </c>
      <c r="C373" s="19" t="inlineStr">
        <is>
          <t>Routing</t>
        </is>
      </c>
      <c r="D373" s="19" t="inlineStr">
        <is>
          <t>France</t>
        </is>
      </c>
      <c r="E373" s="20" t="n">
        <v>0</v>
      </c>
      <c r="F373" s="20" t="n">
        <v>0</v>
      </c>
      <c r="G373" s="20" t="n">
        <v>0</v>
      </c>
      <c r="H373" s="20" t="n">
        <v>0</v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0" t="n">
        <v>77553.76000000001</v>
      </c>
      <c r="O373" s="20" t="n">
        <v>44647.29</v>
      </c>
      <c r="P373" s="20" t="n">
        <v>8076.020000000003</v>
      </c>
      <c r="Q373" s="20" t="n">
        <v>1999.78</v>
      </c>
    </row>
    <row r="374">
      <c r="A374" s="19" t="inlineStr">
        <is>
          <t>Company 159</t>
        </is>
      </c>
      <c r="B374" s="19" t="inlineStr">
        <is>
          <t>Software</t>
        </is>
      </c>
      <c r="C374" s="19" t="inlineStr">
        <is>
          <t>Routing</t>
        </is>
      </c>
      <c r="D374" s="19" t="inlineStr">
        <is>
          <t>Italy</t>
        </is>
      </c>
      <c r="E374" s="20" t="n">
        <v>0</v>
      </c>
      <c r="F374" s="20" t="n">
        <v>0</v>
      </c>
      <c r="G374" s="20" t="n">
        <v>0</v>
      </c>
      <c r="H374" s="20" t="n">
        <v>0</v>
      </c>
      <c r="I374" s="20" t="n">
        <v>0</v>
      </c>
      <c r="J374" s="20" t="n">
        <v>0</v>
      </c>
      <c r="K374" s="20" t="n">
        <v>0</v>
      </c>
      <c r="L374" s="20" t="n">
        <v>0</v>
      </c>
      <c r="M374" s="20" t="n">
        <v>0</v>
      </c>
      <c r="N374" s="20" t="n">
        <v>0</v>
      </c>
      <c r="O374" s="20" t="n">
        <v>0</v>
      </c>
      <c r="P374" s="20" t="n">
        <v>3069</v>
      </c>
      <c r="Q374" s="20" t="n">
        <v>4229.160000000001</v>
      </c>
    </row>
    <row r="375">
      <c r="A375" s="19" t="inlineStr">
        <is>
          <t>Company 159</t>
        </is>
      </c>
      <c r="B375" s="19" t="inlineStr">
        <is>
          <t>Software</t>
        </is>
      </c>
      <c r="C375" s="19" t="inlineStr">
        <is>
          <t>Chorus</t>
        </is>
      </c>
      <c r="D375" s="19" t="inlineStr">
        <is>
          <t>Italy</t>
        </is>
      </c>
      <c r="E375" s="20" t="n">
        <v>0</v>
      </c>
      <c r="F375" s="20" t="n">
        <v>0</v>
      </c>
      <c r="G375" s="20" t="n">
        <v>0</v>
      </c>
      <c r="H375" s="20" t="n">
        <v>0</v>
      </c>
      <c r="I375" s="20" t="n">
        <v>0</v>
      </c>
      <c r="J375" s="20" t="n">
        <v>0</v>
      </c>
      <c r="K375" s="20" t="n">
        <v>0</v>
      </c>
      <c r="L375" s="20" t="n">
        <v>0</v>
      </c>
      <c r="M375" s="20" t="n">
        <v>0</v>
      </c>
      <c r="N375" s="20" t="n">
        <v>0</v>
      </c>
      <c r="O375" s="20" t="n">
        <v>0</v>
      </c>
      <c r="P375" s="20" t="n">
        <v>11558.25</v>
      </c>
      <c r="Q375" s="20" t="n">
        <v>15926.73000000001</v>
      </c>
    </row>
    <row r="376">
      <c r="A376" s="19" t="inlineStr">
        <is>
          <t>Company 160</t>
        </is>
      </c>
      <c r="B376" s="19" t="inlineStr">
        <is>
          <t>Software</t>
        </is>
      </c>
      <c r="C376" s="19" t="inlineStr">
        <is>
          <t>Routing</t>
        </is>
      </c>
      <c r="D376" s="19" t="inlineStr">
        <is>
          <t>Poland</t>
        </is>
      </c>
      <c r="E376" s="20" t="n">
        <v>0</v>
      </c>
      <c r="F376" s="20" t="n">
        <v>0</v>
      </c>
      <c r="G376" s="20" t="n">
        <v>0</v>
      </c>
      <c r="H376" s="20" t="n">
        <v>0</v>
      </c>
      <c r="I376" s="20" t="n">
        <v>0</v>
      </c>
      <c r="J376" s="20" t="n">
        <v>0</v>
      </c>
      <c r="K376" s="20" t="n">
        <v>0</v>
      </c>
      <c r="L376" s="20" t="n">
        <v>0</v>
      </c>
      <c r="M376" s="20" t="n">
        <v>0</v>
      </c>
      <c r="N376" s="20" t="n">
        <v>0</v>
      </c>
      <c r="O376" s="20" t="n">
        <v>0</v>
      </c>
      <c r="P376" s="20" t="n">
        <v>2849.35</v>
      </c>
      <c r="Q376" s="20" t="n">
        <v>4411.690000000001</v>
      </c>
    </row>
    <row r="377">
      <c r="A377" s="19" t="inlineStr">
        <is>
          <t>Company 160</t>
        </is>
      </c>
      <c r="B377" s="19" t="inlineStr">
        <is>
          <t>Software</t>
        </is>
      </c>
      <c r="C377" s="19" t="inlineStr">
        <is>
          <t>Chorus</t>
        </is>
      </c>
      <c r="D377" s="19" t="inlineStr">
        <is>
          <t>Poland</t>
        </is>
      </c>
      <c r="E377" s="20" t="n">
        <v>0</v>
      </c>
      <c r="F377" s="20" t="n">
        <v>0</v>
      </c>
      <c r="G377" s="20" t="n">
        <v>0</v>
      </c>
      <c r="H377" s="20" t="n">
        <v>0</v>
      </c>
      <c r="I377" s="20" t="n">
        <v>0</v>
      </c>
      <c r="J377" s="20" t="n">
        <v>0</v>
      </c>
      <c r="K377" s="20" t="n">
        <v>0</v>
      </c>
      <c r="L377" s="20" t="n">
        <v>0</v>
      </c>
      <c r="M377" s="20" t="n">
        <v>0</v>
      </c>
      <c r="N377" s="20" t="n">
        <v>0</v>
      </c>
      <c r="O377" s="20" t="n">
        <v>0</v>
      </c>
      <c r="P377" s="20" t="n">
        <v>7051.099999999999</v>
      </c>
      <c r="Q377" s="20" t="n">
        <v>10903.46</v>
      </c>
    </row>
    <row r="378">
      <c r="A378" s="19" t="inlineStr">
        <is>
          <t>Company 161</t>
        </is>
      </c>
      <c r="B378" s="19" t="inlineStr">
        <is>
          <t>Software</t>
        </is>
      </c>
      <c r="C378" s="19" t="inlineStr">
        <is>
          <t>ENOM+</t>
        </is>
      </c>
      <c r="D378" s="19" t="inlineStr">
        <is>
          <t>Switzerland</t>
        </is>
      </c>
      <c r="E378" s="20" t="n">
        <v>0</v>
      </c>
      <c r="F378" s="20" t="n">
        <v>0</v>
      </c>
      <c r="G378" s="20" t="n">
        <v>0</v>
      </c>
      <c r="H378" s="20" t="n">
        <v>0</v>
      </c>
      <c r="I378" s="20" t="n">
        <v>0</v>
      </c>
      <c r="J378" s="20" t="n">
        <v>0</v>
      </c>
      <c r="K378" s="20" t="n">
        <v>0</v>
      </c>
      <c r="L378" s="20" t="n">
        <v>0</v>
      </c>
      <c r="M378" s="20" t="n">
        <v>0</v>
      </c>
      <c r="N378" s="20" t="n">
        <v>0</v>
      </c>
      <c r="O378" s="20" t="n">
        <v>0</v>
      </c>
      <c r="P378" s="20" t="n">
        <v>0</v>
      </c>
      <c r="Q378" s="20" t="n">
        <v>16080</v>
      </c>
    </row>
    <row r="379">
      <c r="A379" s="19" t="inlineStr">
        <is>
          <t>Company 161</t>
        </is>
      </c>
      <c r="B379" s="19" t="inlineStr">
        <is>
          <t>Software</t>
        </is>
      </c>
      <c r="C379" s="19" t="inlineStr">
        <is>
          <t>Routing</t>
        </is>
      </c>
      <c r="D379" s="19" t="inlineStr">
        <is>
          <t>Switzerland</t>
        </is>
      </c>
      <c r="E379" s="20" t="n">
        <v>0</v>
      </c>
      <c r="F379" s="20" t="n">
        <v>0</v>
      </c>
      <c r="G379" s="20" t="n">
        <v>0</v>
      </c>
      <c r="H379" s="20" t="n">
        <v>0</v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0" t="n">
        <v>0</v>
      </c>
      <c r="O379" s="20" t="n">
        <v>0</v>
      </c>
      <c r="P379" s="20" t="n">
        <v>0</v>
      </c>
      <c r="Q379" s="20" t="n">
        <v>7210</v>
      </c>
    </row>
    <row r="380">
      <c r="A380" s="19" t="inlineStr">
        <is>
          <t>Company 162</t>
        </is>
      </c>
      <c r="B380" s="19" t="inlineStr">
        <is>
          <t>Software</t>
        </is>
      </c>
      <c r="C380" s="19" t="inlineStr">
        <is>
          <t>Chorus</t>
        </is>
      </c>
      <c r="D380" s="19" t="inlineStr">
        <is>
          <t>Switzerland</t>
        </is>
      </c>
      <c r="E380" s="20" t="n">
        <v>0</v>
      </c>
      <c r="F380" s="20" t="n">
        <v>0</v>
      </c>
      <c r="G380" s="20" t="n">
        <v>0</v>
      </c>
      <c r="H380" s="20" t="n">
        <v>0</v>
      </c>
      <c r="I380" s="20" t="n">
        <v>0</v>
      </c>
      <c r="J380" s="20" t="n">
        <v>0</v>
      </c>
      <c r="K380" s="20" t="n">
        <v>0</v>
      </c>
      <c r="L380" s="20" t="n">
        <v>0</v>
      </c>
      <c r="M380" s="20" t="n">
        <v>0</v>
      </c>
      <c r="N380" s="20" t="n">
        <v>0</v>
      </c>
      <c r="O380" s="20" t="n">
        <v>0</v>
      </c>
      <c r="P380" s="20" t="n">
        <v>1786.08</v>
      </c>
      <c r="Q380" s="20" t="n">
        <v>10021.0272</v>
      </c>
    </row>
    <row r="381">
      <c r="A381" s="19" t="inlineStr">
        <is>
          <t>Company 162</t>
        </is>
      </c>
      <c r="B381" s="19" t="inlineStr">
        <is>
          <t>Software</t>
        </is>
      </c>
      <c r="C381" s="19" t="inlineStr">
        <is>
          <t>Routing</t>
        </is>
      </c>
      <c r="D381" s="19" t="inlineStr">
        <is>
          <t>Switzerland</t>
        </is>
      </c>
      <c r="E381" s="20" t="n">
        <v>0</v>
      </c>
      <c r="F381" s="20" t="n">
        <v>0</v>
      </c>
      <c r="G381" s="20" t="n">
        <v>0</v>
      </c>
      <c r="H381" s="20" t="n">
        <v>0</v>
      </c>
      <c r="I381" s="20" t="n">
        <v>0</v>
      </c>
      <c r="J381" s="20" t="n">
        <v>0</v>
      </c>
      <c r="K381" s="20" t="n">
        <v>0</v>
      </c>
      <c r="L381" s="20" t="n">
        <v>0</v>
      </c>
      <c r="M381" s="20" t="n">
        <v>0</v>
      </c>
      <c r="N381" s="20" t="n">
        <v>0</v>
      </c>
      <c r="O381" s="20" t="n">
        <v>0</v>
      </c>
      <c r="P381" s="20" t="n">
        <v>258.64</v>
      </c>
      <c r="Q381" s="20" t="n">
        <v>1451.0176</v>
      </c>
    </row>
    <row r="382">
      <c r="A382" s="19" t="inlineStr">
        <is>
          <t>Company 163</t>
        </is>
      </c>
      <c r="B382" s="19" t="inlineStr">
        <is>
          <t>Operations</t>
        </is>
      </c>
      <c r="C382" s="19" t="inlineStr">
        <is>
          <t>Shipper Gas</t>
        </is>
      </c>
      <c r="D382" s="19" t="inlineStr">
        <is>
          <t>Ireland</t>
        </is>
      </c>
      <c r="E382" s="20" t="n">
        <v>0</v>
      </c>
      <c r="F382" s="20" t="n">
        <v>0</v>
      </c>
      <c r="G382" s="20" t="n">
        <v>0</v>
      </c>
      <c r="H382" s="20" t="n">
        <v>0</v>
      </c>
      <c r="I382" s="20" t="n">
        <v>0</v>
      </c>
      <c r="J382" s="20" t="n">
        <v>0</v>
      </c>
      <c r="K382" s="20" t="n">
        <v>0</v>
      </c>
      <c r="L382" s="20" t="n">
        <v>0</v>
      </c>
      <c r="M382" s="20" t="n">
        <v>0</v>
      </c>
      <c r="N382" s="20" t="n">
        <v>0</v>
      </c>
      <c r="O382" s="20" t="n">
        <v>0</v>
      </c>
      <c r="P382" s="20" t="n">
        <v>3086.75</v>
      </c>
      <c r="Q382" s="20" t="n">
        <v>500</v>
      </c>
    </row>
    <row r="383">
      <c r="A383" s="19" t="inlineStr">
        <is>
          <t>Company 163</t>
        </is>
      </c>
      <c r="B383" s="19" t="inlineStr">
        <is>
          <t>Software</t>
        </is>
      </c>
      <c r="C383" s="19" t="inlineStr">
        <is>
          <t>Chorus</t>
        </is>
      </c>
      <c r="D383" s="19" t="inlineStr">
        <is>
          <t>Ireland</t>
        </is>
      </c>
      <c r="E383" s="20" t="n">
        <v>0</v>
      </c>
      <c r="F383" s="20" t="n">
        <v>0</v>
      </c>
      <c r="G383" s="20" t="n">
        <v>0</v>
      </c>
      <c r="H383" s="20" t="n">
        <v>0</v>
      </c>
      <c r="I383" s="20" t="n">
        <v>0</v>
      </c>
      <c r="J383" s="20" t="n">
        <v>0</v>
      </c>
      <c r="K383" s="20" t="n">
        <v>0</v>
      </c>
      <c r="L383" s="20" t="n">
        <v>0</v>
      </c>
      <c r="M383" s="20" t="n">
        <v>0</v>
      </c>
      <c r="N383" s="20" t="n">
        <v>0</v>
      </c>
      <c r="O383" s="20" t="n">
        <v>0</v>
      </c>
      <c r="P383" s="20" t="n">
        <v>4542.07</v>
      </c>
      <c r="Q383" s="20" t="n">
        <v>18122.33</v>
      </c>
    </row>
    <row r="384">
      <c r="A384" s="19" t="inlineStr">
        <is>
          <t>Company 163</t>
        </is>
      </c>
      <c r="B384" s="19" t="inlineStr">
        <is>
          <t>Software</t>
        </is>
      </c>
      <c r="C384" s="19" t="inlineStr">
        <is>
          <t>Routing</t>
        </is>
      </c>
      <c r="D384" s="19" t="inlineStr">
        <is>
          <t>Ireland</t>
        </is>
      </c>
      <c r="E384" s="20" t="n">
        <v>0</v>
      </c>
      <c r="F384" s="20" t="n">
        <v>0</v>
      </c>
      <c r="G384" s="20" t="n">
        <v>0</v>
      </c>
      <c r="H384" s="20" t="n">
        <v>0</v>
      </c>
      <c r="I384" s="20" t="n">
        <v>0</v>
      </c>
      <c r="J384" s="20" t="n">
        <v>0</v>
      </c>
      <c r="K384" s="20" t="n">
        <v>0</v>
      </c>
      <c r="L384" s="20" t="n">
        <v>0</v>
      </c>
      <c r="M384" s="20" t="n">
        <v>0</v>
      </c>
      <c r="N384" s="20" t="n">
        <v>0</v>
      </c>
      <c r="O384" s="20" t="n">
        <v>0</v>
      </c>
      <c r="P384" s="20" t="n">
        <v>1900.15</v>
      </c>
      <c r="Q384" s="20" t="n">
        <v>11532.976</v>
      </c>
    </row>
    <row r="385">
      <c r="A385" s="19" t="inlineStr">
        <is>
          <t>Company 163</t>
        </is>
      </c>
      <c r="B385" s="19" t="inlineStr">
        <is>
          <t>Software</t>
        </is>
      </c>
      <c r="C385" s="19" t="inlineStr">
        <is>
          <t>Hosting</t>
        </is>
      </c>
      <c r="D385" s="19" t="inlineStr">
        <is>
          <t>Ireland</t>
        </is>
      </c>
      <c r="E385" s="20" t="n">
        <v>0</v>
      </c>
      <c r="F385" s="20" t="n">
        <v>0</v>
      </c>
      <c r="G385" s="20" t="n">
        <v>0</v>
      </c>
      <c r="H385" s="20" t="n">
        <v>0</v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0" t="n">
        <v>0</v>
      </c>
      <c r="O385" s="20" t="n">
        <v>0</v>
      </c>
      <c r="P385" s="20" t="n">
        <v>0</v>
      </c>
      <c r="Q385" s="20" t="n">
        <v>500</v>
      </c>
    </row>
    <row r="386">
      <c r="A386" s="19" t="inlineStr">
        <is>
          <t>Company 164</t>
        </is>
      </c>
      <c r="B386" s="19" t="inlineStr">
        <is>
          <t>Software</t>
        </is>
      </c>
      <c r="C386" s="19" t="inlineStr">
        <is>
          <t>Chorus</t>
        </is>
      </c>
      <c r="D386" s="19" t="inlineStr">
        <is>
          <t>UK</t>
        </is>
      </c>
      <c r="E386" s="20" t="n">
        <v>0</v>
      </c>
      <c r="F386" s="20" t="n">
        <v>0</v>
      </c>
      <c r="G386" s="20" t="n">
        <v>0</v>
      </c>
      <c r="H386" s="20" t="n">
        <v>0</v>
      </c>
      <c r="I386" s="20" t="n">
        <v>0</v>
      </c>
      <c r="J386" s="20" t="n">
        <v>0</v>
      </c>
      <c r="K386" s="20" t="n">
        <v>0</v>
      </c>
      <c r="L386" s="20" t="n">
        <v>0</v>
      </c>
      <c r="M386" s="20" t="n">
        <v>0</v>
      </c>
      <c r="N386" s="20" t="n">
        <v>0</v>
      </c>
      <c r="O386" s="20" t="n">
        <v>0</v>
      </c>
      <c r="P386" s="20" t="n">
        <v>6084.56</v>
      </c>
      <c r="Q386" s="20" t="n">
        <v>12438.89</v>
      </c>
    </row>
    <row r="387">
      <c r="A387" s="19" t="inlineStr">
        <is>
          <t>Company 164</t>
        </is>
      </c>
      <c r="B387" s="19" t="inlineStr">
        <is>
          <t>Software</t>
        </is>
      </c>
      <c r="C387" s="19" t="inlineStr">
        <is>
          <t>Routing</t>
        </is>
      </c>
      <c r="D387" s="19" t="inlineStr">
        <is>
          <t>UK</t>
        </is>
      </c>
      <c r="E387" s="20" t="n">
        <v>0</v>
      </c>
      <c r="F387" s="20" t="n">
        <v>0</v>
      </c>
      <c r="G387" s="20" t="n">
        <v>0</v>
      </c>
      <c r="H387" s="20" t="n">
        <v>0</v>
      </c>
      <c r="I387" s="20" t="n">
        <v>0</v>
      </c>
      <c r="J387" s="20" t="n">
        <v>0</v>
      </c>
      <c r="K387" s="20" t="n">
        <v>0</v>
      </c>
      <c r="L387" s="20" t="n">
        <v>0</v>
      </c>
      <c r="M387" s="20" t="n">
        <v>0</v>
      </c>
      <c r="N387" s="20" t="n">
        <v>0</v>
      </c>
      <c r="O387" s="20" t="n">
        <v>0</v>
      </c>
      <c r="P387" s="20" t="n">
        <v>1296.98</v>
      </c>
      <c r="Q387" s="20" t="n">
        <v>4343.7</v>
      </c>
    </row>
    <row r="388">
      <c r="A388" s="19" t="inlineStr">
        <is>
          <t>Company 165</t>
        </is>
      </c>
      <c r="B388" s="19" t="inlineStr">
        <is>
          <t>Software</t>
        </is>
      </c>
      <c r="C388" s="19" t="inlineStr">
        <is>
          <t>Hosting</t>
        </is>
      </c>
      <c r="D388" s="19" t="inlineStr">
        <is>
          <t>UK</t>
        </is>
      </c>
      <c r="E388" s="20" t="n">
        <v>0</v>
      </c>
      <c r="F388" s="20" t="n">
        <v>0</v>
      </c>
      <c r="G388" s="20" t="n">
        <v>0</v>
      </c>
      <c r="H388" s="20" t="n">
        <v>0</v>
      </c>
      <c r="I388" s="20" t="n">
        <v>0</v>
      </c>
      <c r="J388" s="20" t="n">
        <v>0</v>
      </c>
      <c r="K388" s="20" t="n">
        <v>0</v>
      </c>
      <c r="L388" s="20" t="n">
        <v>0</v>
      </c>
      <c r="M388" s="20" t="n">
        <v>0</v>
      </c>
      <c r="N388" s="20" t="n">
        <v>0</v>
      </c>
      <c r="O388" s="20" t="n">
        <v>0</v>
      </c>
      <c r="P388" s="20" t="n">
        <v>830.22</v>
      </c>
      <c r="Q388" s="20" t="n">
        <v>3063.7584</v>
      </c>
    </row>
    <row r="389">
      <c r="A389" s="19" t="inlineStr">
        <is>
          <t>Company 165</t>
        </is>
      </c>
      <c r="B389" s="19" t="inlineStr">
        <is>
          <t>Software</t>
        </is>
      </c>
      <c r="C389" s="19" t="inlineStr">
        <is>
          <t>PowerTrak</t>
        </is>
      </c>
      <c r="D389" s="19" t="inlineStr">
        <is>
          <t>UK</t>
        </is>
      </c>
      <c r="E389" s="20" t="n">
        <v>0</v>
      </c>
      <c r="F389" s="20" t="n">
        <v>0</v>
      </c>
      <c r="G389" s="20" t="n">
        <v>0</v>
      </c>
      <c r="H389" s="20" t="n">
        <v>0</v>
      </c>
      <c r="I389" s="20" t="n">
        <v>0</v>
      </c>
      <c r="J389" s="20" t="n">
        <v>0</v>
      </c>
      <c r="K389" s="20" t="n">
        <v>0</v>
      </c>
      <c r="L389" s="20" t="n">
        <v>0</v>
      </c>
      <c r="M389" s="20" t="n">
        <v>0</v>
      </c>
      <c r="N389" s="20" t="n">
        <v>0</v>
      </c>
      <c r="O389" s="20" t="n">
        <v>0</v>
      </c>
      <c r="P389" s="20" t="n">
        <v>8537.73</v>
      </c>
      <c r="Q389" s="20" t="n">
        <v>24126.1656</v>
      </c>
    </row>
    <row r="390">
      <c r="A390" s="19" t="inlineStr">
        <is>
          <t>Company 165</t>
        </is>
      </c>
      <c r="B390" s="19" t="inlineStr">
        <is>
          <t>Software</t>
        </is>
      </c>
      <c r="C390" s="19" t="inlineStr">
        <is>
          <t>Routing</t>
        </is>
      </c>
      <c r="D390" s="19" t="inlineStr">
        <is>
          <t>UK</t>
        </is>
      </c>
      <c r="E390" s="20" t="n">
        <v>0</v>
      </c>
      <c r="F390" s="20" t="n">
        <v>0</v>
      </c>
      <c r="G390" s="20" t="n">
        <v>0</v>
      </c>
      <c r="H390" s="20" t="n">
        <v>0</v>
      </c>
      <c r="I390" s="20" t="n">
        <v>0</v>
      </c>
      <c r="J390" s="20" t="n">
        <v>0</v>
      </c>
      <c r="K390" s="20" t="n">
        <v>0</v>
      </c>
      <c r="L390" s="20" t="n">
        <v>0</v>
      </c>
      <c r="M390" s="20" t="n">
        <v>0</v>
      </c>
      <c r="N390" s="20" t="n">
        <v>0</v>
      </c>
      <c r="O390" s="20" t="n">
        <v>0</v>
      </c>
      <c r="P390" s="20" t="n">
        <v>314.11</v>
      </c>
      <c r="Q390" s="20" t="n">
        <v>1159.1592</v>
      </c>
    </row>
    <row r="391">
      <c r="A391" s="19" t="inlineStr">
        <is>
          <t>Company 166</t>
        </is>
      </c>
      <c r="B391" s="19" t="inlineStr">
        <is>
          <t>Software</t>
        </is>
      </c>
      <c r="C391" s="19" t="inlineStr">
        <is>
          <t>Hosting</t>
        </is>
      </c>
      <c r="D391" s="19" t="inlineStr">
        <is>
          <t>Ireland</t>
        </is>
      </c>
      <c r="E391" s="20" t="n">
        <v>0</v>
      </c>
      <c r="F391" s="20" t="n">
        <v>0</v>
      </c>
      <c r="G391" s="20" t="n">
        <v>0</v>
      </c>
      <c r="H391" s="20" t="n">
        <v>0</v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0" t="n">
        <v>0</v>
      </c>
      <c r="O391" s="20" t="n">
        <v>0</v>
      </c>
      <c r="P391" s="20" t="n">
        <v>125.05</v>
      </c>
      <c r="Q391" s="20" t="n">
        <v>758.992</v>
      </c>
    </row>
    <row r="392">
      <c r="A392" s="19" t="inlineStr">
        <is>
          <t>Company 166</t>
        </is>
      </c>
      <c r="B392" s="19" t="inlineStr">
        <is>
          <t>Software</t>
        </is>
      </c>
      <c r="C392" s="19" t="inlineStr">
        <is>
          <t>PowerTrak</t>
        </is>
      </c>
      <c r="D392" s="19" t="inlineStr">
        <is>
          <t>Ireland</t>
        </is>
      </c>
      <c r="E392" s="20" t="n">
        <v>0</v>
      </c>
      <c r="F392" s="20" t="n">
        <v>0</v>
      </c>
      <c r="G392" s="20" t="n">
        <v>0</v>
      </c>
      <c r="H392" s="20" t="n">
        <v>0</v>
      </c>
      <c r="I392" s="20" t="n">
        <v>0</v>
      </c>
      <c r="J392" s="20" t="n">
        <v>0</v>
      </c>
      <c r="K392" s="20" t="n">
        <v>0</v>
      </c>
      <c r="L392" s="20" t="n">
        <v>0</v>
      </c>
      <c r="M392" s="20" t="n">
        <v>0</v>
      </c>
      <c r="N392" s="20" t="n">
        <v>0</v>
      </c>
      <c r="O392" s="20" t="n">
        <v>0</v>
      </c>
      <c r="P392" s="20" t="n">
        <v>9154.1</v>
      </c>
      <c r="Q392" s="20" t="n">
        <v>25213.344</v>
      </c>
    </row>
    <row r="393">
      <c r="A393" s="19" t="inlineStr">
        <is>
          <t>Company 166</t>
        </is>
      </c>
      <c r="B393" s="19" t="inlineStr">
        <is>
          <t>Software</t>
        </is>
      </c>
      <c r="C393" s="19" t="inlineStr">
        <is>
          <t>Routing</t>
        </is>
      </c>
      <c r="D393" s="19" t="inlineStr">
        <is>
          <t>Ireland</t>
        </is>
      </c>
      <c r="E393" s="20" t="n">
        <v>0</v>
      </c>
      <c r="F393" s="20" t="n">
        <v>0</v>
      </c>
      <c r="G393" s="20" t="n">
        <v>0</v>
      </c>
      <c r="H393" s="20" t="n">
        <v>0</v>
      </c>
      <c r="I393" s="20" t="n">
        <v>0</v>
      </c>
      <c r="J393" s="20" t="n">
        <v>0</v>
      </c>
      <c r="K393" s="20" t="n">
        <v>0</v>
      </c>
      <c r="L393" s="20" t="n">
        <v>0</v>
      </c>
      <c r="M393" s="20" t="n">
        <v>0</v>
      </c>
      <c r="N393" s="20" t="n">
        <v>0</v>
      </c>
      <c r="O393" s="20" t="n">
        <v>0</v>
      </c>
      <c r="P393" s="20" t="n">
        <v>379.42</v>
      </c>
      <c r="Q393" s="20" t="n">
        <v>2302.8928</v>
      </c>
    </row>
    <row r="394">
      <c r="A394" s="19" t="inlineStr">
        <is>
          <t>Company 167</t>
        </is>
      </c>
      <c r="B394" s="19" t="inlineStr">
        <is>
          <t>Software</t>
        </is>
      </c>
      <c r="C394" s="19" t="inlineStr">
        <is>
          <t>Hosting</t>
        </is>
      </c>
      <c r="D394" s="19" t="inlineStr">
        <is>
          <t>Switzerland</t>
        </is>
      </c>
      <c r="E394" s="20" t="n">
        <v>0</v>
      </c>
      <c r="F394" s="20" t="n">
        <v>0</v>
      </c>
      <c r="G394" s="20" t="n">
        <v>0</v>
      </c>
      <c r="H394" s="20" t="n">
        <v>0</v>
      </c>
      <c r="I394" s="20" t="n">
        <v>0</v>
      </c>
      <c r="J394" s="20" t="n">
        <v>0</v>
      </c>
      <c r="K394" s="20" t="n">
        <v>0</v>
      </c>
      <c r="L394" s="20" t="n">
        <v>0</v>
      </c>
      <c r="M394" s="20" t="n">
        <v>0</v>
      </c>
      <c r="N394" s="20" t="n">
        <v>0</v>
      </c>
      <c r="O394" s="20" t="n">
        <v>0</v>
      </c>
      <c r="P394" s="20" t="n">
        <v>318.37</v>
      </c>
      <c r="Q394" s="20" t="n">
        <v>3816.395967016493</v>
      </c>
    </row>
    <row r="395">
      <c r="A395" s="19" t="inlineStr">
        <is>
          <t>Company 167</t>
        </is>
      </c>
      <c r="B395" s="19" t="inlineStr">
        <is>
          <t>Software</t>
        </is>
      </c>
      <c r="C395" s="19" t="inlineStr">
        <is>
          <t>PowerTrak</t>
        </is>
      </c>
      <c r="D395" s="19" t="inlineStr">
        <is>
          <t>Switzerland</t>
        </is>
      </c>
      <c r="E395" s="20" t="n">
        <v>0</v>
      </c>
      <c r="F395" s="20" t="n">
        <v>0</v>
      </c>
      <c r="G395" s="20" t="n">
        <v>0</v>
      </c>
      <c r="H395" s="20" t="n">
        <v>0</v>
      </c>
      <c r="I395" s="20" t="n">
        <v>0</v>
      </c>
      <c r="J395" s="20" t="n">
        <v>0</v>
      </c>
      <c r="K395" s="20" t="n">
        <v>0</v>
      </c>
      <c r="L395" s="20" t="n">
        <v>0</v>
      </c>
      <c r="M395" s="20" t="n">
        <v>0</v>
      </c>
      <c r="N395" s="20" t="n">
        <v>0</v>
      </c>
      <c r="O395" s="20" t="n">
        <v>0</v>
      </c>
      <c r="P395" s="20" t="n">
        <v>7075.76</v>
      </c>
      <c r="Q395" s="20" t="n">
        <v>3950.64</v>
      </c>
    </row>
    <row r="396">
      <c r="A396" s="19" t="inlineStr">
        <is>
          <t>Company 167</t>
        </is>
      </c>
      <c r="B396" s="19" t="inlineStr">
        <is>
          <t>Software</t>
        </is>
      </c>
      <c r="C396" s="19" t="inlineStr">
        <is>
          <t>Routing</t>
        </is>
      </c>
      <c r="D396" s="19" t="inlineStr">
        <is>
          <t>Switzerland</t>
        </is>
      </c>
      <c r="E396" s="20" t="n">
        <v>0</v>
      </c>
      <c r="F396" s="20" t="n">
        <v>0</v>
      </c>
      <c r="G396" s="20" t="n">
        <v>0</v>
      </c>
      <c r="H396" s="20" t="n">
        <v>0</v>
      </c>
      <c r="I396" s="20" t="n">
        <v>0</v>
      </c>
      <c r="J396" s="20" t="n">
        <v>0</v>
      </c>
      <c r="K396" s="20" t="n">
        <v>0</v>
      </c>
      <c r="L396" s="20" t="n">
        <v>0</v>
      </c>
      <c r="M396" s="20" t="n">
        <v>0</v>
      </c>
      <c r="N396" s="20" t="n">
        <v>0</v>
      </c>
      <c r="O396" s="20" t="n">
        <v>0</v>
      </c>
      <c r="P396" s="20" t="n">
        <v>289.23</v>
      </c>
      <c r="Q396" s="20" t="n">
        <v>3473.821124437782</v>
      </c>
    </row>
    <row r="397">
      <c r="A397" s="19" t="inlineStr">
        <is>
          <t>Company 168</t>
        </is>
      </c>
      <c r="B397" s="19" t="inlineStr">
        <is>
          <t>Operations</t>
        </is>
      </c>
      <c r="C397" s="19" t="inlineStr">
        <is>
          <t>Shipper Gas</t>
        </is>
      </c>
      <c r="D397" s="19" t="inlineStr">
        <is>
          <t>Norway</t>
        </is>
      </c>
      <c r="E397" s="20" t="n">
        <v>0</v>
      </c>
      <c r="F397" s="20" t="n">
        <v>0</v>
      </c>
      <c r="G397" s="20" t="n">
        <v>0</v>
      </c>
      <c r="H397" s="20" t="n">
        <v>0</v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0</v>
      </c>
      <c r="N397" s="20" t="n">
        <v>0</v>
      </c>
      <c r="O397" s="20" t="n">
        <v>0</v>
      </c>
      <c r="P397" s="20" t="n">
        <v>2201</v>
      </c>
      <c r="Q397" s="20" t="n">
        <v>0</v>
      </c>
    </row>
    <row r="398">
      <c r="A398" s="19" t="inlineStr">
        <is>
          <t>Company 169</t>
        </is>
      </c>
      <c r="B398" s="19" t="inlineStr">
        <is>
          <t>Power</t>
        </is>
      </c>
      <c r="C398" s="19" t="inlineStr">
        <is>
          <t>Shipper Power</t>
        </is>
      </c>
      <c r="D398" s="19" t="inlineStr">
        <is>
          <t>UK</t>
        </is>
      </c>
      <c r="E398" s="20" t="n">
        <v>0</v>
      </c>
      <c r="F398" s="20" t="n">
        <v>0</v>
      </c>
      <c r="G398" s="20" t="n">
        <v>0</v>
      </c>
      <c r="H398" s="20" t="n">
        <v>0</v>
      </c>
      <c r="I398" s="20" t="n">
        <v>0</v>
      </c>
      <c r="J398" s="20" t="n">
        <v>0</v>
      </c>
      <c r="K398" s="20" t="n">
        <v>0</v>
      </c>
      <c r="L398" s="20" t="n">
        <v>0</v>
      </c>
      <c r="M398" s="20" t="n">
        <v>0</v>
      </c>
      <c r="N398" s="20" t="n">
        <v>0</v>
      </c>
      <c r="O398" s="20" t="n">
        <v>0</v>
      </c>
      <c r="P398" s="20" t="n">
        <v>0</v>
      </c>
      <c r="Q398" s="20" t="n">
        <v>9073.529999999999</v>
      </c>
    </row>
    <row r="399">
      <c r="A399" s="19" t="inlineStr">
        <is>
          <t>Company 170</t>
        </is>
      </c>
      <c r="B399" s="19" t="inlineStr">
        <is>
          <t>Software</t>
        </is>
      </c>
      <c r="C399" s="19" t="inlineStr">
        <is>
          <t>ENOM+</t>
        </is>
      </c>
      <c r="D399" s="19" t="inlineStr">
        <is>
          <t>Austria</t>
        </is>
      </c>
      <c r="E399" s="20" t="n">
        <v>17464.66</v>
      </c>
      <c r="F399" s="20" t="n">
        <v>15605.44</v>
      </c>
      <c r="G399" s="20" t="n">
        <v>16100.19</v>
      </c>
      <c r="H399" s="20" t="n">
        <v>17676.14</v>
      </c>
      <c r="I399" s="20" t="n">
        <v>18433.99</v>
      </c>
      <c r="J399" s="20" t="n">
        <v>3088.22</v>
      </c>
      <c r="K399" s="20" t="n">
        <v>0</v>
      </c>
      <c r="L399" s="20" t="n">
        <v>0</v>
      </c>
      <c r="M399" s="20" t="n">
        <v>0</v>
      </c>
      <c r="N399" s="20" t="n">
        <v>0</v>
      </c>
      <c r="O399" s="20" t="n">
        <v>0</v>
      </c>
      <c r="P399" s="20" t="n">
        <v>0</v>
      </c>
      <c r="Q399" s="20" t="n">
        <v>0</v>
      </c>
    </row>
    <row r="400">
      <c r="A400" s="19" t="inlineStr">
        <is>
          <t>Company 170</t>
        </is>
      </c>
      <c r="B400" s="19" t="inlineStr">
        <is>
          <t>Software</t>
        </is>
      </c>
      <c r="C400" s="19" t="inlineStr">
        <is>
          <t>Routing</t>
        </is>
      </c>
      <c r="D400" s="19" t="inlineStr">
        <is>
          <t>Austria</t>
        </is>
      </c>
      <c r="E400" s="20" t="n">
        <v>2993.940000000001</v>
      </c>
      <c r="F400" s="20" t="n">
        <v>2675.22</v>
      </c>
      <c r="G400" s="20" t="n">
        <v>1597.79</v>
      </c>
      <c r="H400" s="20" t="n">
        <v>1515.08</v>
      </c>
      <c r="I400" s="20" t="n">
        <v>1580.07</v>
      </c>
      <c r="J400" s="20" t="n">
        <v>264.7</v>
      </c>
      <c r="K400" s="20" t="n">
        <v>0</v>
      </c>
      <c r="L400" s="20" t="n">
        <v>0</v>
      </c>
      <c r="M400" s="20" t="n">
        <v>0</v>
      </c>
      <c r="N400" s="20" t="n">
        <v>0</v>
      </c>
      <c r="O400" s="20" t="n">
        <v>0</v>
      </c>
      <c r="P400" s="20" t="n">
        <v>0</v>
      </c>
      <c r="Q400" s="20" t="n">
        <v>0</v>
      </c>
    </row>
    <row r="401">
      <c r="A401" s="19" t="inlineStr">
        <is>
          <t>Company 171</t>
        </is>
      </c>
      <c r="B401" s="19" t="inlineStr">
        <is>
          <t>Software</t>
        </is>
      </c>
      <c r="C401" s="19" t="inlineStr">
        <is>
          <t>Hosting</t>
        </is>
      </c>
      <c r="D401" s="19" t="inlineStr">
        <is>
          <t>UK</t>
        </is>
      </c>
      <c r="E401" s="20" t="n">
        <v>9000</v>
      </c>
      <c r="F401" s="20" t="n">
        <v>9000</v>
      </c>
      <c r="G401" s="20" t="n">
        <v>9000</v>
      </c>
      <c r="H401" s="20" t="n">
        <v>9000</v>
      </c>
      <c r="I401" s="20" t="n">
        <v>9000</v>
      </c>
      <c r="J401" s="20" t="n">
        <v>9000</v>
      </c>
      <c r="K401" s="20" t="n">
        <v>9000</v>
      </c>
      <c r="L401" s="20" t="n">
        <v>9000</v>
      </c>
      <c r="M401" s="20" t="n">
        <v>1500</v>
      </c>
      <c r="N401" s="20" t="n">
        <v>0</v>
      </c>
      <c r="O401" s="20" t="n">
        <v>0</v>
      </c>
      <c r="P401" s="20" t="n">
        <v>0</v>
      </c>
      <c r="Q401" s="20" t="n">
        <v>0</v>
      </c>
    </row>
    <row r="402">
      <c r="A402" s="19" t="inlineStr">
        <is>
          <t>Company 172</t>
        </is>
      </c>
      <c r="B402" s="19" t="inlineStr">
        <is>
          <t>Software</t>
        </is>
      </c>
      <c r="C402" s="19" t="inlineStr">
        <is>
          <t>Routing</t>
        </is>
      </c>
      <c r="D402" s="19" t="inlineStr">
        <is>
          <t>Switzerland</t>
        </is>
      </c>
      <c r="E402" s="20" t="n">
        <v>7641.33</v>
      </c>
      <c r="F402" s="20" t="n">
        <v>10360.95</v>
      </c>
      <c r="G402" s="20" t="n">
        <v>13236.75</v>
      </c>
      <c r="H402" s="20" t="n">
        <v>17339.37</v>
      </c>
      <c r="I402" s="20" t="n">
        <v>18975.6</v>
      </c>
      <c r="J402" s="20" t="n">
        <v>21506.6</v>
      </c>
      <c r="K402" s="20" t="n">
        <v>5573.52</v>
      </c>
      <c r="L402" s="20" t="n">
        <v>0</v>
      </c>
      <c r="M402" s="20" t="n">
        <v>0</v>
      </c>
      <c r="N402" s="20" t="n">
        <v>0</v>
      </c>
      <c r="O402" s="20" t="n">
        <v>0</v>
      </c>
      <c r="P402" s="20" t="n">
        <v>0</v>
      </c>
      <c r="Q402" s="20" t="n">
        <v>0</v>
      </c>
    </row>
    <row r="403">
      <c r="A403" s="19" t="inlineStr">
        <is>
          <t>Company 173</t>
        </is>
      </c>
      <c r="B403" s="19" t="inlineStr">
        <is>
          <t>Software</t>
        </is>
      </c>
      <c r="C403" s="19" t="inlineStr">
        <is>
          <t>ENOM</t>
        </is>
      </c>
      <c r="D403" s="19" t="inlineStr">
        <is>
          <t>France</t>
        </is>
      </c>
      <c r="E403" s="20" t="n">
        <v>6717.599999999999</v>
      </c>
      <c r="F403" s="20" t="n">
        <v>0</v>
      </c>
      <c r="G403" s="20" t="n">
        <v>0</v>
      </c>
      <c r="H403" s="20" t="n">
        <v>0</v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0" t="n">
        <v>0</v>
      </c>
      <c r="O403" s="20" t="n">
        <v>0</v>
      </c>
      <c r="P403" s="20" t="n">
        <v>0</v>
      </c>
      <c r="Q403" s="20" t="n">
        <v>0</v>
      </c>
    </row>
    <row r="404">
      <c r="A404" s="19" t="inlineStr">
        <is>
          <t>Company 174</t>
        </is>
      </c>
      <c r="B404" s="19" t="inlineStr">
        <is>
          <t>Operations</t>
        </is>
      </c>
      <c r="C404" s="19" t="inlineStr">
        <is>
          <t>Shipper Gas</t>
        </is>
      </c>
      <c r="D404" s="19" t="inlineStr">
        <is>
          <t>Switzerland</t>
        </is>
      </c>
      <c r="E404" s="20" t="n">
        <v>0</v>
      </c>
      <c r="F404" s="20" t="n">
        <v>0</v>
      </c>
      <c r="G404" s="20" t="n">
        <v>0</v>
      </c>
      <c r="H404" s="20" t="n">
        <v>0</v>
      </c>
      <c r="I404" s="20" t="n">
        <v>0</v>
      </c>
      <c r="J404" s="20" t="n">
        <v>0</v>
      </c>
      <c r="K404" s="20" t="n">
        <v>0</v>
      </c>
      <c r="L404" s="20" t="n">
        <v>0</v>
      </c>
      <c r="M404" s="20" t="n">
        <v>0</v>
      </c>
      <c r="N404" s="20" t="n">
        <v>879.25</v>
      </c>
      <c r="O404" s="20" t="n">
        <v>0</v>
      </c>
      <c r="P404" s="20" t="n">
        <v>0</v>
      </c>
      <c r="Q404" s="20" t="n">
        <v>0</v>
      </c>
    </row>
    <row r="405">
      <c r="A405" s="19" t="inlineStr">
        <is>
          <t>Company 174</t>
        </is>
      </c>
      <c r="B405" s="19" t="inlineStr">
        <is>
          <t>Power</t>
        </is>
      </c>
      <c r="C405" s="19" t="inlineStr">
        <is>
          <t>Shipper Power</t>
        </is>
      </c>
      <c r="D405" s="19" t="inlineStr">
        <is>
          <t>Switzerland</t>
        </is>
      </c>
      <c r="E405" s="20" t="n">
        <v>0</v>
      </c>
      <c r="F405" s="20" t="n">
        <v>0</v>
      </c>
      <c r="G405" s="20" t="n">
        <v>0</v>
      </c>
      <c r="H405" s="20" t="n">
        <v>0</v>
      </c>
      <c r="I405" s="20" t="n">
        <v>0</v>
      </c>
      <c r="J405" s="20" t="n">
        <v>0</v>
      </c>
      <c r="K405" s="20" t="n">
        <v>0</v>
      </c>
      <c r="L405" s="20" t="n">
        <v>0</v>
      </c>
      <c r="M405" s="20" t="n">
        <v>0</v>
      </c>
      <c r="N405" s="20" t="n">
        <v>2637.75</v>
      </c>
      <c r="O405" s="20" t="n">
        <v>0</v>
      </c>
      <c r="P405" s="20" t="n">
        <v>0</v>
      </c>
      <c r="Q405" s="20" t="n">
        <v>0</v>
      </c>
    </row>
    <row r="406">
      <c r="A406" s="19" t="inlineStr">
        <is>
          <t>Company 175</t>
        </is>
      </c>
      <c r="B406" s="19" t="inlineStr">
        <is>
          <t>Software</t>
        </is>
      </c>
      <c r="C406" s="19" t="inlineStr">
        <is>
          <t>ENOM</t>
        </is>
      </c>
      <c r="D406" s="19" t="inlineStr">
        <is>
          <t>UK</t>
        </is>
      </c>
      <c r="E406" s="20" t="n">
        <v>3600</v>
      </c>
      <c r="F406" s="20" t="n">
        <v>1452</v>
      </c>
      <c r="G406" s="20" t="n">
        <v>0</v>
      </c>
      <c r="H406" s="20" t="n">
        <v>0</v>
      </c>
      <c r="I406" s="20" t="n">
        <v>0</v>
      </c>
      <c r="J406" s="20" t="n">
        <v>0</v>
      </c>
      <c r="K406" s="20" t="n">
        <v>0</v>
      </c>
      <c r="L406" s="20" t="n">
        <v>0</v>
      </c>
      <c r="M406" s="20" t="n">
        <v>0</v>
      </c>
      <c r="N406" s="20" t="n">
        <v>0</v>
      </c>
      <c r="O406" s="20" t="n">
        <v>0</v>
      </c>
      <c r="P406" s="20" t="n">
        <v>0</v>
      </c>
      <c r="Q406" s="20" t="n">
        <v>0</v>
      </c>
    </row>
    <row r="407">
      <c r="A407" s="19" t="inlineStr">
        <is>
          <t>Company 175</t>
        </is>
      </c>
      <c r="B407" s="19" t="inlineStr">
        <is>
          <t>Software</t>
        </is>
      </c>
      <c r="C407" s="19" t="inlineStr">
        <is>
          <t>Routing</t>
        </is>
      </c>
      <c r="D407" s="19" t="inlineStr">
        <is>
          <t>UK</t>
        </is>
      </c>
      <c r="E407" s="20" t="n">
        <v>600</v>
      </c>
      <c r="F407" s="20" t="n">
        <v>242</v>
      </c>
      <c r="G407" s="20" t="n">
        <v>0</v>
      </c>
      <c r="H407" s="20" t="n">
        <v>0</v>
      </c>
      <c r="I407" s="20" t="n">
        <v>0</v>
      </c>
      <c r="J407" s="20" t="n">
        <v>0</v>
      </c>
      <c r="K407" s="20" t="n">
        <v>0</v>
      </c>
      <c r="L407" s="20" t="n">
        <v>0</v>
      </c>
      <c r="M407" s="20" t="n">
        <v>0</v>
      </c>
      <c r="N407" s="20" t="n">
        <v>0</v>
      </c>
      <c r="O407" s="20" t="n">
        <v>0</v>
      </c>
      <c r="P407" s="20" t="n">
        <v>0</v>
      </c>
      <c r="Q407" s="20" t="n">
        <v>0</v>
      </c>
    </row>
    <row r="408">
      <c r="A408" s="19" t="inlineStr">
        <is>
          <t>Company 176</t>
        </is>
      </c>
      <c r="B408" s="19" t="inlineStr">
        <is>
          <t>Software</t>
        </is>
      </c>
      <c r="C408" s="19" t="inlineStr">
        <is>
          <t>ENOM</t>
        </is>
      </c>
      <c r="D408" s="19" t="inlineStr">
        <is>
          <t>France</t>
        </is>
      </c>
      <c r="E408" s="20" t="n">
        <v>0</v>
      </c>
      <c r="F408" s="20" t="n">
        <v>0</v>
      </c>
      <c r="G408" s="20" t="n">
        <v>0</v>
      </c>
      <c r="H408" s="20" t="n">
        <v>0</v>
      </c>
      <c r="I408" s="20" t="n">
        <v>0</v>
      </c>
      <c r="J408" s="20" t="n">
        <v>0</v>
      </c>
      <c r="K408" s="20" t="n">
        <v>0</v>
      </c>
      <c r="L408" s="20" t="n">
        <v>0</v>
      </c>
      <c r="M408" s="20" t="n">
        <v>1901.84</v>
      </c>
      <c r="N408" s="20" t="n">
        <v>9509.18</v>
      </c>
      <c r="O408" s="20" t="n">
        <v>0</v>
      </c>
      <c r="P408" s="20" t="n">
        <v>0</v>
      </c>
      <c r="Q408" s="20" t="n">
        <v>0</v>
      </c>
    </row>
    <row r="409">
      <c r="A409" s="19" t="inlineStr">
        <is>
          <t>Company 176</t>
        </is>
      </c>
      <c r="B409" s="19" t="inlineStr">
        <is>
          <t>Software</t>
        </is>
      </c>
      <c r="C409" s="19" t="inlineStr">
        <is>
          <t>Routing</t>
        </is>
      </c>
      <c r="D409" s="19" t="inlineStr">
        <is>
          <t>France</t>
        </is>
      </c>
      <c r="E409" s="20" t="n">
        <v>0</v>
      </c>
      <c r="F409" s="20" t="n">
        <v>0</v>
      </c>
      <c r="G409" s="20" t="n">
        <v>0</v>
      </c>
      <c r="H409" s="20" t="n">
        <v>0</v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167.29</v>
      </c>
      <c r="N409" s="20" t="n">
        <v>836.4599999999999</v>
      </c>
      <c r="O409" s="20" t="n">
        <v>0</v>
      </c>
      <c r="P409" s="20" t="n">
        <v>0</v>
      </c>
      <c r="Q409" s="20" t="n">
        <v>0</v>
      </c>
    </row>
    <row r="410">
      <c r="A410" s="19" t="inlineStr">
        <is>
          <t>Company 177</t>
        </is>
      </c>
      <c r="B410" s="19" t="inlineStr">
        <is>
          <t>Software</t>
        </is>
      </c>
      <c r="C410" s="19" t="inlineStr">
        <is>
          <t>ENOM</t>
        </is>
      </c>
      <c r="D410" s="19" t="inlineStr">
        <is>
          <t>Switzerland</t>
        </is>
      </c>
      <c r="E410" s="20" t="n">
        <v>3427.8</v>
      </c>
      <c r="F410" s="20" t="n">
        <v>0</v>
      </c>
      <c r="G410" s="20" t="n">
        <v>0</v>
      </c>
      <c r="H410" s="20" t="n">
        <v>0</v>
      </c>
      <c r="I410" s="20" t="n">
        <v>0</v>
      </c>
      <c r="J410" s="20" t="n">
        <v>0</v>
      </c>
      <c r="K410" s="20" t="n">
        <v>0</v>
      </c>
      <c r="L410" s="20" t="n">
        <v>0</v>
      </c>
      <c r="M410" s="20" t="n">
        <v>0</v>
      </c>
      <c r="N410" s="20" t="n">
        <v>0</v>
      </c>
      <c r="O410" s="20" t="n">
        <v>0</v>
      </c>
      <c r="P410" s="20" t="n">
        <v>0</v>
      </c>
      <c r="Q410" s="20" t="n">
        <v>0</v>
      </c>
    </row>
    <row r="411">
      <c r="A411" s="19" t="inlineStr">
        <is>
          <t>Company 177</t>
        </is>
      </c>
      <c r="B411" s="19" t="inlineStr">
        <is>
          <t>Software</t>
        </is>
      </c>
      <c r="C411" s="19" t="inlineStr">
        <is>
          <t>Routing</t>
        </is>
      </c>
      <c r="D411" s="19" t="inlineStr">
        <is>
          <t>Switzerland</t>
        </is>
      </c>
      <c r="E411" s="20" t="n">
        <v>514.16</v>
      </c>
      <c r="F411" s="20" t="n">
        <v>0</v>
      </c>
      <c r="G411" s="20" t="n">
        <v>0</v>
      </c>
      <c r="H411" s="20" t="n">
        <v>0</v>
      </c>
      <c r="I411" s="20" t="n">
        <v>0</v>
      </c>
      <c r="J411" s="20" t="n">
        <v>0</v>
      </c>
      <c r="K411" s="20" t="n">
        <v>0</v>
      </c>
      <c r="L411" s="20" t="n">
        <v>0</v>
      </c>
      <c r="M411" s="20" t="n">
        <v>0</v>
      </c>
      <c r="N411" s="20" t="n">
        <v>0</v>
      </c>
      <c r="O411" s="20" t="n">
        <v>0</v>
      </c>
      <c r="P411" s="20" t="n">
        <v>0</v>
      </c>
      <c r="Q411" s="20" t="n">
        <v>0</v>
      </c>
    </row>
    <row r="412">
      <c r="A412" s="19" t="inlineStr">
        <is>
          <t>Company 178</t>
        </is>
      </c>
      <c r="B412" s="19" t="inlineStr">
        <is>
          <t>Operations</t>
        </is>
      </c>
      <c r="C412" s="19" t="inlineStr">
        <is>
          <t>Demand Text</t>
        </is>
      </c>
      <c r="D412" s="19" t="inlineStr">
        <is>
          <t>Switzerland</t>
        </is>
      </c>
      <c r="E412" s="20" t="n">
        <v>300</v>
      </c>
      <c r="F412" s="20" t="n">
        <v>1800</v>
      </c>
      <c r="G412" s="20" t="n">
        <v>1800</v>
      </c>
      <c r="H412" s="20" t="n">
        <v>1800</v>
      </c>
      <c r="I412" s="20" t="n">
        <v>1800</v>
      </c>
      <c r="J412" s="20" t="n">
        <v>1800</v>
      </c>
      <c r="K412" s="20" t="n">
        <v>1800</v>
      </c>
      <c r="L412" s="20" t="n">
        <v>1800</v>
      </c>
      <c r="M412" s="20" t="n">
        <v>1800</v>
      </c>
      <c r="N412" s="20" t="n">
        <v>1800</v>
      </c>
      <c r="O412" s="20" t="n">
        <v>1500</v>
      </c>
      <c r="P412" s="20" t="n">
        <v>0</v>
      </c>
      <c r="Q412" s="20" t="n">
        <v>0</v>
      </c>
    </row>
    <row r="413">
      <c r="A413" s="19" t="inlineStr">
        <is>
          <t>Company 179</t>
        </is>
      </c>
      <c r="B413" s="19" t="inlineStr">
        <is>
          <t>Operations</t>
        </is>
      </c>
      <c r="C413" s="19" t="inlineStr">
        <is>
          <t>Demand Text</t>
        </is>
      </c>
      <c r="D413" s="19" t="inlineStr">
        <is>
          <t>UK</t>
        </is>
      </c>
      <c r="E413" s="20" t="n">
        <v>2400</v>
      </c>
      <c r="F413" s="20" t="n">
        <v>1800</v>
      </c>
      <c r="G413" s="20" t="n">
        <v>1800</v>
      </c>
      <c r="H413" s="20" t="n">
        <v>1800</v>
      </c>
      <c r="I413" s="20" t="n">
        <v>1800</v>
      </c>
      <c r="J413" s="20" t="n">
        <v>1800</v>
      </c>
      <c r="K413" s="20" t="n">
        <v>1800</v>
      </c>
      <c r="L413" s="20" t="n">
        <v>3300</v>
      </c>
      <c r="M413" s="20" t="n">
        <v>3600</v>
      </c>
      <c r="N413" s="20" t="n">
        <v>3600</v>
      </c>
      <c r="O413" s="20" t="n">
        <v>600</v>
      </c>
      <c r="P413" s="20" t="n">
        <v>0</v>
      </c>
      <c r="Q413" s="20" t="n">
        <v>0</v>
      </c>
    </row>
    <row r="414">
      <c r="A414" s="19" t="inlineStr">
        <is>
          <t>Company 180</t>
        </is>
      </c>
      <c r="B414" s="19" t="inlineStr">
        <is>
          <t>Operations</t>
        </is>
      </c>
      <c r="C414" s="19" t="inlineStr">
        <is>
          <t>Shipper Gas</t>
        </is>
      </c>
      <c r="D414" s="19" t="inlineStr">
        <is>
          <t>Italy</t>
        </is>
      </c>
      <c r="E414" s="20" t="n">
        <v>0</v>
      </c>
      <c r="F414" s="20" t="n">
        <v>10220.58</v>
      </c>
      <c r="G414" s="20" t="n">
        <v>41884.3</v>
      </c>
      <c r="H414" s="20" t="n">
        <v>46414.58</v>
      </c>
      <c r="I414" s="20" t="n">
        <v>46799.84</v>
      </c>
      <c r="J414" s="20" t="n">
        <v>46230.92</v>
      </c>
      <c r="K414" s="20" t="n">
        <v>46977.31</v>
      </c>
      <c r="L414" s="20" t="n">
        <v>3858.49</v>
      </c>
      <c r="M414" s="20" t="n">
        <v>0</v>
      </c>
      <c r="N414" s="20" t="n">
        <v>0</v>
      </c>
      <c r="O414" s="20" t="n">
        <v>0</v>
      </c>
      <c r="P414" s="20" t="n">
        <v>0</v>
      </c>
      <c r="Q414" s="20" t="n">
        <v>0</v>
      </c>
    </row>
    <row r="415">
      <c r="A415" s="19" t="inlineStr">
        <is>
          <t>Company 180</t>
        </is>
      </c>
      <c r="B415" s="19" t="inlineStr">
        <is>
          <t>Software</t>
        </is>
      </c>
      <c r="C415" s="19" t="inlineStr">
        <is>
          <t>ENOM</t>
        </is>
      </c>
      <c r="D415" s="19" t="inlineStr">
        <is>
          <t>Italy</t>
        </is>
      </c>
      <c r="E415" s="20" t="n">
        <v>0</v>
      </c>
      <c r="F415" s="20" t="n">
        <v>13129.25</v>
      </c>
      <c r="G415" s="20" t="n">
        <v>14143.4</v>
      </c>
      <c r="H415" s="20" t="n">
        <v>15693.64</v>
      </c>
      <c r="I415" s="20" t="n">
        <v>16392.55</v>
      </c>
      <c r="J415" s="20" t="n">
        <v>16059.85</v>
      </c>
      <c r="K415" s="20" t="n">
        <v>16076.75</v>
      </c>
      <c r="L415" s="20" t="n">
        <v>2682.8</v>
      </c>
      <c r="M415" s="20" t="n">
        <v>0</v>
      </c>
      <c r="N415" s="20" t="n">
        <v>0</v>
      </c>
      <c r="O415" s="20" t="n">
        <v>0</v>
      </c>
      <c r="P415" s="20" t="n">
        <v>0</v>
      </c>
      <c r="Q415" s="20" t="n">
        <v>0</v>
      </c>
    </row>
    <row r="416">
      <c r="A416" s="19" t="inlineStr">
        <is>
          <t>Company 180</t>
        </is>
      </c>
      <c r="B416" s="19" t="inlineStr">
        <is>
          <t>Software</t>
        </is>
      </c>
      <c r="C416" s="19" t="inlineStr">
        <is>
          <t>Routing</t>
        </is>
      </c>
      <c r="D416" s="19" t="inlineStr">
        <is>
          <t>Italy</t>
        </is>
      </c>
      <c r="E416" s="20" t="n">
        <v>0</v>
      </c>
      <c r="F416" s="20" t="n">
        <v>564.38</v>
      </c>
      <c r="G416" s="20" t="n">
        <v>726.2900000000002</v>
      </c>
      <c r="H416" s="20" t="n">
        <v>805.8899999999996</v>
      </c>
      <c r="I416" s="20" t="n">
        <v>841.79</v>
      </c>
      <c r="J416" s="20" t="n">
        <v>1508.36</v>
      </c>
      <c r="K416" s="20" t="n">
        <v>2339.95</v>
      </c>
      <c r="L416" s="20" t="n">
        <v>413.3</v>
      </c>
      <c r="M416" s="20" t="n">
        <v>0</v>
      </c>
      <c r="N416" s="20" t="n">
        <v>0</v>
      </c>
      <c r="O416" s="20" t="n">
        <v>0</v>
      </c>
      <c r="P416" s="20" t="n">
        <v>0</v>
      </c>
      <c r="Q416" s="20" t="n">
        <v>0</v>
      </c>
    </row>
    <row r="417">
      <c r="A417" s="19" t="inlineStr">
        <is>
          <t>Company 181</t>
        </is>
      </c>
      <c r="B417" s="19" t="inlineStr">
        <is>
          <t>Software</t>
        </is>
      </c>
      <c r="C417" s="19" t="inlineStr">
        <is>
          <t>ENOM</t>
        </is>
      </c>
      <c r="D417" s="19" t="inlineStr">
        <is>
          <t>UK</t>
        </is>
      </c>
      <c r="E417" s="20" t="n">
        <v>8000</v>
      </c>
      <c r="F417" s="20" t="n">
        <v>8000</v>
      </c>
      <c r="G417" s="20" t="n">
        <v>6666.7</v>
      </c>
      <c r="H417" s="20" t="n">
        <v>0</v>
      </c>
      <c r="I417" s="20" t="n">
        <v>0</v>
      </c>
      <c r="J417" s="20" t="n">
        <v>0</v>
      </c>
      <c r="K417" s="20" t="n">
        <v>0</v>
      </c>
      <c r="L417" s="20" t="n">
        <v>0</v>
      </c>
      <c r="M417" s="20" t="n">
        <v>0</v>
      </c>
      <c r="N417" s="20" t="n">
        <v>0</v>
      </c>
      <c r="O417" s="20" t="n">
        <v>0</v>
      </c>
      <c r="P417" s="20" t="n">
        <v>0</v>
      </c>
      <c r="Q417" s="20" t="n">
        <v>0</v>
      </c>
    </row>
    <row r="418">
      <c r="A418" s="19" t="inlineStr">
        <is>
          <t>Company 181</t>
        </is>
      </c>
      <c r="B418" s="19" t="inlineStr">
        <is>
          <t>Software</t>
        </is>
      </c>
      <c r="C418" s="19" t="inlineStr">
        <is>
          <t>Routing</t>
        </is>
      </c>
      <c r="D418" s="19" t="inlineStr">
        <is>
          <t>UK</t>
        </is>
      </c>
      <c r="E418" s="20" t="n">
        <v>4000</v>
      </c>
      <c r="F418" s="20" t="n">
        <v>2900</v>
      </c>
      <c r="G418" s="20" t="n">
        <v>2000</v>
      </c>
      <c r="H418" s="20" t="n">
        <v>0</v>
      </c>
      <c r="I418" s="20" t="n">
        <v>0</v>
      </c>
      <c r="J418" s="20" t="n">
        <v>0</v>
      </c>
      <c r="K418" s="20" t="n">
        <v>0</v>
      </c>
      <c r="L418" s="20" t="n">
        <v>0</v>
      </c>
      <c r="M418" s="20" t="n">
        <v>0</v>
      </c>
      <c r="N418" s="20" t="n">
        <v>0</v>
      </c>
      <c r="O418" s="20" t="n">
        <v>0</v>
      </c>
      <c r="P418" s="20" t="n">
        <v>0</v>
      </c>
      <c r="Q418" s="20" t="n">
        <v>0</v>
      </c>
    </row>
    <row r="419">
      <c r="A419" s="19" t="inlineStr">
        <is>
          <t>Company 181</t>
        </is>
      </c>
      <c r="B419" s="19" t="inlineStr">
        <is>
          <t>Operations</t>
        </is>
      </c>
      <c r="C419" s="19" t="inlineStr">
        <is>
          <t>Shipper Gas</t>
        </is>
      </c>
      <c r="D419" s="19" t="inlineStr">
        <is>
          <t>UK</t>
        </is>
      </c>
      <c r="E419" s="20" t="n">
        <v>136224</v>
      </c>
      <c r="F419" s="20" t="n">
        <v>88800</v>
      </c>
      <c r="G419" s="20" t="n">
        <v>41666.67</v>
      </c>
      <c r="H419" s="20" t="n">
        <v>0</v>
      </c>
      <c r="I419" s="20" t="n">
        <v>0</v>
      </c>
      <c r="J419" s="20" t="n">
        <v>0</v>
      </c>
      <c r="K419" s="20" t="n">
        <v>0</v>
      </c>
      <c r="L419" s="20" t="n">
        <v>0</v>
      </c>
      <c r="M419" s="20" t="n">
        <v>0</v>
      </c>
      <c r="N419" s="20" t="n">
        <v>0</v>
      </c>
      <c r="O419" s="20" t="n">
        <v>0</v>
      </c>
      <c r="P419" s="20" t="n">
        <v>0</v>
      </c>
      <c r="Q419" s="20" t="n">
        <v>0</v>
      </c>
    </row>
    <row r="420">
      <c r="A420" s="19" t="inlineStr">
        <is>
          <t>Company 182</t>
        </is>
      </c>
      <c r="B420" s="19" t="inlineStr">
        <is>
          <t>Operations</t>
        </is>
      </c>
      <c r="C420" s="19" t="inlineStr">
        <is>
          <t>Shipper Gas</t>
        </is>
      </c>
      <c r="D420" s="19" t="inlineStr">
        <is>
          <t>Germany</t>
        </is>
      </c>
      <c r="E420" s="20" t="n">
        <v>0</v>
      </c>
      <c r="F420" s="20" t="n">
        <v>0</v>
      </c>
      <c r="G420" s="20" t="n">
        <v>0</v>
      </c>
      <c r="H420" s="20" t="n">
        <v>0</v>
      </c>
      <c r="I420" s="20" t="n">
        <v>0</v>
      </c>
      <c r="J420" s="20" t="n">
        <v>0</v>
      </c>
      <c r="K420" s="20" t="n">
        <v>0</v>
      </c>
      <c r="L420" s="20" t="n">
        <v>0</v>
      </c>
      <c r="M420" s="20" t="n">
        <v>0</v>
      </c>
      <c r="N420" s="20" t="n">
        <v>0</v>
      </c>
      <c r="O420" s="20" t="n">
        <v>0</v>
      </c>
      <c r="P420" s="20" t="n">
        <v>0</v>
      </c>
      <c r="Q420" s="20" t="n">
        <v>57173.91304347827</v>
      </c>
    </row>
    <row r="421">
      <c r="A421" s="19" t="inlineStr">
        <is>
          <t>Company 183</t>
        </is>
      </c>
      <c r="B421" s="19" t="inlineStr">
        <is>
          <t>Software</t>
        </is>
      </c>
      <c r="C421" s="19" t="inlineStr">
        <is>
          <t>ENOM+</t>
        </is>
      </c>
      <c r="D421" s="19" t="inlineStr">
        <is>
          <t>Germany</t>
        </is>
      </c>
      <c r="E421" s="20" t="n">
        <v>17326.05</v>
      </c>
      <c r="F421" s="20" t="n">
        <v>27599.88</v>
      </c>
      <c r="G421" s="20" t="n">
        <v>16964.64</v>
      </c>
      <c r="H421" s="20" t="n">
        <v>19553</v>
      </c>
      <c r="I421" s="20" t="n">
        <v>20531.97</v>
      </c>
      <c r="J421" s="20" t="n">
        <v>20787.22</v>
      </c>
      <c r="K421" s="20" t="n">
        <v>0</v>
      </c>
      <c r="L421" s="20" t="n">
        <v>0</v>
      </c>
      <c r="M421" s="20" t="n">
        <v>0</v>
      </c>
      <c r="N421" s="20" t="n">
        <v>0</v>
      </c>
      <c r="O421" s="20" t="n">
        <v>0</v>
      </c>
      <c r="P421" s="20" t="n">
        <v>0</v>
      </c>
      <c r="Q421" s="20" t="n">
        <v>0</v>
      </c>
    </row>
    <row r="422">
      <c r="A422" s="19" t="inlineStr">
        <is>
          <t>Company 183</t>
        </is>
      </c>
      <c r="B422" s="19" t="inlineStr">
        <is>
          <t>Software</t>
        </is>
      </c>
      <c r="C422" s="19" t="inlineStr">
        <is>
          <t>Routing</t>
        </is>
      </c>
      <c r="D422" s="19" t="inlineStr">
        <is>
          <t>Germany</t>
        </is>
      </c>
      <c r="E422" s="20" t="n">
        <v>1485.09</v>
      </c>
      <c r="F422" s="20" t="n">
        <v>2106</v>
      </c>
      <c r="G422" s="20" t="n">
        <v>1982.88</v>
      </c>
      <c r="H422" s="20" t="n">
        <v>2285.42</v>
      </c>
      <c r="I422" s="20" t="n">
        <v>2399.84</v>
      </c>
      <c r="J422" s="20" t="n">
        <v>2429.68</v>
      </c>
      <c r="K422" s="20" t="n">
        <v>0</v>
      </c>
      <c r="L422" s="20" t="n">
        <v>0</v>
      </c>
      <c r="M422" s="20" t="n">
        <v>0</v>
      </c>
      <c r="N422" s="20" t="n">
        <v>0</v>
      </c>
      <c r="O422" s="20" t="n">
        <v>0</v>
      </c>
      <c r="P422" s="20" t="n">
        <v>0</v>
      </c>
      <c r="Q422" s="20" t="n">
        <v>0</v>
      </c>
    </row>
    <row r="423">
      <c r="A423" s="19" t="inlineStr">
        <is>
          <t>Company 184</t>
        </is>
      </c>
      <c r="B423" s="19" t="inlineStr">
        <is>
          <t>Software</t>
        </is>
      </c>
      <c r="C423" s="19" t="inlineStr">
        <is>
          <t>Hosting</t>
        </is>
      </c>
      <c r="D423" s="19" t="inlineStr">
        <is>
          <t>Germany</t>
        </is>
      </c>
      <c r="E423" s="20" t="n">
        <v>7228.92</v>
      </c>
      <c r="F423" s="20" t="n">
        <v>6530.6</v>
      </c>
      <c r="G423" s="20" t="n">
        <v>7429.36</v>
      </c>
      <c r="H423" s="20" t="n">
        <v>7911.59</v>
      </c>
      <c r="I423" s="20" t="n">
        <v>7977.26</v>
      </c>
      <c r="J423" s="20" t="n">
        <v>7880.29</v>
      </c>
      <c r="K423" s="20" t="n">
        <v>8007.53</v>
      </c>
      <c r="L423" s="20" t="n">
        <v>7705.11</v>
      </c>
      <c r="M423" s="20" t="n">
        <v>7695.140000000001</v>
      </c>
      <c r="N423" s="20" t="n">
        <v>7133.799999999999</v>
      </c>
      <c r="O423" s="20" t="n">
        <v>0</v>
      </c>
      <c r="P423" s="20" t="n">
        <v>0</v>
      </c>
      <c r="Q423" s="20" t="n">
        <v>0</v>
      </c>
    </row>
    <row r="424">
      <c r="A424" s="19" t="inlineStr">
        <is>
          <t>Company 185</t>
        </is>
      </c>
      <c r="B424" s="19" t="inlineStr">
        <is>
          <t>Operations</t>
        </is>
      </c>
      <c r="C424" s="19" t="inlineStr">
        <is>
          <t>Shipper Gas</t>
        </is>
      </c>
      <c r="D424" s="19" t="inlineStr">
        <is>
          <t>Norway</t>
        </is>
      </c>
      <c r="E424" s="20" t="n">
        <v>100860</v>
      </c>
      <c r="F424" s="20" t="n">
        <v>102942</v>
      </c>
      <c r="G424" s="20" t="n">
        <v>116760</v>
      </c>
      <c r="H424" s="20" t="n">
        <v>129732</v>
      </c>
      <c r="I424" s="20" t="n">
        <v>129732</v>
      </c>
      <c r="J424" s="20" t="n">
        <v>64866</v>
      </c>
      <c r="K424" s="20" t="n">
        <v>0</v>
      </c>
      <c r="L424" s="20" t="n">
        <v>0</v>
      </c>
      <c r="M424" s="20" t="n">
        <v>0</v>
      </c>
      <c r="N424" s="20" t="n">
        <v>0</v>
      </c>
      <c r="O424" s="20" t="n">
        <v>0</v>
      </c>
      <c r="P424" s="20" t="n">
        <v>0</v>
      </c>
      <c r="Q424" s="20" t="n">
        <v>0</v>
      </c>
    </row>
    <row r="425">
      <c r="A425" s="19" t="inlineStr">
        <is>
          <t>Company 186</t>
        </is>
      </c>
      <c r="B425" s="19" t="inlineStr">
        <is>
          <t>Software</t>
        </is>
      </c>
      <c r="C425" s="19" t="inlineStr">
        <is>
          <t>EuroRunner</t>
        </is>
      </c>
      <c r="D425" s="19" t="inlineStr">
        <is>
          <t>UK</t>
        </is>
      </c>
      <c r="E425" s="20" t="n">
        <v>18000</v>
      </c>
      <c r="F425" s="20" t="n">
        <v>18000</v>
      </c>
      <c r="G425" s="20" t="n">
        <v>18000</v>
      </c>
      <c r="H425" s="20" t="n">
        <v>9000</v>
      </c>
      <c r="I425" s="20" t="n">
        <v>0</v>
      </c>
      <c r="J425" s="20" t="n">
        <v>0</v>
      </c>
      <c r="K425" s="20" t="n">
        <v>0</v>
      </c>
      <c r="L425" s="20" t="n">
        <v>0</v>
      </c>
      <c r="M425" s="20" t="n">
        <v>0</v>
      </c>
      <c r="N425" s="20" t="n">
        <v>0</v>
      </c>
      <c r="O425" s="20" t="n">
        <v>0</v>
      </c>
      <c r="P425" s="20" t="n">
        <v>0</v>
      </c>
      <c r="Q425" s="20" t="n">
        <v>0</v>
      </c>
    </row>
    <row r="426">
      <c r="A426" s="19" t="inlineStr">
        <is>
          <t>Company 187</t>
        </is>
      </c>
      <c r="B426" s="19" t="inlineStr">
        <is>
          <t>Operations</t>
        </is>
      </c>
      <c r="C426" s="19" t="inlineStr">
        <is>
          <t>Shipper Gas</t>
        </is>
      </c>
      <c r="D426" s="19" t="inlineStr">
        <is>
          <t>UK</t>
        </is>
      </c>
      <c r="E426" s="20" t="n">
        <v>220362.5</v>
      </c>
      <c r="F426" s="20" t="n">
        <v>246912.2</v>
      </c>
      <c r="G426" s="20" t="n">
        <v>94587.25</v>
      </c>
      <c r="H426" s="20" t="n">
        <v>0</v>
      </c>
      <c r="I426" s="20" t="n">
        <v>0</v>
      </c>
      <c r="J426" s="20" t="n">
        <v>0</v>
      </c>
      <c r="K426" s="20" t="n">
        <v>0</v>
      </c>
      <c r="L426" s="20" t="n">
        <v>0</v>
      </c>
      <c r="M426" s="20" t="n">
        <v>0</v>
      </c>
      <c r="N426" s="20" t="n">
        <v>0</v>
      </c>
      <c r="O426" s="20" t="n">
        <v>0</v>
      </c>
      <c r="P426" s="20" t="n">
        <v>0</v>
      </c>
      <c r="Q426" s="20" t="n">
        <v>0</v>
      </c>
    </row>
    <row r="427">
      <c r="A427" s="19" t="inlineStr">
        <is>
          <t>Company 188</t>
        </is>
      </c>
      <c r="B427" s="19" t="inlineStr">
        <is>
          <t>Software</t>
        </is>
      </c>
      <c r="C427" s="19" t="inlineStr">
        <is>
          <t>ENOM</t>
        </is>
      </c>
      <c r="D427" s="19" t="inlineStr">
        <is>
          <t>UK</t>
        </is>
      </c>
      <c r="E427" s="20" t="n">
        <v>7200</v>
      </c>
      <c r="F427" s="20" t="n">
        <v>7200</v>
      </c>
      <c r="G427" s="20" t="n">
        <v>7200</v>
      </c>
      <c r="H427" s="20" t="n">
        <v>3000</v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0" t="n">
        <v>0</v>
      </c>
      <c r="O427" s="20" t="n">
        <v>0</v>
      </c>
      <c r="P427" s="20" t="n">
        <v>0</v>
      </c>
      <c r="Q427" s="20" t="n">
        <v>0</v>
      </c>
    </row>
    <row r="428">
      <c r="A428" s="19" t="inlineStr">
        <is>
          <t>Company 188</t>
        </is>
      </c>
      <c r="B428" s="19" t="inlineStr">
        <is>
          <t>Software</t>
        </is>
      </c>
      <c r="C428" s="19" t="inlineStr">
        <is>
          <t>Routing</t>
        </is>
      </c>
      <c r="D428" s="19" t="inlineStr">
        <is>
          <t>UK</t>
        </is>
      </c>
      <c r="E428" s="20" t="n">
        <v>3966.699999999999</v>
      </c>
      <c r="F428" s="20" t="n">
        <v>3208.300000000001</v>
      </c>
      <c r="G428" s="20" t="n">
        <v>3500</v>
      </c>
      <c r="H428" s="20" t="n">
        <v>1458.35</v>
      </c>
      <c r="I428" s="20" t="n">
        <v>0</v>
      </c>
      <c r="J428" s="20" t="n">
        <v>0</v>
      </c>
      <c r="K428" s="20" t="n">
        <v>0</v>
      </c>
      <c r="L428" s="20" t="n">
        <v>0</v>
      </c>
      <c r="M428" s="20" t="n">
        <v>0</v>
      </c>
      <c r="N428" s="20" t="n">
        <v>0</v>
      </c>
      <c r="O428" s="20" t="n">
        <v>0</v>
      </c>
      <c r="P428" s="20" t="n">
        <v>0</v>
      </c>
      <c r="Q428" s="20" t="n">
        <v>0</v>
      </c>
    </row>
    <row r="429">
      <c r="A429" s="19" t="inlineStr">
        <is>
          <t>Company 189</t>
        </is>
      </c>
      <c r="B429" s="19" t="inlineStr">
        <is>
          <t>Operations</t>
        </is>
      </c>
      <c r="C429" s="19" t="inlineStr">
        <is>
          <t>Shipper Gas</t>
        </is>
      </c>
      <c r="D429" s="19" t="inlineStr">
        <is>
          <t>Singapore</t>
        </is>
      </c>
      <c r="E429" s="20" t="n">
        <v>51600</v>
      </c>
      <c r="F429" s="20" t="n">
        <v>0</v>
      </c>
      <c r="G429" s="20" t="n">
        <v>0</v>
      </c>
      <c r="H429" s="20" t="n">
        <v>0</v>
      </c>
      <c r="I429" s="20" t="n">
        <v>0</v>
      </c>
      <c r="J429" s="20" t="n">
        <v>0</v>
      </c>
      <c r="K429" s="20" t="n">
        <v>0</v>
      </c>
      <c r="L429" s="20" t="n">
        <v>0</v>
      </c>
      <c r="M429" s="20" t="n">
        <v>0</v>
      </c>
      <c r="N429" s="20" t="n">
        <v>0</v>
      </c>
      <c r="O429" s="20" t="n">
        <v>0</v>
      </c>
      <c r="P429" s="20" t="n">
        <v>0</v>
      </c>
      <c r="Q429" s="20" t="n">
        <v>0</v>
      </c>
    </row>
    <row r="430">
      <c r="A430" s="19" t="inlineStr">
        <is>
          <t>Company 190</t>
        </is>
      </c>
      <c r="B430" s="19" t="inlineStr">
        <is>
          <t>Operations</t>
        </is>
      </c>
      <c r="C430" s="19" t="inlineStr">
        <is>
          <t>Shipper Gas</t>
        </is>
      </c>
      <c r="D430" s="19" t="inlineStr">
        <is>
          <t>UK</t>
        </is>
      </c>
      <c r="E430" s="20" t="n">
        <v>0</v>
      </c>
      <c r="F430" s="20" t="n">
        <v>0</v>
      </c>
      <c r="G430" s="20" t="n">
        <v>0</v>
      </c>
      <c r="H430" s="20" t="n">
        <v>0</v>
      </c>
      <c r="I430" s="20" t="n">
        <v>0</v>
      </c>
      <c r="J430" s="20" t="n">
        <v>3500</v>
      </c>
      <c r="K430" s="20" t="n">
        <v>49412</v>
      </c>
      <c r="L430" s="20" t="n">
        <v>21875</v>
      </c>
      <c r="M430" s="20" t="n">
        <v>0</v>
      </c>
      <c r="N430" s="20" t="n">
        <v>0</v>
      </c>
      <c r="O430" s="20" t="n">
        <v>0</v>
      </c>
      <c r="P430" s="20" t="n">
        <v>0</v>
      </c>
      <c r="Q430" s="20" t="n">
        <v>0</v>
      </c>
    </row>
    <row r="431">
      <c r="A431" s="19" t="inlineStr">
        <is>
          <t>Company 191</t>
        </is>
      </c>
      <c r="B431" s="19" t="inlineStr">
        <is>
          <t>Software</t>
        </is>
      </c>
      <c r="C431" s="19" t="inlineStr">
        <is>
          <t>ENOM</t>
        </is>
      </c>
      <c r="D431" s="19" t="inlineStr">
        <is>
          <t>Ireland</t>
        </is>
      </c>
      <c r="E431" s="20" t="n">
        <v>0</v>
      </c>
      <c r="F431" s="20" t="n">
        <v>10400</v>
      </c>
      <c r="G431" s="20" t="n">
        <v>10400</v>
      </c>
      <c r="H431" s="20" t="n">
        <v>10400</v>
      </c>
      <c r="I431" s="20" t="n">
        <v>10400</v>
      </c>
      <c r="J431" s="20" t="n">
        <v>10400</v>
      </c>
      <c r="K431" s="20" t="n">
        <v>10400</v>
      </c>
      <c r="L431" s="20" t="n">
        <v>10400</v>
      </c>
      <c r="M431" s="20" t="n">
        <v>0</v>
      </c>
      <c r="N431" s="20" t="n">
        <v>0</v>
      </c>
      <c r="O431" s="20" t="n">
        <v>0</v>
      </c>
      <c r="P431" s="20" t="n">
        <v>0</v>
      </c>
      <c r="Q431" s="20" t="n">
        <v>0</v>
      </c>
    </row>
    <row r="432">
      <c r="A432" s="19" t="inlineStr">
        <is>
          <t>Company 191</t>
        </is>
      </c>
      <c r="B432" s="19" t="inlineStr">
        <is>
          <t>Software</t>
        </is>
      </c>
      <c r="C432" s="19" t="inlineStr">
        <is>
          <t>Routing</t>
        </is>
      </c>
      <c r="D432" s="19" t="inlineStr">
        <is>
          <t>Ireland</t>
        </is>
      </c>
      <c r="E432" s="20" t="n">
        <v>0</v>
      </c>
      <c r="F432" s="20" t="n">
        <v>790.0000000000001</v>
      </c>
      <c r="G432" s="20" t="n">
        <v>1580</v>
      </c>
      <c r="H432" s="20" t="n">
        <v>1580</v>
      </c>
      <c r="I432" s="20" t="n">
        <v>1580</v>
      </c>
      <c r="J432" s="20" t="n">
        <v>2370</v>
      </c>
      <c r="K432" s="20" t="n">
        <v>2370</v>
      </c>
      <c r="L432" s="20" t="n">
        <v>2370</v>
      </c>
      <c r="M432" s="20" t="n">
        <v>0</v>
      </c>
      <c r="N432" s="20" t="n">
        <v>0</v>
      </c>
      <c r="O432" s="20" t="n">
        <v>0</v>
      </c>
      <c r="P432" s="20" t="n">
        <v>0</v>
      </c>
      <c r="Q432" s="20" t="n">
        <v>0</v>
      </c>
    </row>
    <row r="433">
      <c r="A433" s="19" t="inlineStr">
        <is>
          <t>Company 191</t>
        </is>
      </c>
      <c r="B433" s="19" t="inlineStr">
        <is>
          <t>Software</t>
        </is>
      </c>
      <c r="C433" s="19" t="inlineStr">
        <is>
          <t>Hosting</t>
        </is>
      </c>
      <c r="D433" s="19" t="inlineStr">
        <is>
          <t>Ireland</t>
        </is>
      </c>
      <c r="E433" s="20" t="n">
        <v>0</v>
      </c>
      <c r="F433" s="20" t="n">
        <v>0</v>
      </c>
      <c r="G433" s="20" t="n">
        <v>0</v>
      </c>
      <c r="H433" s="20" t="n">
        <v>0</v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0" t="n">
        <v>11333</v>
      </c>
      <c r="O433" s="20" t="n">
        <v>0</v>
      </c>
      <c r="P433" s="20" t="n">
        <v>0</v>
      </c>
      <c r="Q433" s="20" t="n">
        <v>0</v>
      </c>
    </row>
    <row r="434">
      <c r="A434" s="19" t="inlineStr">
        <is>
          <t>Company 192</t>
        </is>
      </c>
      <c r="B434" s="19" t="inlineStr">
        <is>
          <t>Software</t>
        </is>
      </c>
      <c r="C434" s="19" t="inlineStr">
        <is>
          <t>IT Other</t>
        </is>
      </c>
      <c r="D434" s="19" t="inlineStr">
        <is>
          <t>UK</t>
        </is>
      </c>
      <c r="E434" s="20" t="n">
        <v>9870</v>
      </c>
      <c r="F434" s="20" t="n">
        <v>0</v>
      </c>
      <c r="G434" s="20" t="n">
        <v>0</v>
      </c>
      <c r="H434" s="20" t="n">
        <v>0</v>
      </c>
      <c r="I434" s="20" t="n">
        <v>0</v>
      </c>
      <c r="J434" s="20" t="n">
        <v>0</v>
      </c>
      <c r="K434" s="20" t="n">
        <v>0</v>
      </c>
      <c r="L434" s="20" t="n">
        <v>0</v>
      </c>
      <c r="M434" s="20" t="n">
        <v>0</v>
      </c>
      <c r="N434" s="20" t="n">
        <v>0</v>
      </c>
      <c r="O434" s="20" t="n">
        <v>0</v>
      </c>
      <c r="P434" s="20" t="n">
        <v>0</v>
      </c>
      <c r="Q434" s="20" t="n">
        <v>0</v>
      </c>
    </row>
    <row r="435">
      <c r="A435" s="19" t="inlineStr">
        <is>
          <t>Company 192</t>
        </is>
      </c>
      <c r="B435" s="19" t="inlineStr">
        <is>
          <t>Power</t>
        </is>
      </c>
      <c r="C435" s="19" t="inlineStr">
        <is>
          <t>Shipper Power</t>
        </is>
      </c>
      <c r="D435" s="19" t="inlineStr">
        <is>
          <t>UK</t>
        </is>
      </c>
      <c r="E435" s="20" t="n">
        <v>0</v>
      </c>
      <c r="F435" s="20" t="n">
        <v>0</v>
      </c>
      <c r="G435" s="20" t="n">
        <v>6320</v>
      </c>
      <c r="H435" s="20" t="n">
        <v>0</v>
      </c>
      <c r="I435" s="20" t="n">
        <v>0</v>
      </c>
      <c r="J435" s="20" t="n">
        <v>0</v>
      </c>
      <c r="K435" s="20" t="n">
        <v>0</v>
      </c>
      <c r="L435" s="20" t="n">
        <v>0</v>
      </c>
      <c r="M435" s="20" t="n">
        <v>0</v>
      </c>
      <c r="N435" s="20" t="n">
        <v>0</v>
      </c>
      <c r="O435" s="20" t="n">
        <v>0</v>
      </c>
      <c r="P435" s="20" t="n">
        <v>0</v>
      </c>
      <c r="Q435" s="20" t="n">
        <v>0</v>
      </c>
    </row>
    <row r="436">
      <c r="A436" s="19" t="inlineStr">
        <is>
          <t>Company 193</t>
        </is>
      </c>
      <c r="B436" s="19" t="inlineStr">
        <is>
          <t>Software</t>
        </is>
      </c>
      <c r="C436" s="19" t="inlineStr">
        <is>
          <t>ENOM</t>
        </is>
      </c>
      <c r="D436" s="19" t="inlineStr">
        <is>
          <t>UK</t>
        </is>
      </c>
      <c r="E436" s="20" t="n">
        <v>0</v>
      </c>
      <c r="F436" s="20" t="n">
        <v>0</v>
      </c>
      <c r="G436" s="20" t="n">
        <v>0</v>
      </c>
      <c r="H436" s="20" t="n">
        <v>0</v>
      </c>
      <c r="I436" s="20" t="n">
        <v>0</v>
      </c>
      <c r="J436" s="20" t="n">
        <v>0</v>
      </c>
      <c r="K436" s="20" t="n">
        <v>7000</v>
      </c>
      <c r="L436" s="20" t="n">
        <v>10500</v>
      </c>
      <c r="M436" s="20" t="n">
        <v>3500</v>
      </c>
      <c r="N436" s="20" t="n">
        <v>0</v>
      </c>
      <c r="O436" s="20" t="n">
        <v>0</v>
      </c>
      <c r="P436" s="20" t="n">
        <v>0</v>
      </c>
      <c r="Q436" s="20" t="n">
        <v>0</v>
      </c>
    </row>
    <row r="437">
      <c r="A437" s="19" t="inlineStr">
        <is>
          <t>Company 193</t>
        </is>
      </c>
      <c r="B437" s="19" t="inlineStr">
        <is>
          <t>Software</t>
        </is>
      </c>
      <c r="C437" s="19" t="inlineStr">
        <is>
          <t>Routing</t>
        </is>
      </c>
      <c r="D437" s="19" t="inlineStr">
        <is>
          <t>UK</t>
        </is>
      </c>
      <c r="E437" s="20" t="n">
        <v>0</v>
      </c>
      <c r="F437" s="20" t="n">
        <v>0</v>
      </c>
      <c r="G437" s="20" t="n">
        <v>0</v>
      </c>
      <c r="H437" s="20" t="n">
        <v>0</v>
      </c>
      <c r="I437" s="20" t="n">
        <v>0</v>
      </c>
      <c r="J437" s="20" t="n">
        <v>0</v>
      </c>
      <c r="K437" s="20" t="n">
        <v>600</v>
      </c>
      <c r="L437" s="20" t="n">
        <v>900</v>
      </c>
      <c r="M437" s="20" t="n">
        <v>300</v>
      </c>
      <c r="N437" s="20" t="n">
        <v>0</v>
      </c>
      <c r="O437" s="20" t="n">
        <v>0</v>
      </c>
      <c r="P437" s="20" t="n">
        <v>0</v>
      </c>
      <c r="Q437" s="20" t="n">
        <v>0</v>
      </c>
    </row>
    <row r="438">
      <c r="A438" s="19" t="inlineStr">
        <is>
          <t>Company 194</t>
        </is>
      </c>
      <c r="B438" s="19" t="inlineStr">
        <is>
          <t>Software</t>
        </is>
      </c>
      <c r="C438" s="19" t="inlineStr">
        <is>
          <t>ENOM</t>
        </is>
      </c>
      <c r="D438" s="19" t="inlineStr">
        <is>
          <t>UK</t>
        </is>
      </c>
      <c r="E438" s="20" t="n">
        <v>0</v>
      </c>
      <c r="F438" s="20" t="n">
        <v>12133.3</v>
      </c>
      <c r="G438" s="20" t="n">
        <v>10400</v>
      </c>
      <c r="H438" s="20" t="n">
        <v>8666.699999999999</v>
      </c>
      <c r="I438" s="20" t="n">
        <v>0</v>
      </c>
      <c r="J438" s="20" t="n">
        <v>0</v>
      </c>
      <c r="K438" s="20" t="n">
        <v>0</v>
      </c>
      <c r="L438" s="20" t="n">
        <v>0</v>
      </c>
      <c r="M438" s="20" t="n">
        <v>0</v>
      </c>
      <c r="N438" s="20" t="n">
        <v>0</v>
      </c>
      <c r="O438" s="20" t="n">
        <v>0</v>
      </c>
      <c r="P438" s="20" t="n">
        <v>0</v>
      </c>
      <c r="Q438" s="20" t="n">
        <v>0</v>
      </c>
    </row>
    <row r="439">
      <c r="A439" s="19" t="inlineStr">
        <is>
          <t>Company 194</t>
        </is>
      </c>
      <c r="B439" s="19" t="inlineStr">
        <is>
          <t>Software</t>
        </is>
      </c>
      <c r="C439" s="19" t="inlineStr">
        <is>
          <t>PowerTrak</t>
        </is>
      </c>
      <c r="D439" s="19" t="inlineStr">
        <is>
          <t>UK</t>
        </is>
      </c>
      <c r="E439" s="20" t="n">
        <v>0</v>
      </c>
      <c r="F439" s="20" t="n">
        <v>37333.29999999999</v>
      </c>
      <c r="G439" s="20" t="n">
        <v>32000</v>
      </c>
      <c r="H439" s="20" t="n">
        <v>26666.7</v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0" t="n">
        <v>0</v>
      </c>
      <c r="O439" s="20" t="n">
        <v>0</v>
      </c>
      <c r="P439" s="20" t="n">
        <v>0</v>
      </c>
      <c r="Q439" s="20" t="n">
        <v>0</v>
      </c>
    </row>
    <row r="440">
      <c r="A440" s="19" t="inlineStr">
        <is>
          <t>Company 194</t>
        </is>
      </c>
      <c r="B440" s="19" t="inlineStr">
        <is>
          <t>Software</t>
        </is>
      </c>
      <c r="C440" s="19" t="inlineStr">
        <is>
          <t>Routing</t>
        </is>
      </c>
      <c r="D440" s="19" t="inlineStr">
        <is>
          <t>UK</t>
        </is>
      </c>
      <c r="E440" s="20" t="n">
        <v>0</v>
      </c>
      <c r="F440" s="20" t="n">
        <v>0</v>
      </c>
      <c r="G440" s="20" t="n">
        <v>1580.02</v>
      </c>
      <c r="H440" s="20" t="n">
        <v>3225.860000000001</v>
      </c>
      <c r="I440" s="20" t="n">
        <v>0</v>
      </c>
      <c r="J440" s="20" t="n">
        <v>0</v>
      </c>
      <c r="K440" s="20" t="n">
        <v>0</v>
      </c>
      <c r="L440" s="20" t="n">
        <v>0</v>
      </c>
      <c r="M440" s="20" t="n">
        <v>0</v>
      </c>
      <c r="N440" s="20" t="n">
        <v>0</v>
      </c>
      <c r="O440" s="20" t="n">
        <v>0</v>
      </c>
      <c r="P440" s="20" t="n">
        <v>0</v>
      </c>
      <c r="Q440" s="20" t="n">
        <v>0</v>
      </c>
    </row>
    <row r="441">
      <c r="A441" s="19" t="inlineStr">
        <is>
          <t>Company 195</t>
        </is>
      </c>
      <c r="B441" s="19" t="inlineStr">
        <is>
          <t>Software</t>
        </is>
      </c>
      <c r="C441" s="19" t="inlineStr">
        <is>
          <t>CodeRunner</t>
        </is>
      </c>
      <c r="D441" s="19" t="inlineStr">
        <is>
          <t>UK</t>
        </is>
      </c>
      <c r="E441" s="20" t="n">
        <v>2333.33</v>
      </c>
      <c r="F441" s="20" t="n">
        <v>0</v>
      </c>
      <c r="G441" s="20" t="n">
        <v>0</v>
      </c>
      <c r="H441" s="20" t="n">
        <v>0</v>
      </c>
      <c r="I441" s="20" t="n">
        <v>0</v>
      </c>
      <c r="J441" s="20" t="n">
        <v>0</v>
      </c>
      <c r="K441" s="20" t="n">
        <v>0</v>
      </c>
      <c r="L441" s="20" t="n">
        <v>0</v>
      </c>
      <c r="M441" s="20" t="n">
        <v>0</v>
      </c>
      <c r="N441" s="20" t="n">
        <v>0</v>
      </c>
      <c r="O441" s="20" t="n">
        <v>0</v>
      </c>
      <c r="P441" s="20" t="n">
        <v>0</v>
      </c>
      <c r="Q441" s="20" t="n">
        <v>0</v>
      </c>
    </row>
    <row r="442">
      <c r="A442" s="19" t="inlineStr">
        <is>
          <t>Company 196</t>
        </is>
      </c>
      <c r="B442" s="19" t="inlineStr">
        <is>
          <t>Power</t>
        </is>
      </c>
      <c r="C442" s="19" t="inlineStr">
        <is>
          <t>Shipper Power</t>
        </is>
      </c>
      <c r="D442" s="19" t="inlineStr">
        <is>
          <t>UK</t>
        </is>
      </c>
      <c r="E442" s="20" t="n">
        <v>86580</v>
      </c>
      <c r="F442" s="20" t="n">
        <v>69300</v>
      </c>
      <c r="G442" s="20" t="n">
        <v>55800</v>
      </c>
      <c r="H442" s="20" t="n">
        <v>0</v>
      </c>
      <c r="I442" s="20" t="n">
        <v>0</v>
      </c>
      <c r="J442" s="20" t="n">
        <v>0</v>
      </c>
      <c r="K442" s="20" t="n">
        <v>0</v>
      </c>
      <c r="L442" s="20" t="n">
        <v>0</v>
      </c>
      <c r="M442" s="20" t="n">
        <v>0</v>
      </c>
      <c r="N442" s="20" t="n">
        <v>0</v>
      </c>
      <c r="O442" s="20" t="n">
        <v>0</v>
      </c>
      <c r="P442" s="20" t="n">
        <v>0</v>
      </c>
      <c r="Q442" s="20" t="n">
        <v>0</v>
      </c>
    </row>
    <row r="443">
      <c r="A443" s="19" t="inlineStr">
        <is>
          <t>Company 197</t>
        </is>
      </c>
      <c r="B443" s="19" t="inlineStr">
        <is>
          <t>Operations</t>
        </is>
      </c>
      <c r="C443" s="19" t="inlineStr">
        <is>
          <t>Shipper Gas</t>
        </is>
      </c>
      <c r="D443" s="19" t="inlineStr">
        <is>
          <t>UK</t>
        </is>
      </c>
      <c r="E443" s="20" t="n">
        <v>101760</v>
      </c>
      <c r="F443" s="20" t="n">
        <v>83990</v>
      </c>
      <c r="G443" s="20" t="n">
        <v>62460</v>
      </c>
      <c r="H443" s="20" t="n">
        <v>40500</v>
      </c>
      <c r="I443" s="20" t="n">
        <v>0</v>
      </c>
      <c r="J443" s="20" t="n">
        <v>0</v>
      </c>
      <c r="K443" s="20" t="n">
        <v>0</v>
      </c>
      <c r="L443" s="20" t="n">
        <v>0</v>
      </c>
      <c r="M443" s="20" t="n">
        <v>0</v>
      </c>
      <c r="N443" s="20" t="n">
        <v>0</v>
      </c>
      <c r="O443" s="20" t="n">
        <v>0</v>
      </c>
      <c r="P443" s="20" t="n">
        <v>0</v>
      </c>
      <c r="Q443" s="20" t="n">
        <v>0</v>
      </c>
    </row>
    <row r="444">
      <c r="A444" s="19" t="inlineStr">
        <is>
          <t>Company 198</t>
        </is>
      </c>
      <c r="B444" s="19" t="inlineStr">
        <is>
          <t>Software</t>
        </is>
      </c>
      <c r="C444" s="19" t="inlineStr">
        <is>
          <t>IT Other</t>
        </is>
      </c>
      <c r="D444" s="19" t="inlineStr">
        <is>
          <t>UK</t>
        </is>
      </c>
      <c r="E444" s="20" t="n">
        <v>1724.56</v>
      </c>
      <c r="F444" s="20" t="n">
        <v>0</v>
      </c>
      <c r="G444" s="20" t="n">
        <v>0</v>
      </c>
      <c r="H444" s="20" t="n">
        <v>0</v>
      </c>
      <c r="I444" s="20" t="n">
        <v>0</v>
      </c>
      <c r="J444" s="20" t="n">
        <v>0</v>
      </c>
      <c r="K444" s="20" t="n">
        <v>0</v>
      </c>
      <c r="L444" s="20" t="n">
        <v>0</v>
      </c>
      <c r="M444" s="20" t="n">
        <v>0</v>
      </c>
      <c r="N444" s="20" t="n">
        <v>0</v>
      </c>
      <c r="O444" s="20" t="n">
        <v>0</v>
      </c>
      <c r="P444" s="20" t="n">
        <v>0</v>
      </c>
      <c r="Q444" s="20" t="n">
        <v>0</v>
      </c>
    </row>
    <row r="445">
      <c r="A445" s="19" t="inlineStr">
        <is>
          <t>Company 199</t>
        </is>
      </c>
      <c r="B445" s="19" t="inlineStr">
        <is>
          <t>Software</t>
        </is>
      </c>
      <c r="C445" s="19" t="inlineStr">
        <is>
          <t>IT Other</t>
        </is>
      </c>
      <c r="D445" s="19" t="inlineStr">
        <is>
          <t>UK</t>
        </is>
      </c>
      <c r="E445" s="20" t="n">
        <v>10330.83</v>
      </c>
      <c r="F445" s="20" t="n">
        <v>0</v>
      </c>
      <c r="G445" s="20" t="n">
        <v>0</v>
      </c>
      <c r="H445" s="20" t="n">
        <v>0</v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0" t="n">
        <v>0</v>
      </c>
      <c r="O445" s="20" t="n">
        <v>0</v>
      </c>
      <c r="P445" s="20" t="n">
        <v>0</v>
      </c>
      <c r="Q445" s="20" t="n">
        <v>0</v>
      </c>
    </row>
    <row r="446">
      <c r="A446" s="19" t="inlineStr">
        <is>
          <t>Company 200</t>
        </is>
      </c>
      <c r="B446" s="19" t="inlineStr">
        <is>
          <t>Software</t>
        </is>
      </c>
      <c r="C446" s="19" t="inlineStr">
        <is>
          <t>Hosting</t>
        </is>
      </c>
      <c r="D446" s="19" t="inlineStr">
        <is>
          <t>Czech Republic</t>
        </is>
      </c>
      <c r="E446" s="20" t="n">
        <v>9600</v>
      </c>
      <c r="F446" s="20" t="n">
        <v>9600</v>
      </c>
      <c r="G446" s="20" t="n">
        <v>9600</v>
      </c>
      <c r="H446" s="20" t="n">
        <v>9600</v>
      </c>
      <c r="I446" s="20" t="n">
        <v>8800</v>
      </c>
      <c r="J446" s="20" t="n">
        <v>9600</v>
      </c>
      <c r="K446" s="20" t="n">
        <v>9600</v>
      </c>
      <c r="L446" s="20" t="n">
        <v>9600</v>
      </c>
      <c r="M446" s="20" t="n">
        <v>9600</v>
      </c>
      <c r="N446" s="20" t="n">
        <v>9600</v>
      </c>
      <c r="O446" s="20" t="n">
        <v>8000</v>
      </c>
      <c r="P446" s="20" t="n">
        <v>0</v>
      </c>
      <c r="Q446" s="20" t="n">
        <v>0</v>
      </c>
    </row>
    <row r="447">
      <c r="A447" s="19" t="inlineStr">
        <is>
          <t>Company 201</t>
        </is>
      </c>
      <c r="B447" s="19" t="inlineStr">
        <is>
          <t>Software</t>
        </is>
      </c>
      <c r="C447" s="19" t="inlineStr">
        <is>
          <t>Routing</t>
        </is>
      </c>
      <c r="D447" s="19" t="inlineStr">
        <is>
          <t>UK</t>
        </is>
      </c>
      <c r="E447" s="20" t="n">
        <v>0</v>
      </c>
      <c r="F447" s="20" t="n">
        <v>0</v>
      </c>
      <c r="G447" s="20" t="n">
        <v>921.6499999999999</v>
      </c>
      <c r="H447" s="20" t="n">
        <v>1580</v>
      </c>
      <c r="I447" s="20" t="n">
        <v>1580</v>
      </c>
      <c r="J447" s="20" t="n">
        <v>658.3499999999999</v>
      </c>
      <c r="K447" s="20" t="n">
        <v>0</v>
      </c>
      <c r="L447" s="20" t="n">
        <v>0</v>
      </c>
      <c r="M447" s="20" t="n">
        <v>0</v>
      </c>
      <c r="N447" s="20" t="n">
        <v>0</v>
      </c>
      <c r="O447" s="20" t="n">
        <v>0</v>
      </c>
      <c r="P447" s="20" t="n">
        <v>0</v>
      </c>
      <c r="Q447" s="20" t="n">
        <v>0</v>
      </c>
    </row>
    <row r="448">
      <c r="A448" s="19" t="inlineStr">
        <is>
          <t>Company 202</t>
        </is>
      </c>
      <c r="B448" s="19" t="inlineStr">
        <is>
          <t>Software</t>
        </is>
      </c>
      <c r="C448" s="19" t="inlineStr">
        <is>
          <t>ENOM</t>
        </is>
      </c>
      <c r="D448" s="19" t="inlineStr">
        <is>
          <t>Norway</t>
        </is>
      </c>
      <c r="E448" s="20" t="n">
        <v>9000</v>
      </c>
      <c r="F448" s="20" t="n">
        <v>9000</v>
      </c>
      <c r="G448" s="20" t="n">
        <v>9000</v>
      </c>
      <c r="H448" s="20" t="n">
        <v>9000</v>
      </c>
      <c r="I448" s="20" t="n">
        <v>9000</v>
      </c>
      <c r="J448" s="20" t="n">
        <v>8250</v>
      </c>
      <c r="K448" s="20" t="n">
        <v>0</v>
      </c>
      <c r="L448" s="20" t="n">
        <v>0</v>
      </c>
      <c r="M448" s="20" t="n">
        <v>0</v>
      </c>
      <c r="N448" s="20" t="n">
        <v>0</v>
      </c>
      <c r="O448" s="20" t="n">
        <v>0</v>
      </c>
      <c r="P448" s="20" t="n">
        <v>0</v>
      </c>
      <c r="Q448" s="20" t="n">
        <v>0</v>
      </c>
    </row>
    <row r="449">
      <c r="A449" s="19" t="inlineStr">
        <is>
          <t>Company 203</t>
        </is>
      </c>
      <c r="B449" s="19" t="inlineStr">
        <is>
          <t>Operations</t>
        </is>
      </c>
      <c r="C449" s="19" t="inlineStr">
        <is>
          <t>Shipper Gas</t>
        </is>
      </c>
      <c r="D449" s="19" t="inlineStr">
        <is>
          <t>UK</t>
        </is>
      </c>
      <c r="E449" s="20" t="n">
        <v>0</v>
      </c>
      <c r="F449" s="20" t="n">
        <v>0</v>
      </c>
      <c r="G449" s="20" t="n">
        <v>38500</v>
      </c>
      <c r="H449" s="20" t="n">
        <v>66000</v>
      </c>
      <c r="I449" s="20" t="n">
        <v>66000</v>
      </c>
      <c r="J449" s="20" t="n">
        <v>57200</v>
      </c>
      <c r="K449" s="20" t="n">
        <v>24933.33</v>
      </c>
      <c r="L449" s="20" t="n">
        <v>0</v>
      </c>
      <c r="M449" s="20" t="n">
        <v>0</v>
      </c>
      <c r="N449" s="20" t="n">
        <v>0</v>
      </c>
      <c r="O449" s="20" t="n">
        <v>0</v>
      </c>
      <c r="P449" s="20" t="n">
        <v>0</v>
      </c>
      <c r="Q449" s="20" t="n">
        <v>0</v>
      </c>
    </row>
    <row r="450">
      <c r="A450" s="19" t="inlineStr">
        <is>
          <t>Company 204</t>
        </is>
      </c>
      <c r="B450" s="19" t="inlineStr">
        <is>
          <t>Operations</t>
        </is>
      </c>
      <c r="C450" s="19" t="inlineStr">
        <is>
          <t>Demand Text</t>
        </is>
      </c>
      <c r="D450" s="19" t="inlineStr">
        <is>
          <t>UK</t>
        </is>
      </c>
      <c r="E450" s="20" t="n">
        <v>14879.67</v>
      </c>
      <c r="F450" s="20" t="n">
        <v>15776.66999999999</v>
      </c>
      <c r="G450" s="20" t="n">
        <v>15069.40000000001</v>
      </c>
      <c r="H450" s="20" t="n">
        <v>9021.52</v>
      </c>
      <c r="I450" s="20" t="n">
        <v>9400</v>
      </c>
      <c r="J450" s="20" t="n">
        <v>8450</v>
      </c>
      <c r="K450" s="20" t="n">
        <v>6435</v>
      </c>
      <c r="L450" s="20" t="n">
        <v>780</v>
      </c>
      <c r="M450" s="20" t="n">
        <v>0</v>
      </c>
      <c r="N450" s="20" t="n">
        <v>0</v>
      </c>
      <c r="O450" s="20" t="n">
        <v>0</v>
      </c>
      <c r="P450" s="20" t="n">
        <v>0</v>
      </c>
      <c r="Q450" s="20" t="n">
        <v>0</v>
      </c>
    </row>
    <row r="451">
      <c r="A451" s="19" t="inlineStr">
        <is>
          <t>Company 205</t>
        </is>
      </c>
      <c r="B451" s="19" t="inlineStr">
        <is>
          <t>Software</t>
        </is>
      </c>
      <c r="C451" s="19" t="inlineStr">
        <is>
          <t>ENOM</t>
        </is>
      </c>
      <c r="D451" s="19" t="inlineStr">
        <is>
          <t>USA</t>
        </is>
      </c>
      <c r="E451" s="20" t="n">
        <v>10400</v>
      </c>
      <c r="F451" s="20" t="n">
        <v>10400</v>
      </c>
      <c r="G451" s="20" t="n">
        <v>10400</v>
      </c>
      <c r="H451" s="20" t="n">
        <v>10400</v>
      </c>
      <c r="I451" s="20" t="n">
        <v>10400</v>
      </c>
      <c r="J451" s="20" t="n">
        <v>10400</v>
      </c>
      <c r="K451" s="20" t="n">
        <v>10400</v>
      </c>
      <c r="L451" s="20" t="n">
        <v>10400</v>
      </c>
      <c r="M451" s="20" t="n">
        <v>10400</v>
      </c>
      <c r="N451" s="20" t="n">
        <v>10400</v>
      </c>
      <c r="O451" s="20" t="n">
        <v>1733.34</v>
      </c>
      <c r="P451" s="20" t="n">
        <v>0</v>
      </c>
      <c r="Q451" s="20" t="n">
        <v>0</v>
      </c>
    </row>
    <row r="452">
      <c r="A452" s="19" t="inlineStr">
        <is>
          <t>Company 205</t>
        </is>
      </c>
      <c r="B452" s="19" t="inlineStr">
        <is>
          <t>Software</t>
        </is>
      </c>
      <c r="C452" s="19" t="inlineStr">
        <is>
          <t>Routing</t>
        </is>
      </c>
      <c r="D452" s="19" t="inlineStr">
        <is>
          <t>USA</t>
        </is>
      </c>
      <c r="E452" s="20" t="n">
        <v>790.0000000000001</v>
      </c>
      <c r="F452" s="20" t="n">
        <v>790.0000000000001</v>
      </c>
      <c r="G452" s="20" t="n">
        <v>790.0000000000001</v>
      </c>
      <c r="H452" s="20" t="n">
        <v>790.0000000000001</v>
      </c>
      <c r="I452" s="20" t="n">
        <v>790.0000000000001</v>
      </c>
      <c r="J452" s="20" t="n">
        <v>790.0000000000001</v>
      </c>
      <c r="K452" s="20" t="n">
        <v>790.0000000000001</v>
      </c>
      <c r="L452" s="20" t="n">
        <v>790.0000000000001</v>
      </c>
      <c r="M452" s="20" t="n">
        <v>790.0000000000001</v>
      </c>
      <c r="N452" s="20" t="n">
        <v>790.0000000000001</v>
      </c>
      <c r="O452" s="20" t="n">
        <v>131.66</v>
      </c>
      <c r="P452" s="20" t="n">
        <v>0</v>
      </c>
      <c r="Q452" s="20" t="n">
        <v>0</v>
      </c>
    </row>
    <row r="453">
      <c r="A453" s="19" t="inlineStr">
        <is>
          <t>Company 205</t>
        </is>
      </c>
      <c r="B453" s="19" t="inlineStr">
        <is>
          <t>Operations</t>
        </is>
      </c>
      <c r="C453" s="19" t="inlineStr">
        <is>
          <t>Training</t>
        </is>
      </c>
      <c r="D453" s="19" t="inlineStr">
        <is>
          <t>USA</t>
        </is>
      </c>
      <c r="E453" s="20" t="n">
        <v>0</v>
      </c>
      <c r="F453" s="20" t="n">
        <v>1000</v>
      </c>
      <c r="G453" s="20" t="n">
        <v>0</v>
      </c>
      <c r="H453" s="20" t="n">
        <v>0</v>
      </c>
      <c r="I453" s="20" t="n">
        <v>0</v>
      </c>
      <c r="J453" s="20" t="n">
        <v>0</v>
      </c>
      <c r="K453" s="20" t="n">
        <v>0</v>
      </c>
      <c r="L453" s="20" t="n">
        <v>0</v>
      </c>
      <c r="M453" s="20" t="n">
        <v>0</v>
      </c>
      <c r="N453" s="20" t="n">
        <v>0</v>
      </c>
      <c r="O453" s="20" t="n">
        <v>0</v>
      </c>
      <c r="P453" s="20" t="n">
        <v>0</v>
      </c>
      <c r="Q453" s="20" t="n">
        <v>0</v>
      </c>
    </row>
    <row r="454">
      <c r="A454" s="19" t="inlineStr">
        <is>
          <t>Company 205</t>
        </is>
      </c>
      <c r="B454" s="19" t="inlineStr">
        <is>
          <t>Software</t>
        </is>
      </c>
      <c r="C454" s="19" t="inlineStr">
        <is>
          <t>Hosting</t>
        </is>
      </c>
      <c r="D454" s="19" t="inlineStr">
        <is>
          <t>USA</t>
        </is>
      </c>
      <c r="E454" s="20" t="n">
        <v>0</v>
      </c>
      <c r="F454" s="20" t="n">
        <v>0</v>
      </c>
      <c r="G454" s="20" t="n">
        <v>0</v>
      </c>
      <c r="H454" s="20" t="n">
        <v>1292</v>
      </c>
      <c r="I454" s="20" t="n">
        <v>0</v>
      </c>
      <c r="J454" s="20" t="n">
        <v>0</v>
      </c>
      <c r="K454" s="20" t="n">
        <v>0</v>
      </c>
      <c r="L454" s="20" t="n">
        <v>0</v>
      </c>
      <c r="M454" s="20" t="n">
        <v>0</v>
      </c>
      <c r="N454" s="20" t="n">
        <v>0</v>
      </c>
      <c r="O454" s="20" t="n">
        <v>0</v>
      </c>
      <c r="P454" s="20" t="n">
        <v>0</v>
      </c>
      <c r="Q454" s="20" t="n">
        <v>0</v>
      </c>
    </row>
    <row r="455">
      <c r="A455" s="19" t="inlineStr">
        <is>
          <t>Company 206</t>
        </is>
      </c>
      <c r="B455" s="19" t="inlineStr">
        <is>
          <t>Operations</t>
        </is>
      </c>
      <c r="C455" s="19" t="inlineStr">
        <is>
          <t>Shipper Gas</t>
        </is>
      </c>
      <c r="D455" s="19" t="inlineStr">
        <is>
          <t>UK</t>
        </is>
      </c>
      <c r="E455" s="20" t="n">
        <v>0</v>
      </c>
      <c r="F455" s="20" t="n">
        <v>0</v>
      </c>
      <c r="G455" s="20" t="n">
        <v>0</v>
      </c>
      <c r="H455" s="20" t="n">
        <v>0</v>
      </c>
      <c r="I455" s="20" t="n">
        <v>0</v>
      </c>
      <c r="J455" s="20" t="n">
        <v>0</v>
      </c>
      <c r="K455" s="20" t="n">
        <v>0</v>
      </c>
      <c r="L455" s="20" t="n">
        <v>0</v>
      </c>
      <c r="M455" s="20" t="n">
        <v>0</v>
      </c>
      <c r="N455" s="20" t="n">
        <v>1500</v>
      </c>
      <c r="O455" s="20" t="n">
        <v>0</v>
      </c>
      <c r="P455" s="20" t="n">
        <v>0</v>
      </c>
      <c r="Q455" s="20" t="n">
        <v>0</v>
      </c>
    </row>
    <row r="456">
      <c r="A456" s="19" t="inlineStr">
        <is>
          <t>Company 207</t>
        </is>
      </c>
      <c r="B456" s="19" t="inlineStr">
        <is>
          <t>Operations</t>
        </is>
      </c>
      <c r="C456" s="19" t="inlineStr">
        <is>
          <t>Shipper Gas</t>
        </is>
      </c>
      <c r="D456" s="19" t="inlineStr">
        <is>
          <t>Germany</t>
        </is>
      </c>
      <c r="E456" s="20" t="n">
        <v>0</v>
      </c>
      <c r="F456" s="20" t="n">
        <v>0</v>
      </c>
      <c r="G456" s="20" t="n">
        <v>0</v>
      </c>
      <c r="H456" s="20" t="n">
        <v>0</v>
      </c>
      <c r="I456" s="20" t="n">
        <v>0</v>
      </c>
      <c r="J456" s="20" t="n">
        <v>0</v>
      </c>
      <c r="K456" s="20" t="n">
        <v>0</v>
      </c>
      <c r="L456" s="20" t="n">
        <v>0</v>
      </c>
      <c r="M456" s="20" t="n">
        <v>0</v>
      </c>
      <c r="N456" s="20" t="n">
        <v>0</v>
      </c>
      <c r="O456" s="20" t="n">
        <v>1500</v>
      </c>
      <c r="P456" s="20" t="n">
        <v>0</v>
      </c>
      <c r="Q456" s="20" t="n">
        <v>15750</v>
      </c>
    </row>
    <row r="457">
      <c r="A457" s="19" t="inlineStr">
        <is>
          <t>Company 208</t>
        </is>
      </c>
      <c r="B457" s="19" t="inlineStr">
        <is>
          <t>Software</t>
        </is>
      </c>
      <c r="C457" s="19" t="inlineStr">
        <is>
          <t>IT Other</t>
        </is>
      </c>
      <c r="D457" s="19" t="inlineStr">
        <is>
          <t>UK</t>
        </is>
      </c>
      <c r="E457" s="20" t="n">
        <v>3172</v>
      </c>
      <c r="F457" s="20" t="n">
        <v>0</v>
      </c>
      <c r="G457" s="20" t="n">
        <v>0</v>
      </c>
      <c r="H457" s="20" t="n">
        <v>0</v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0" t="n">
        <v>0</v>
      </c>
      <c r="O457" s="20" t="n">
        <v>0</v>
      </c>
      <c r="P457" s="20" t="n">
        <v>0</v>
      </c>
      <c r="Q457" s="20" t="n">
        <v>0</v>
      </c>
    </row>
    <row r="458">
      <c r="A458" s="19" t="inlineStr">
        <is>
          <t>Company 209</t>
        </is>
      </c>
      <c r="B458" s="19" t="inlineStr">
        <is>
          <t>Software</t>
        </is>
      </c>
      <c r="C458" s="19" t="inlineStr">
        <is>
          <t>ENOM</t>
        </is>
      </c>
      <c r="D458" s="19" t="inlineStr">
        <is>
          <t>Norway</t>
        </is>
      </c>
      <c r="E458" s="20" t="n">
        <v>0</v>
      </c>
      <c r="F458" s="20" t="n">
        <v>0</v>
      </c>
      <c r="G458" s="20" t="n">
        <v>0</v>
      </c>
      <c r="H458" s="20" t="n">
        <v>0</v>
      </c>
      <c r="I458" s="20" t="n">
        <v>0</v>
      </c>
      <c r="J458" s="20" t="n">
        <v>2100</v>
      </c>
      <c r="K458" s="20" t="n">
        <v>8400</v>
      </c>
      <c r="L458" s="20" t="n">
        <v>6300</v>
      </c>
      <c r="M458" s="20" t="n">
        <v>0</v>
      </c>
      <c r="N458" s="20" t="n">
        <v>0</v>
      </c>
      <c r="O458" s="20" t="n">
        <v>0</v>
      </c>
      <c r="P458" s="20" t="n">
        <v>0</v>
      </c>
      <c r="Q458" s="20" t="n">
        <v>0</v>
      </c>
    </row>
    <row r="459">
      <c r="A459" s="19" t="inlineStr">
        <is>
          <t>Company 209</t>
        </is>
      </c>
      <c r="B459" s="19" t="inlineStr">
        <is>
          <t>Software</t>
        </is>
      </c>
      <c r="C459" s="19" t="inlineStr">
        <is>
          <t>Routing</t>
        </is>
      </c>
      <c r="D459" s="19" t="inlineStr">
        <is>
          <t>Norway</t>
        </is>
      </c>
      <c r="E459" s="20" t="n">
        <v>0</v>
      </c>
      <c r="F459" s="20" t="n">
        <v>0</v>
      </c>
      <c r="G459" s="20" t="n">
        <v>0</v>
      </c>
      <c r="H459" s="20" t="n">
        <v>0</v>
      </c>
      <c r="I459" s="20" t="n">
        <v>0</v>
      </c>
      <c r="J459" s="20" t="n">
        <v>1350</v>
      </c>
      <c r="K459" s="20" t="n">
        <v>5400</v>
      </c>
      <c r="L459" s="20" t="n">
        <v>4050</v>
      </c>
      <c r="M459" s="20" t="n">
        <v>0</v>
      </c>
      <c r="N459" s="20" t="n">
        <v>0</v>
      </c>
      <c r="O459" s="20" t="n">
        <v>0</v>
      </c>
      <c r="P459" s="20" t="n">
        <v>0</v>
      </c>
      <c r="Q459" s="20" t="n">
        <v>0</v>
      </c>
    </row>
    <row r="460">
      <c r="A460" s="19" t="inlineStr">
        <is>
          <t>Company 210</t>
        </is>
      </c>
      <c r="B460" s="19" t="inlineStr">
        <is>
          <t>Operations</t>
        </is>
      </c>
      <c r="C460" s="19" t="inlineStr">
        <is>
          <t>Shipper Gas</t>
        </is>
      </c>
      <c r="D460" s="19" t="inlineStr">
        <is>
          <t>UK</t>
        </is>
      </c>
      <c r="E460" s="20" t="n">
        <v>0</v>
      </c>
      <c r="F460" s="20" t="n">
        <v>0</v>
      </c>
      <c r="G460" s="20" t="n">
        <v>0</v>
      </c>
      <c r="H460" s="20" t="n">
        <v>201000</v>
      </c>
      <c r="I460" s="20" t="n">
        <v>198400</v>
      </c>
      <c r="J460" s="20" t="n">
        <v>269587</v>
      </c>
      <c r="K460" s="20" t="n">
        <v>148100</v>
      </c>
      <c r="L460" s="20" t="n">
        <v>159850</v>
      </c>
      <c r="M460" s="20" t="n">
        <v>152500</v>
      </c>
      <c r="N460" s="20" t="n">
        <v>146500</v>
      </c>
      <c r="O460" s="20" t="n">
        <v>130485</v>
      </c>
      <c r="P460" s="20" t="n">
        <v>0</v>
      </c>
      <c r="Q460" s="20" t="n">
        <v>0</v>
      </c>
    </row>
    <row r="461">
      <c r="A461" s="19" t="inlineStr">
        <is>
          <t>Company 211</t>
        </is>
      </c>
      <c r="B461" s="19" t="inlineStr">
        <is>
          <t>Operations</t>
        </is>
      </c>
      <c r="C461" s="19" t="inlineStr">
        <is>
          <t>Demand Text</t>
        </is>
      </c>
      <c r="D461" s="19" t="inlineStr">
        <is>
          <t>UK</t>
        </is>
      </c>
      <c r="E461" s="20" t="n">
        <v>5400</v>
      </c>
      <c r="F461" s="20" t="n">
        <v>3600</v>
      </c>
      <c r="G461" s="20" t="n">
        <v>1200</v>
      </c>
      <c r="H461" s="20" t="n">
        <v>0</v>
      </c>
      <c r="I461" s="20" t="n">
        <v>0</v>
      </c>
      <c r="J461" s="20" t="n">
        <v>0</v>
      </c>
      <c r="K461" s="20" t="n">
        <v>0</v>
      </c>
      <c r="L461" s="20" t="n">
        <v>0</v>
      </c>
      <c r="M461" s="20" t="n">
        <v>0</v>
      </c>
      <c r="N461" s="20" t="n">
        <v>0</v>
      </c>
      <c r="O461" s="20" t="n">
        <v>0</v>
      </c>
      <c r="P461" s="20" t="n">
        <v>0</v>
      </c>
      <c r="Q461" s="20" t="n">
        <v>0</v>
      </c>
    </row>
    <row r="462">
      <c r="A462" s="19" t="inlineStr">
        <is>
          <t>Company 211</t>
        </is>
      </c>
      <c r="B462" s="19" t="inlineStr">
        <is>
          <t>Operations</t>
        </is>
      </c>
      <c r="C462" s="19" t="inlineStr">
        <is>
          <t>Shipper Gas</t>
        </is>
      </c>
      <c r="D462" s="19" t="inlineStr">
        <is>
          <t>UK</t>
        </is>
      </c>
      <c r="E462" s="20" t="n">
        <v>392050</v>
      </c>
      <c r="F462" s="20" t="n">
        <v>389250</v>
      </c>
      <c r="G462" s="20" t="n">
        <v>396400</v>
      </c>
      <c r="H462" s="20" t="n">
        <v>0</v>
      </c>
      <c r="I462" s="20" t="n">
        <v>0</v>
      </c>
      <c r="J462" s="20" t="n">
        <v>0</v>
      </c>
      <c r="K462" s="20" t="n">
        <v>0</v>
      </c>
      <c r="L462" s="20" t="n">
        <v>0</v>
      </c>
      <c r="M462" s="20" t="n">
        <v>0</v>
      </c>
      <c r="N462" s="20" t="n">
        <v>0</v>
      </c>
      <c r="O462" s="20" t="n">
        <v>0</v>
      </c>
      <c r="P462" s="20" t="n">
        <v>0</v>
      </c>
      <c r="Q462" s="20" t="n">
        <v>0</v>
      </c>
    </row>
    <row r="463">
      <c r="A463" s="19" t="inlineStr">
        <is>
          <t>Company 211</t>
        </is>
      </c>
      <c r="B463" s="19" t="inlineStr">
        <is>
          <t>Power</t>
        </is>
      </c>
      <c r="C463" s="19" t="inlineStr">
        <is>
          <t>Shipper Power</t>
        </is>
      </c>
      <c r="D463" s="19" t="inlineStr">
        <is>
          <t>UK</t>
        </is>
      </c>
      <c r="E463" s="20" t="n">
        <v>13750</v>
      </c>
      <c r="F463" s="20" t="n">
        <v>13800</v>
      </c>
      <c r="G463" s="20" t="n">
        <v>10350</v>
      </c>
      <c r="H463" s="20" t="n">
        <v>0</v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0</v>
      </c>
      <c r="N463" s="20" t="n">
        <v>0</v>
      </c>
      <c r="O463" s="20" t="n">
        <v>0</v>
      </c>
      <c r="P463" s="20" t="n">
        <v>0</v>
      </c>
      <c r="Q463" s="20" t="n">
        <v>0</v>
      </c>
    </row>
    <row r="464">
      <c r="A464" s="19" t="inlineStr">
        <is>
          <t>Company 212</t>
        </is>
      </c>
      <c r="B464" s="19" t="inlineStr">
        <is>
          <t>Software</t>
        </is>
      </c>
      <c r="C464" s="19" t="inlineStr">
        <is>
          <t>Chorus</t>
        </is>
      </c>
      <c r="D464" s="19" t="inlineStr">
        <is>
          <t>Switzerland</t>
        </is>
      </c>
      <c r="E464" s="20" t="n">
        <v>0</v>
      </c>
      <c r="F464" s="20" t="n">
        <v>0</v>
      </c>
      <c r="G464" s="20" t="n">
        <v>0</v>
      </c>
      <c r="H464" s="20" t="n">
        <v>0</v>
      </c>
      <c r="I464" s="20" t="n">
        <v>0</v>
      </c>
      <c r="J464" s="20" t="n">
        <v>0</v>
      </c>
      <c r="K464" s="20" t="n">
        <v>0</v>
      </c>
      <c r="L464" s="20" t="n">
        <v>0</v>
      </c>
      <c r="M464" s="20" t="n">
        <v>0</v>
      </c>
      <c r="N464" s="20" t="n">
        <v>0</v>
      </c>
      <c r="O464" s="20" t="n">
        <v>0</v>
      </c>
      <c r="P464" s="20" t="n">
        <v>0</v>
      </c>
      <c r="Q464" s="20" t="n">
        <v>14733.55322338831</v>
      </c>
    </row>
    <row r="465">
      <c r="A465" s="19" t="inlineStr">
        <is>
          <t>Company 213</t>
        </is>
      </c>
      <c r="B465" s="19" t="inlineStr">
        <is>
          <t>Operations</t>
        </is>
      </c>
      <c r="C465" s="19" t="inlineStr">
        <is>
          <t>Shipper Gas</t>
        </is>
      </c>
      <c r="D465" s="19" t="inlineStr">
        <is>
          <t>UK</t>
        </is>
      </c>
      <c r="E465" s="20" t="n">
        <v>49860</v>
      </c>
      <c r="F465" s="20" t="n">
        <v>49860</v>
      </c>
      <c r="G465" s="20" t="n">
        <v>42700</v>
      </c>
      <c r="H465" s="20" t="n">
        <v>19560</v>
      </c>
      <c r="I465" s="20" t="n">
        <v>0</v>
      </c>
      <c r="J465" s="20" t="n">
        <v>0</v>
      </c>
      <c r="K465" s="20" t="n">
        <v>0</v>
      </c>
      <c r="L465" s="20" t="n">
        <v>0</v>
      </c>
      <c r="M465" s="20" t="n">
        <v>0</v>
      </c>
      <c r="N465" s="20" t="n">
        <v>0</v>
      </c>
      <c r="O465" s="20" t="n">
        <v>0</v>
      </c>
      <c r="P465" s="20" t="n">
        <v>0</v>
      </c>
      <c r="Q465" s="20" t="n">
        <v>0</v>
      </c>
    </row>
    <row r="466">
      <c r="A466" s="19" t="inlineStr">
        <is>
          <t>Company 213</t>
        </is>
      </c>
      <c r="B466" s="19" t="inlineStr">
        <is>
          <t>Software</t>
        </is>
      </c>
      <c r="C466" s="19" t="inlineStr">
        <is>
          <t>ENOM+</t>
        </is>
      </c>
      <c r="D466" s="19" t="inlineStr">
        <is>
          <t>UK</t>
        </is>
      </c>
      <c r="E466" s="20" t="n">
        <v>15100</v>
      </c>
      <c r="F466" s="20" t="n">
        <v>15100</v>
      </c>
      <c r="G466" s="20" t="n">
        <v>15100</v>
      </c>
      <c r="H466" s="20" t="n">
        <v>5033.32</v>
      </c>
      <c r="I466" s="20" t="n">
        <v>0</v>
      </c>
      <c r="J466" s="20" t="n">
        <v>0</v>
      </c>
      <c r="K466" s="20" t="n">
        <v>0</v>
      </c>
      <c r="L466" s="20" t="n">
        <v>0</v>
      </c>
      <c r="M466" s="20" t="n">
        <v>0</v>
      </c>
      <c r="N466" s="20" t="n">
        <v>0</v>
      </c>
      <c r="O466" s="20" t="n">
        <v>0</v>
      </c>
      <c r="P466" s="20" t="n">
        <v>0</v>
      </c>
      <c r="Q466" s="20" t="n">
        <v>0</v>
      </c>
    </row>
    <row r="467">
      <c r="A467" s="19" t="inlineStr">
        <is>
          <t>Company 213</t>
        </is>
      </c>
      <c r="B467" s="19" t="inlineStr">
        <is>
          <t>Software</t>
        </is>
      </c>
      <c r="C467" s="19" t="inlineStr">
        <is>
          <t>Routing</t>
        </is>
      </c>
      <c r="D467" s="19" t="inlineStr">
        <is>
          <t>UK</t>
        </is>
      </c>
      <c r="E467" s="20" t="n">
        <v>2100</v>
      </c>
      <c r="F467" s="20" t="n">
        <v>2100</v>
      </c>
      <c r="G467" s="20" t="n">
        <v>2100</v>
      </c>
      <c r="H467" s="20" t="n">
        <v>700</v>
      </c>
      <c r="I467" s="20" t="n">
        <v>0</v>
      </c>
      <c r="J467" s="20" t="n">
        <v>0</v>
      </c>
      <c r="K467" s="20" t="n">
        <v>0</v>
      </c>
      <c r="L467" s="20" t="n">
        <v>0</v>
      </c>
      <c r="M467" s="20" t="n">
        <v>0</v>
      </c>
      <c r="N467" s="20" t="n">
        <v>0</v>
      </c>
      <c r="O467" s="20" t="n">
        <v>0</v>
      </c>
      <c r="P467" s="20" t="n">
        <v>0</v>
      </c>
      <c r="Q467" s="20" t="n">
        <v>0</v>
      </c>
    </row>
    <row r="468">
      <c r="A468" s="19" t="inlineStr">
        <is>
          <t>Company 214</t>
        </is>
      </c>
      <c r="B468" s="19" t="inlineStr">
        <is>
          <t>Software</t>
        </is>
      </c>
      <c r="C468" s="19" t="inlineStr">
        <is>
          <t>Routing</t>
        </is>
      </c>
      <c r="D468" s="19" t="inlineStr">
        <is>
          <t>Denmark</t>
        </is>
      </c>
      <c r="E468" s="20" t="n">
        <v>6902.789999999999</v>
      </c>
      <c r="F468" s="20" t="n">
        <v>3721.199999999999</v>
      </c>
      <c r="G468" s="20" t="n">
        <v>1551.48</v>
      </c>
      <c r="H468" s="20" t="n">
        <v>827.11</v>
      </c>
      <c r="I468" s="20" t="n">
        <v>795.4300000000003</v>
      </c>
      <c r="J468" s="20" t="n">
        <v>790.8100000000002</v>
      </c>
      <c r="K468" s="20" t="n">
        <v>762.5200000000001</v>
      </c>
      <c r="L468" s="20" t="n">
        <v>63.33</v>
      </c>
      <c r="M468" s="20" t="n">
        <v>0</v>
      </c>
      <c r="N468" s="20" t="n">
        <v>0</v>
      </c>
      <c r="O468" s="20" t="n">
        <v>0</v>
      </c>
      <c r="P468" s="20" t="n">
        <v>0</v>
      </c>
      <c r="Q468" s="20" t="n">
        <v>0</v>
      </c>
    </row>
    <row r="469">
      <c r="A469" s="19" t="inlineStr">
        <is>
          <t>Company 214</t>
        </is>
      </c>
      <c r="B469" s="19" t="inlineStr">
        <is>
          <t>Operations</t>
        </is>
      </c>
      <c r="C469" s="19" t="inlineStr">
        <is>
          <t>Operations Other</t>
        </is>
      </c>
      <c r="D469" s="19" t="inlineStr">
        <is>
          <t>Denmark</t>
        </is>
      </c>
      <c r="E469" s="20" t="n">
        <v>801.5</v>
      </c>
      <c r="F469" s="20" t="n">
        <v>0</v>
      </c>
      <c r="G469" s="20" t="n">
        <v>0</v>
      </c>
      <c r="H469" s="20" t="n">
        <v>0</v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0" t="n">
        <v>0</v>
      </c>
      <c r="O469" s="20" t="n">
        <v>0</v>
      </c>
      <c r="P469" s="20" t="n">
        <v>0</v>
      </c>
      <c r="Q469" s="20" t="n">
        <v>0</v>
      </c>
    </row>
    <row r="470">
      <c r="A470" s="19" t="inlineStr">
        <is>
          <t>Company 214</t>
        </is>
      </c>
      <c r="B470" s="19" t="inlineStr">
        <is>
          <t>Operations</t>
        </is>
      </c>
      <c r="C470" s="19" t="inlineStr">
        <is>
          <t>Shipper Gas</t>
        </is>
      </c>
      <c r="D470" s="19" t="inlineStr">
        <is>
          <t>Denmark</t>
        </is>
      </c>
      <c r="E470" s="20" t="n">
        <v>11146.44</v>
      </c>
      <c r="F470" s="20" t="n">
        <v>0</v>
      </c>
      <c r="G470" s="20" t="n">
        <v>0</v>
      </c>
      <c r="H470" s="20" t="n">
        <v>0</v>
      </c>
      <c r="I470" s="20" t="n">
        <v>0</v>
      </c>
      <c r="J470" s="20" t="n">
        <v>0</v>
      </c>
      <c r="K470" s="20" t="n">
        <v>0</v>
      </c>
      <c r="L470" s="20" t="n">
        <v>0</v>
      </c>
      <c r="M470" s="20" t="n">
        <v>0</v>
      </c>
      <c r="N470" s="20" t="n">
        <v>0</v>
      </c>
      <c r="O470" s="20" t="n">
        <v>0</v>
      </c>
      <c r="P470" s="20" t="n">
        <v>0</v>
      </c>
      <c r="Q470" s="20" t="n">
        <v>0</v>
      </c>
    </row>
    <row r="471">
      <c r="A471" s="19" t="inlineStr">
        <is>
          <t>Company 215</t>
        </is>
      </c>
      <c r="B471" s="19" t="inlineStr">
        <is>
          <t>Software</t>
        </is>
      </c>
      <c r="C471" s="19" t="inlineStr">
        <is>
          <t>Chorus</t>
        </is>
      </c>
      <c r="D471" s="19" t="inlineStr">
        <is>
          <t>UK</t>
        </is>
      </c>
      <c r="E471" s="20" t="n">
        <v>0</v>
      </c>
      <c r="F471" s="20" t="n">
        <v>0</v>
      </c>
      <c r="G471" s="20" t="n">
        <v>0</v>
      </c>
      <c r="H471" s="20" t="n">
        <v>0</v>
      </c>
      <c r="I471" s="20" t="n">
        <v>0</v>
      </c>
      <c r="J471" s="20" t="n">
        <v>0</v>
      </c>
      <c r="K471" s="20" t="n">
        <v>0</v>
      </c>
      <c r="L471" s="20" t="n">
        <v>0</v>
      </c>
      <c r="M471" s="20" t="n">
        <v>0</v>
      </c>
      <c r="N471" s="20" t="n">
        <v>0</v>
      </c>
      <c r="O471" s="20" t="n">
        <v>0</v>
      </c>
      <c r="P471" s="20" t="n">
        <v>0</v>
      </c>
      <c r="Q471" s="20" t="n">
        <v>25310</v>
      </c>
    </row>
    <row r="472">
      <c r="A472" s="19" t="inlineStr">
        <is>
          <t>Company 215</t>
        </is>
      </c>
      <c r="B472" s="19" t="inlineStr">
        <is>
          <t>Software</t>
        </is>
      </c>
      <c r="C472" s="19" t="inlineStr">
        <is>
          <t>Routing</t>
        </is>
      </c>
      <c r="D472" s="19" t="inlineStr">
        <is>
          <t>UK</t>
        </is>
      </c>
      <c r="E472" s="20" t="n">
        <v>0</v>
      </c>
      <c r="F472" s="20" t="n">
        <v>0</v>
      </c>
      <c r="G472" s="20" t="n">
        <v>0</v>
      </c>
      <c r="H472" s="20" t="n">
        <v>0</v>
      </c>
      <c r="I472" s="20" t="n">
        <v>0</v>
      </c>
      <c r="J472" s="20" t="n">
        <v>0</v>
      </c>
      <c r="K472" s="20" t="n">
        <v>0</v>
      </c>
      <c r="L472" s="20" t="n">
        <v>0</v>
      </c>
      <c r="M472" s="20" t="n">
        <v>0</v>
      </c>
      <c r="N472" s="20" t="n">
        <v>0</v>
      </c>
      <c r="O472" s="20" t="n">
        <v>0</v>
      </c>
      <c r="P472" s="20" t="n">
        <v>0</v>
      </c>
      <c r="Q472" s="20" t="n">
        <v>10530</v>
      </c>
    </row>
    <row r="473">
      <c r="A473" s="19" t="inlineStr">
        <is>
          <t>Company 216</t>
        </is>
      </c>
      <c r="B473" s="19" t="inlineStr">
        <is>
          <t>Software</t>
        </is>
      </c>
      <c r="C473" s="19" t="inlineStr">
        <is>
          <t>PowerTrak</t>
        </is>
      </c>
      <c r="D473" s="19" t="inlineStr">
        <is>
          <t>UK</t>
        </is>
      </c>
      <c r="E473" s="20" t="n">
        <v>0</v>
      </c>
      <c r="F473" s="20" t="n">
        <v>0</v>
      </c>
      <c r="G473" s="20" t="n">
        <v>0</v>
      </c>
      <c r="H473" s="20" t="n">
        <v>0</v>
      </c>
      <c r="I473" s="20" t="n">
        <v>0</v>
      </c>
      <c r="J473" s="20" t="n">
        <v>0</v>
      </c>
      <c r="K473" s="20" t="n">
        <v>0</v>
      </c>
      <c r="L473" s="20" t="n">
        <v>0</v>
      </c>
      <c r="M473" s="20" t="n">
        <v>0</v>
      </c>
      <c r="N473" s="20" t="n">
        <v>0</v>
      </c>
      <c r="O473" s="20" t="n">
        <v>0</v>
      </c>
      <c r="P473" s="20" t="n">
        <v>0</v>
      </c>
      <c r="Q473" s="20" t="n">
        <v>58030</v>
      </c>
    </row>
    <row r="474">
      <c r="A474" s="19" t="inlineStr">
        <is>
          <t>Company 216</t>
        </is>
      </c>
      <c r="B474" s="19" t="inlineStr">
        <is>
          <t>Software</t>
        </is>
      </c>
      <c r="C474" s="19" t="inlineStr">
        <is>
          <t>Routing</t>
        </is>
      </c>
      <c r="D474" s="19" t="inlineStr">
        <is>
          <t>UK</t>
        </is>
      </c>
      <c r="E474" s="20" t="n">
        <v>0</v>
      </c>
      <c r="F474" s="20" t="n">
        <v>0</v>
      </c>
      <c r="G474" s="20" t="n">
        <v>0</v>
      </c>
      <c r="H474" s="20" t="n">
        <v>0</v>
      </c>
      <c r="I474" s="20" t="n">
        <v>0</v>
      </c>
      <c r="J474" s="20" t="n">
        <v>0</v>
      </c>
      <c r="K474" s="20" t="n">
        <v>0</v>
      </c>
      <c r="L474" s="20" t="n">
        <v>0</v>
      </c>
      <c r="M474" s="20" t="n">
        <v>0</v>
      </c>
      <c r="N474" s="20" t="n">
        <v>0</v>
      </c>
      <c r="O474" s="20" t="n">
        <v>0</v>
      </c>
      <c r="P474" s="20" t="n">
        <v>0</v>
      </c>
      <c r="Q474" s="20" t="n">
        <v>11340</v>
      </c>
    </row>
    <row r="475">
      <c r="A475" s="19" t="inlineStr">
        <is>
          <t>Company 217</t>
        </is>
      </c>
      <c r="B475" s="19" t="inlineStr">
        <is>
          <t>Software</t>
        </is>
      </c>
      <c r="C475" s="19" t="inlineStr">
        <is>
          <t>PowerTrak</t>
        </is>
      </c>
      <c r="D475" s="19" t="inlineStr">
        <is>
          <t>Netherlands</t>
        </is>
      </c>
      <c r="E475" s="20" t="n">
        <v>0</v>
      </c>
      <c r="F475" s="20" t="n">
        <v>0</v>
      </c>
      <c r="G475" s="20" t="n">
        <v>0</v>
      </c>
      <c r="H475" s="20" t="n">
        <v>0</v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0" t="n">
        <v>2277.31</v>
      </c>
      <c r="O475" s="20" t="n">
        <v>11245.87213675214</v>
      </c>
      <c r="P475" s="20" t="n">
        <v>0</v>
      </c>
      <c r="Q475" s="20" t="n">
        <v>0</v>
      </c>
    </row>
    <row r="476">
      <c r="A476" s="19" t="inlineStr">
        <is>
          <t>Company 218</t>
        </is>
      </c>
      <c r="B476" s="19" t="inlineStr">
        <is>
          <t>Operations</t>
        </is>
      </c>
      <c r="C476" s="19" t="inlineStr">
        <is>
          <t>Demand Text</t>
        </is>
      </c>
      <c r="D476" s="19" t="inlineStr">
        <is>
          <t>Netherlands</t>
        </is>
      </c>
      <c r="E476" s="20" t="n">
        <v>9000</v>
      </c>
      <c r="F476" s="20" t="n">
        <v>4500</v>
      </c>
      <c r="G476" s="20" t="n">
        <v>0</v>
      </c>
      <c r="H476" s="20" t="n">
        <v>0</v>
      </c>
      <c r="I476" s="20" t="n">
        <v>0</v>
      </c>
      <c r="J476" s="20" t="n">
        <v>0</v>
      </c>
      <c r="K476" s="20" t="n">
        <v>0</v>
      </c>
      <c r="L476" s="20" t="n">
        <v>0</v>
      </c>
      <c r="M476" s="20" t="n">
        <v>0</v>
      </c>
      <c r="N476" s="20" t="n">
        <v>0</v>
      </c>
      <c r="O476" s="20" t="n">
        <v>0</v>
      </c>
      <c r="P476" s="20" t="n">
        <v>0</v>
      </c>
      <c r="Q476" s="20" t="n">
        <v>0</v>
      </c>
    </row>
    <row r="477">
      <c r="A477" s="19" t="inlineStr">
        <is>
          <t>Company 219</t>
        </is>
      </c>
      <c r="B477" s="19" t="inlineStr">
        <is>
          <t>Operations</t>
        </is>
      </c>
      <c r="C477" s="19" t="inlineStr">
        <is>
          <t>Shipper Gas</t>
        </is>
      </c>
      <c r="D477" s="19" t="inlineStr">
        <is>
          <t>UK</t>
        </is>
      </c>
      <c r="E477" s="20" t="n">
        <v>108840</v>
      </c>
      <c r="F477" s="20" t="n">
        <v>58520</v>
      </c>
      <c r="G477" s="20" t="n">
        <v>0</v>
      </c>
      <c r="H477" s="20" t="n">
        <v>0</v>
      </c>
      <c r="I477" s="20" t="n">
        <v>0</v>
      </c>
      <c r="J477" s="20" t="n">
        <v>0</v>
      </c>
      <c r="K477" s="20" t="n">
        <v>0</v>
      </c>
      <c r="L477" s="20" t="n">
        <v>0</v>
      </c>
      <c r="M477" s="20" t="n">
        <v>0</v>
      </c>
      <c r="N477" s="20" t="n">
        <v>0</v>
      </c>
      <c r="O477" s="20" t="n">
        <v>0</v>
      </c>
      <c r="P477" s="20" t="n">
        <v>0</v>
      </c>
      <c r="Q477" s="20" t="n">
        <v>0</v>
      </c>
    </row>
    <row r="478">
      <c r="A478" s="19" t="inlineStr">
        <is>
          <t>Company 220</t>
        </is>
      </c>
      <c r="B478" s="19" t="inlineStr">
        <is>
          <t>Power</t>
        </is>
      </c>
      <c r="C478" s="19" t="inlineStr">
        <is>
          <t>Shipper Power</t>
        </is>
      </c>
      <c r="D478" s="19" t="inlineStr">
        <is>
          <t>France</t>
        </is>
      </c>
      <c r="E478" s="20" t="n">
        <v>5250</v>
      </c>
      <c r="F478" s="20" t="n">
        <v>0</v>
      </c>
      <c r="G478" s="20" t="n">
        <v>0</v>
      </c>
      <c r="H478" s="20" t="n">
        <v>0</v>
      </c>
      <c r="I478" s="20" t="n">
        <v>0</v>
      </c>
      <c r="J478" s="20" t="n">
        <v>0</v>
      </c>
      <c r="K478" s="20" t="n">
        <v>0</v>
      </c>
      <c r="L478" s="20" t="n">
        <v>0</v>
      </c>
      <c r="M478" s="20" t="n">
        <v>0</v>
      </c>
      <c r="N478" s="20" t="n">
        <v>0</v>
      </c>
      <c r="O478" s="20" t="n">
        <v>0</v>
      </c>
      <c r="P478" s="20" t="n">
        <v>0</v>
      </c>
      <c r="Q478" s="20" t="n">
        <v>0</v>
      </c>
    </row>
    <row r="479">
      <c r="A479" s="19" t="inlineStr">
        <is>
          <t>Company 221</t>
        </is>
      </c>
      <c r="B479" s="19" t="inlineStr">
        <is>
          <t>Software</t>
        </is>
      </c>
      <c r="C479" s="19" t="inlineStr">
        <is>
          <t>ENOM</t>
        </is>
      </c>
      <c r="D479" s="19" t="inlineStr">
        <is>
          <t>Belgium</t>
        </is>
      </c>
      <c r="E479" s="20" t="n">
        <v>7557.299999999999</v>
      </c>
      <c r="F479" s="20" t="n">
        <v>0</v>
      </c>
      <c r="G479" s="20" t="n">
        <v>0</v>
      </c>
      <c r="H479" s="20" t="n">
        <v>0</v>
      </c>
      <c r="I479" s="20" t="n">
        <v>0</v>
      </c>
      <c r="J479" s="20" t="n">
        <v>0</v>
      </c>
      <c r="K479" s="20" t="n">
        <v>0</v>
      </c>
      <c r="L479" s="20" t="n">
        <v>0</v>
      </c>
      <c r="M479" s="20" t="n">
        <v>0</v>
      </c>
      <c r="N479" s="20" t="n">
        <v>0</v>
      </c>
      <c r="O479" s="20" t="n">
        <v>0</v>
      </c>
      <c r="P479" s="20" t="n">
        <v>0</v>
      </c>
      <c r="Q479" s="20" t="n">
        <v>0</v>
      </c>
    </row>
    <row r="480">
      <c r="A480" s="19" t="inlineStr">
        <is>
          <t>Company 222</t>
        </is>
      </c>
      <c r="B480" s="19" t="inlineStr">
        <is>
          <t>Software</t>
        </is>
      </c>
      <c r="C480" s="19" t="inlineStr">
        <is>
          <t>CodeRunner</t>
        </is>
      </c>
      <c r="D480" s="19" t="inlineStr">
        <is>
          <t>Denmark</t>
        </is>
      </c>
      <c r="E480" s="20" t="n">
        <v>30000</v>
      </c>
      <c r="F480" s="20" t="n">
        <v>25000</v>
      </c>
      <c r="G480" s="20" t="n">
        <v>35000</v>
      </c>
      <c r="H480" s="20" t="n">
        <v>30000</v>
      </c>
      <c r="I480" s="20" t="n">
        <v>30000</v>
      </c>
      <c r="J480" s="20" t="n">
        <v>30000</v>
      </c>
      <c r="K480" s="20" t="n">
        <v>30000</v>
      </c>
      <c r="L480" s="20" t="n">
        <v>25000</v>
      </c>
      <c r="M480" s="20" t="n">
        <v>0</v>
      </c>
      <c r="N480" s="20" t="n">
        <v>0</v>
      </c>
      <c r="O480" s="20" t="n">
        <v>0</v>
      </c>
      <c r="P480" s="20" t="n">
        <v>0</v>
      </c>
      <c r="Q480" s="20" t="n">
        <v>0</v>
      </c>
    </row>
    <row r="481">
      <c r="A481" s="19" t="inlineStr">
        <is>
          <t>Company 222</t>
        </is>
      </c>
      <c r="B481" s="19" t="inlineStr">
        <is>
          <t>Software</t>
        </is>
      </c>
      <c r="C481" s="19" t="inlineStr">
        <is>
          <t>EuroRunner</t>
        </is>
      </c>
      <c r="D481" s="19" t="inlineStr">
        <is>
          <t>Denmark</t>
        </is>
      </c>
      <c r="E481" s="20" t="n">
        <v>41250</v>
      </c>
      <c r="F481" s="20" t="n">
        <v>37812.5</v>
      </c>
      <c r="G481" s="20" t="n">
        <v>0</v>
      </c>
      <c r="H481" s="20" t="n">
        <v>0</v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0" t="n">
        <v>0</v>
      </c>
      <c r="O481" s="20" t="n">
        <v>0</v>
      </c>
      <c r="P481" s="20" t="n">
        <v>0</v>
      </c>
      <c r="Q481" s="20" t="n">
        <v>0</v>
      </c>
    </row>
    <row r="482">
      <c r="A482" s="19" t="inlineStr">
        <is>
          <t>Company 222</t>
        </is>
      </c>
      <c r="B482" s="19" t="inlineStr">
        <is>
          <t>Software</t>
        </is>
      </c>
      <c r="C482" s="19" t="inlineStr">
        <is>
          <t>Routing</t>
        </is>
      </c>
      <c r="D482" s="19" t="inlineStr">
        <is>
          <t>Denmark</t>
        </is>
      </c>
      <c r="E482" s="20" t="n">
        <v>7020</v>
      </c>
      <c r="F482" s="20" t="n">
        <v>5100</v>
      </c>
      <c r="G482" s="20" t="n">
        <v>0</v>
      </c>
      <c r="H482" s="20" t="n">
        <v>0</v>
      </c>
      <c r="I482" s="20" t="n">
        <v>0</v>
      </c>
      <c r="J482" s="20" t="n">
        <v>0</v>
      </c>
      <c r="K482" s="20" t="n">
        <v>0</v>
      </c>
      <c r="L482" s="20" t="n">
        <v>0</v>
      </c>
      <c r="M482" s="20" t="n">
        <v>0</v>
      </c>
      <c r="N482" s="20" t="n">
        <v>0</v>
      </c>
      <c r="O482" s="20" t="n">
        <v>0</v>
      </c>
      <c r="P482" s="20" t="n">
        <v>0</v>
      </c>
      <c r="Q482" s="20" t="n">
        <v>0</v>
      </c>
    </row>
    <row r="483">
      <c r="A483" s="19" t="inlineStr">
        <is>
          <t>Company 223</t>
        </is>
      </c>
      <c r="B483" s="19" t="inlineStr">
        <is>
          <t>Software</t>
        </is>
      </c>
      <c r="C483" s="19" t="inlineStr">
        <is>
          <t>ENOM</t>
        </is>
      </c>
      <c r="D483" s="19" t="inlineStr">
        <is>
          <t>Denmark</t>
        </is>
      </c>
      <c r="E483" s="20" t="n">
        <v>8100</v>
      </c>
      <c r="F483" s="20" t="n">
        <v>8100</v>
      </c>
      <c r="G483" s="20" t="n">
        <v>0</v>
      </c>
      <c r="H483" s="20" t="n">
        <v>0</v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0" t="n">
        <v>0</v>
      </c>
      <c r="O483" s="20" t="n">
        <v>0</v>
      </c>
      <c r="P483" s="20" t="n">
        <v>0</v>
      </c>
      <c r="Q483" s="20" t="n">
        <v>0</v>
      </c>
    </row>
    <row r="484">
      <c r="A484" s="19" t="inlineStr">
        <is>
          <t>Company 224</t>
        </is>
      </c>
      <c r="B484" s="19" t="inlineStr">
        <is>
          <t>Operations</t>
        </is>
      </c>
      <c r="C484" s="19" t="inlineStr">
        <is>
          <t>Shipper Gas</t>
        </is>
      </c>
      <c r="D484" s="19" t="inlineStr">
        <is>
          <t>Denmark</t>
        </is>
      </c>
      <c r="E484" s="20" t="n">
        <v>94800</v>
      </c>
      <c r="F484" s="20" t="n">
        <v>94800</v>
      </c>
      <c r="G484" s="20" t="n">
        <v>94800</v>
      </c>
      <c r="H484" s="20" t="n">
        <v>94800</v>
      </c>
      <c r="I484" s="20" t="n">
        <v>94800</v>
      </c>
      <c r="J484" s="20" t="n">
        <v>47400</v>
      </c>
      <c r="K484" s="20" t="n">
        <v>0</v>
      </c>
      <c r="L484" s="20" t="n">
        <v>0</v>
      </c>
      <c r="M484" s="20" t="n">
        <v>0</v>
      </c>
      <c r="N484" s="20" t="n">
        <v>0</v>
      </c>
      <c r="O484" s="20" t="n">
        <v>0</v>
      </c>
      <c r="P484" s="20" t="n">
        <v>0</v>
      </c>
      <c r="Q484" s="20" t="n">
        <v>0</v>
      </c>
    </row>
    <row r="485">
      <c r="A485" s="19" t="inlineStr">
        <is>
          <t>Company 225</t>
        </is>
      </c>
      <c r="B485" s="19" t="inlineStr">
        <is>
          <t>Operations</t>
        </is>
      </c>
      <c r="C485" s="19" t="inlineStr">
        <is>
          <t>Shipper Gas</t>
        </is>
      </c>
      <c r="D485" s="19" t="inlineStr">
        <is>
          <t>Switzerland</t>
        </is>
      </c>
      <c r="E485" s="20" t="n">
        <v>55662.33</v>
      </c>
      <c r="F485" s="20" t="n">
        <v>10616.58</v>
      </c>
      <c r="G485" s="20" t="n">
        <v>0</v>
      </c>
      <c r="H485" s="20" t="n">
        <v>0</v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0" t="n">
        <v>0</v>
      </c>
      <c r="O485" s="20" t="n">
        <v>0</v>
      </c>
      <c r="P485" s="20" t="n">
        <v>0</v>
      </c>
      <c r="Q485" s="20" t="n">
        <v>0</v>
      </c>
    </row>
    <row r="486">
      <c r="A486" s="19" t="inlineStr">
        <is>
          <t>Company 225</t>
        </is>
      </c>
      <c r="B486" s="19" t="inlineStr">
        <is>
          <t>Operations</t>
        </is>
      </c>
      <c r="C486" s="19" t="inlineStr">
        <is>
          <t>Operations Other</t>
        </is>
      </c>
      <c r="D486" s="19" t="inlineStr">
        <is>
          <t>Switzerland</t>
        </is>
      </c>
      <c r="E486" s="20" t="n">
        <v>915.98</v>
      </c>
      <c r="F486" s="20" t="n">
        <v>0</v>
      </c>
      <c r="G486" s="20" t="n">
        <v>0</v>
      </c>
      <c r="H486" s="20" t="n">
        <v>0</v>
      </c>
      <c r="I486" s="20" t="n">
        <v>0</v>
      </c>
      <c r="J486" s="20" t="n">
        <v>0</v>
      </c>
      <c r="K486" s="20" t="n">
        <v>0</v>
      </c>
      <c r="L486" s="20" t="n">
        <v>0</v>
      </c>
      <c r="M486" s="20" t="n">
        <v>0</v>
      </c>
      <c r="N486" s="20" t="n">
        <v>0</v>
      </c>
      <c r="O486" s="20" t="n">
        <v>0</v>
      </c>
      <c r="P486" s="20" t="n">
        <v>0</v>
      </c>
      <c r="Q486" s="20" t="n">
        <v>0</v>
      </c>
    </row>
    <row r="487">
      <c r="A487" s="19" t="inlineStr">
        <is>
          <t>Company 226</t>
        </is>
      </c>
      <c r="B487" s="19" t="inlineStr">
        <is>
          <t>Software</t>
        </is>
      </c>
      <c r="C487" s="19" t="inlineStr">
        <is>
          <t>ENOM+</t>
        </is>
      </c>
      <c r="D487" s="19" t="inlineStr">
        <is>
          <t>Netherlands</t>
        </is>
      </c>
      <c r="E487" s="20" t="n">
        <v>17582.89999999999</v>
      </c>
      <c r="F487" s="20" t="n">
        <v>16407.7</v>
      </c>
      <c r="G487" s="20" t="n">
        <v>15549.38</v>
      </c>
      <c r="H487" s="20" t="n">
        <v>18786.73</v>
      </c>
      <c r="I487" s="20" t="n">
        <v>15561.5</v>
      </c>
      <c r="J487" s="20" t="n">
        <v>0</v>
      </c>
      <c r="K487" s="20" t="n">
        <v>0</v>
      </c>
      <c r="L487" s="20" t="n">
        <v>0</v>
      </c>
      <c r="M487" s="20" t="n">
        <v>0</v>
      </c>
      <c r="N487" s="20" t="n">
        <v>0</v>
      </c>
      <c r="O487" s="20" t="n">
        <v>0</v>
      </c>
      <c r="P487" s="20" t="n">
        <v>0</v>
      </c>
      <c r="Q487" s="20" t="n">
        <v>0</v>
      </c>
    </row>
    <row r="488">
      <c r="A488" s="19" t="inlineStr">
        <is>
          <t>Company 226</t>
        </is>
      </c>
      <c r="B488" s="19" t="inlineStr">
        <is>
          <t>Software</t>
        </is>
      </c>
      <c r="C488" s="19" t="inlineStr">
        <is>
          <t>Routing</t>
        </is>
      </c>
      <c r="D488" s="19" t="inlineStr">
        <is>
          <t>Netherlands</t>
        </is>
      </c>
      <c r="E488" s="20" t="n">
        <v>1004.74</v>
      </c>
      <c r="F488" s="20" t="n">
        <v>937.5799999999999</v>
      </c>
      <c r="G488" s="20" t="n">
        <v>888.52</v>
      </c>
      <c r="H488" s="20" t="n">
        <v>1073.58</v>
      </c>
      <c r="I488" s="20" t="n">
        <v>889.1999999999998</v>
      </c>
      <c r="J488" s="20" t="n">
        <v>0</v>
      </c>
      <c r="K488" s="20" t="n">
        <v>0</v>
      </c>
      <c r="L488" s="20" t="n">
        <v>0</v>
      </c>
      <c r="M488" s="20" t="n">
        <v>0</v>
      </c>
      <c r="N488" s="20" t="n">
        <v>0</v>
      </c>
      <c r="O488" s="20" t="n">
        <v>0</v>
      </c>
      <c r="P488" s="20" t="n">
        <v>0</v>
      </c>
      <c r="Q488" s="20" t="n">
        <v>0</v>
      </c>
    </row>
    <row r="489">
      <c r="A489" s="19" t="inlineStr">
        <is>
          <t>Company 227</t>
        </is>
      </c>
      <c r="B489" s="19" t="inlineStr">
        <is>
          <t>Software</t>
        </is>
      </c>
      <c r="C489" s="19" t="inlineStr">
        <is>
          <t>Hosting</t>
        </is>
      </c>
      <c r="D489" s="19" t="inlineStr">
        <is>
          <t>Switzerland</t>
        </is>
      </c>
      <c r="E489" s="20" t="n">
        <v>0</v>
      </c>
      <c r="F489" s="20" t="n">
        <v>0</v>
      </c>
      <c r="G489" s="20" t="n">
        <v>850</v>
      </c>
      <c r="H489" s="20" t="n">
        <v>0</v>
      </c>
      <c r="I489" s="20" t="n">
        <v>0</v>
      </c>
      <c r="J489" s="20" t="n">
        <v>0</v>
      </c>
      <c r="K489" s="20" t="n">
        <v>0</v>
      </c>
      <c r="L489" s="20" t="n">
        <v>0</v>
      </c>
      <c r="M489" s="20" t="n">
        <v>0</v>
      </c>
      <c r="N489" s="20" t="n">
        <v>0</v>
      </c>
      <c r="O489" s="20" t="n">
        <v>0</v>
      </c>
      <c r="P489" s="20" t="n">
        <v>0</v>
      </c>
      <c r="Q489" s="20" t="n">
        <v>0</v>
      </c>
    </row>
    <row r="490">
      <c r="A490" s="19" t="inlineStr">
        <is>
          <t>Company 228</t>
        </is>
      </c>
      <c r="B490" s="19" t="inlineStr">
        <is>
          <t>Software</t>
        </is>
      </c>
      <c r="C490" s="19" t="inlineStr">
        <is>
          <t>ENOM</t>
        </is>
      </c>
      <c r="D490" s="19" t="inlineStr">
        <is>
          <t>Netherlands</t>
        </is>
      </c>
      <c r="E490" s="20" t="n">
        <v>863.1</v>
      </c>
      <c r="F490" s="20" t="n">
        <v>0</v>
      </c>
      <c r="G490" s="20" t="n">
        <v>0</v>
      </c>
      <c r="H490" s="20" t="n">
        <v>0</v>
      </c>
      <c r="I490" s="20" t="n">
        <v>0</v>
      </c>
      <c r="J490" s="20" t="n">
        <v>0</v>
      </c>
      <c r="K490" s="20" t="n">
        <v>0</v>
      </c>
      <c r="L490" s="20" t="n">
        <v>0</v>
      </c>
      <c r="M490" s="20" t="n">
        <v>0</v>
      </c>
      <c r="N490" s="20" t="n">
        <v>0</v>
      </c>
      <c r="O490" s="20" t="n">
        <v>0</v>
      </c>
      <c r="P490" s="20" t="n">
        <v>0</v>
      </c>
      <c r="Q490" s="20" t="n">
        <v>0</v>
      </c>
    </row>
    <row r="491">
      <c r="A491" s="19" t="inlineStr">
        <is>
          <t>Company 229</t>
        </is>
      </c>
      <c r="B491" s="19" t="inlineStr">
        <is>
          <t>Operations</t>
        </is>
      </c>
      <c r="C491" s="19" t="inlineStr">
        <is>
          <t>Shipper Gas</t>
        </is>
      </c>
      <c r="D491" s="19" t="inlineStr">
        <is>
          <t>Germany</t>
        </is>
      </c>
      <c r="E491" s="20" t="n">
        <v>9696.99</v>
      </c>
      <c r="F491" s="20" t="n">
        <v>714.25</v>
      </c>
      <c r="G491" s="20" t="n">
        <v>8701.159999999998</v>
      </c>
      <c r="H491" s="20" t="n">
        <v>0</v>
      </c>
      <c r="I491" s="20" t="n">
        <v>0</v>
      </c>
      <c r="J491" s="20" t="n">
        <v>0</v>
      </c>
      <c r="K491" s="20" t="n">
        <v>0</v>
      </c>
      <c r="L491" s="20" t="n">
        <v>0</v>
      </c>
      <c r="M491" s="20" t="n">
        <v>0</v>
      </c>
      <c r="N491" s="20" t="n">
        <v>951.04</v>
      </c>
      <c r="O491" s="20" t="n">
        <v>-951.04</v>
      </c>
      <c r="P491" s="20" t="n">
        <v>0</v>
      </c>
      <c r="Q491" s="20" t="n">
        <v>0</v>
      </c>
    </row>
    <row r="492">
      <c r="A492" s="19" t="inlineStr">
        <is>
          <t>Company 229</t>
        </is>
      </c>
      <c r="B492" s="19" t="inlineStr">
        <is>
          <t>Operations</t>
        </is>
      </c>
      <c r="C492" s="19" t="inlineStr">
        <is>
          <t>Operations Other</t>
        </is>
      </c>
      <c r="D492" s="19" t="inlineStr">
        <is>
          <t>Germany</t>
        </is>
      </c>
      <c r="E492" s="20" t="n">
        <v>2400</v>
      </c>
      <c r="F492" s="20" t="n">
        <v>0</v>
      </c>
      <c r="G492" s="20" t="n">
        <v>0</v>
      </c>
      <c r="H492" s="20" t="n">
        <v>0</v>
      </c>
      <c r="I492" s="20" t="n">
        <v>0</v>
      </c>
      <c r="J492" s="20" t="n">
        <v>0</v>
      </c>
      <c r="K492" s="20" t="n">
        <v>0</v>
      </c>
      <c r="L492" s="20" t="n">
        <v>0</v>
      </c>
      <c r="M492" s="20" t="n">
        <v>0</v>
      </c>
      <c r="N492" s="20" t="n">
        <v>0</v>
      </c>
      <c r="O492" s="20" t="n">
        <v>0</v>
      </c>
      <c r="P492" s="20" t="n">
        <v>0</v>
      </c>
      <c r="Q492" s="20" t="n">
        <v>0</v>
      </c>
    </row>
    <row r="493">
      <c r="A493" s="19" t="inlineStr">
        <is>
          <t>Company 230</t>
        </is>
      </c>
      <c r="B493" s="19" t="inlineStr">
        <is>
          <t>Operations</t>
        </is>
      </c>
      <c r="C493" s="19" t="inlineStr">
        <is>
          <t>Shipper Gas</t>
        </is>
      </c>
      <c r="D493" s="19" t="inlineStr">
        <is>
          <t>UK</t>
        </is>
      </c>
      <c r="E493" s="20" t="n">
        <v>0</v>
      </c>
      <c r="F493" s="20" t="n">
        <v>0</v>
      </c>
      <c r="G493" s="20" t="n">
        <v>0</v>
      </c>
      <c r="H493" s="20" t="n">
        <v>0</v>
      </c>
      <c r="I493" s="20" t="n">
        <v>0</v>
      </c>
      <c r="J493" s="20" t="n">
        <v>0</v>
      </c>
      <c r="K493" s="20" t="n">
        <v>0</v>
      </c>
      <c r="L493" s="20" t="n">
        <v>0</v>
      </c>
      <c r="M493" s="20" t="n">
        <v>0</v>
      </c>
      <c r="N493" s="20" t="n">
        <v>900</v>
      </c>
      <c r="O493" s="20" t="n">
        <v>0</v>
      </c>
      <c r="P493" s="20" t="n">
        <v>0</v>
      </c>
      <c r="Q493" s="20" t="n">
        <v>0</v>
      </c>
    </row>
    <row r="494">
      <c r="A494" s="19" t="inlineStr">
        <is>
          <t>Company 231</t>
        </is>
      </c>
      <c r="B494" s="19" t="inlineStr">
        <is>
          <t>Software</t>
        </is>
      </c>
      <c r="C494" s="19" t="inlineStr">
        <is>
          <t>ENOM+</t>
        </is>
      </c>
      <c r="D494" s="19" t="inlineStr">
        <is>
          <t>Italy</t>
        </is>
      </c>
      <c r="E494" s="20" t="n">
        <v>4513.950000000001</v>
      </c>
      <c r="F494" s="20" t="n">
        <v>0</v>
      </c>
      <c r="G494" s="20" t="n">
        <v>0</v>
      </c>
      <c r="H494" s="20" t="n">
        <v>0</v>
      </c>
      <c r="I494" s="20" t="n">
        <v>0</v>
      </c>
      <c r="J494" s="20" t="n">
        <v>0</v>
      </c>
      <c r="K494" s="20" t="n">
        <v>0</v>
      </c>
      <c r="L494" s="20" t="n">
        <v>0</v>
      </c>
      <c r="M494" s="20" t="n">
        <v>0</v>
      </c>
      <c r="N494" s="20" t="n">
        <v>0</v>
      </c>
      <c r="O494" s="20" t="n">
        <v>0</v>
      </c>
      <c r="P494" s="20" t="n">
        <v>0</v>
      </c>
      <c r="Q494" s="20" t="n">
        <v>0</v>
      </c>
    </row>
    <row r="495">
      <c r="A495" s="19" t="inlineStr">
        <is>
          <t>Company 231</t>
        </is>
      </c>
      <c r="B495" s="19" t="inlineStr">
        <is>
          <t>Software</t>
        </is>
      </c>
      <c r="C495" s="19" t="inlineStr">
        <is>
          <t>Routing</t>
        </is>
      </c>
      <c r="D495" s="19" t="inlineStr">
        <is>
          <t>Italy</t>
        </is>
      </c>
      <c r="E495" s="20" t="n">
        <v>580.38</v>
      </c>
      <c r="F495" s="20" t="n">
        <v>0</v>
      </c>
      <c r="G495" s="20" t="n">
        <v>0</v>
      </c>
      <c r="H495" s="20" t="n">
        <v>0</v>
      </c>
      <c r="I495" s="20" t="n">
        <v>0</v>
      </c>
      <c r="J495" s="20" t="n">
        <v>0</v>
      </c>
      <c r="K495" s="20" t="n">
        <v>0</v>
      </c>
      <c r="L495" s="20" t="n">
        <v>0</v>
      </c>
      <c r="M495" s="20" t="n">
        <v>0</v>
      </c>
      <c r="N495" s="20" t="n">
        <v>0</v>
      </c>
      <c r="O495" s="20" t="n">
        <v>0</v>
      </c>
      <c r="P495" s="20" t="n">
        <v>0</v>
      </c>
      <c r="Q495" s="20" t="n">
        <v>0</v>
      </c>
    </row>
    <row r="496">
      <c r="A496" s="19" t="inlineStr">
        <is>
          <t>Company 232</t>
        </is>
      </c>
      <c r="B496" s="19" t="inlineStr">
        <is>
          <t>Operations</t>
        </is>
      </c>
      <c r="C496" s="19" t="inlineStr">
        <is>
          <t>Market Gas</t>
        </is>
      </c>
      <c r="D496" s="19" t="inlineStr">
        <is>
          <t>Germany</t>
        </is>
      </c>
      <c r="E496" s="20" t="n">
        <v>76160</v>
      </c>
      <c r="F496" s="20" t="n">
        <v>89985</v>
      </c>
      <c r="G496" s="20" t="n">
        <v>70216.66</v>
      </c>
      <c r="H496" s="20" t="n">
        <v>0</v>
      </c>
      <c r="I496" s="20" t="n">
        <v>0</v>
      </c>
      <c r="J496" s="20" t="n">
        <v>0</v>
      </c>
      <c r="K496" s="20" t="n">
        <v>0</v>
      </c>
      <c r="L496" s="20" t="n">
        <v>0</v>
      </c>
      <c r="M496" s="20" t="n">
        <v>0</v>
      </c>
      <c r="N496" s="20" t="n">
        <v>0</v>
      </c>
      <c r="O496" s="20" t="n">
        <v>0</v>
      </c>
      <c r="P496" s="20" t="n">
        <v>0</v>
      </c>
      <c r="Q496" s="20" t="n">
        <v>0</v>
      </c>
    </row>
    <row r="497">
      <c r="A497" s="19" t="inlineStr">
        <is>
          <t>Company 232</t>
        </is>
      </c>
      <c r="B497" s="19" t="inlineStr">
        <is>
          <t>Operations</t>
        </is>
      </c>
      <c r="C497" s="19" t="inlineStr">
        <is>
          <t>Shipper Gas</t>
        </is>
      </c>
      <c r="D497" s="19" t="inlineStr">
        <is>
          <t>Germany</t>
        </is>
      </c>
      <c r="E497" s="20" t="n">
        <v>2500</v>
      </c>
      <c r="F497" s="20" t="n">
        <v>0</v>
      </c>
      <c r="G497" s="20" t="n">
        <v>0</v>
      </c>
      <c r="H497" s="20" t="n">
        <v>0</v>
      </c>
      <c r="I497" s="20" t="n">
        <v>0</v>
      </c>
      <c r="J497" s="20" t="n">
        <v>0</v>
      </c>
      <c r="K497" s="20" t="n">
        <v>0</v>
      </c>
      <c r="L497" s="20" t="n">
        <v>0</v>
      </c>
      <c r="M497" s="20" t="n">
        <v>0</v>
      </c>
      <c r="N497" s="20" t="n">
        <v>0</v>
      </c>
      <c r="O497" s="20" t="n">
        <v>0</v>
      </c>
      <c r="P497" s="20" t="n">
        <v>0</v>
      </c>
      <c r="Q497" s="20" t="n">
        <v>0</v>
      </c>
    </row>
    <row r="498">
      <c r="A498" s="19" t="inlineStr">
        <is>
          <t>Company 233</t>
        </is>
      </c>
      <c r="B498" s="19" t="inlineStr">
        <is>
          <t>Software</t>
        </is>
      </c>
      <c r="C498" s="19" t="inlineStr">
        <is>
          <t>ENOM+</t>
        </is>
      </c>
      <c r="D498" s="19" t="inlineStr">
        <is>
          <t>Germany</t>
        </is>
      </c>
      <c r="E498" s="20" t="n">
        <v>17540.13</v>
      </c>
      <c r="F498" s="20" t="n">
        <v>16634.8</v>
      </c>
      <c r="G498" s="20" t="n">
        <v>15182.79</v>
      </c>
      <c r="H498" s="20" t="n">
        <v>17745.57</v>
      </c>
      <c r="I498" s="20" t="n">
        <v>16975.2</v>
      </c>
      <c r="J498" s="20" t="n">
        <v>0</v>
      </c>
      <c r="K498" s="20" t="n">
        <v>0</v>
      </c>
      <c r="L498" s="20" t="n">
        <v>0</v>
      </c>
      <c r="M498" s="20" t="n">
        <v>0</v>
      </c>
      <c r="N498" s="20" t="n">
        <v>0</v>
      </c>
      <c r="O498" s="20" t="n">
        <v>0</v>
      </c>
      <c r="P498" s="20" t="n">
        <v>0</v>
      </c>
      <c r="Q498" s="20" t="n">
        <v>0</v>
      </c>
    </row>
    <row r="499">
      <c r="A499" s="19" t="inlineStr">
        <is>
          <t>Company 234</t>
        </is>
      </c>
      <c r="B499" s="19" t="inlineStr">
        <is>
          <t>Software</t>
        </is>
      </c>
      <c r="C499" s="19" t="inlineStr">
        <is>
          <t>ENOM+</t>
        </is>
      </c>
      <c r="D499" s="19" t="inlineStr">
        <is>
          <t>France</t>
        </is>
      </c>
      <c r="E499" s="20" t="n">
        <v>17326.05</v>
      </c>
      <c r="F499" s="20" t="n">
        <v>15693.3</v>
      </c>
      <c r="G499" s="20" t="n">
        <v>15422.4</v>
      </c>
      <c r="H499" s="20" t="n">
        <v>17675.28</v>
      </c>
      <c r="I499" s="20" t="n">
        <v>18641.28</v>
      </c>
      <c r="J499" s="20" t="n">
        <v>18557.7</v>
      </c>
      <c r="K499" s="20" t="n">
        <v>17895.15</v>
      </c>
      <c r="L499" s="20" t="n">
        <v>18969.93</v>
      </c>
      <c r="M499" s="20" t="n">
        <v>17554.53000000001</v>
      </c>
      <c r="N499" s="20" t="n">
        <v>20339.09</v>
      </c>
      <c r="O499" s="20" t="n">
        <v>0</v>
      </c>
      <c r="P499" s="20" t="n">
        <v>0</v>
      </c>
      <c r="Q499" s="20" t="n">
        <v>0</v>
      </c>
    </row>
    <row r="500">
      <c r="A500" s="19" t="inlineStr">
        <is>
          <t>Company 234</t>
        </is>
      </c>
      <c r="B500" s="19" t="inlineStr">
        <is>
          <t>Software</t>
        </is>
      </c>
      <c r="C500" s="19" t="inlineStr">
        <is>
          <t>Hosting</t>
        </is>
      </c>
      <c r="D500" s="19" t="inlineStr">
        <is>
          <t>France</t>
        </is>
      </c>
      <c r="E500" s="20" t="n">
        <v>0</v>
      </c>
      <c r="F500" s="20" t="n">
        <v>7800</v>
      </c>
      <c r="G500" s="20" t="n">
        <v>0</v>
      </c>
      <c r="H500" s="20" t="n">
        <v>0</v>
      </c>
      <c r="I500" s="20" t="n">
        <v>0</v>
      </c>
      <c r="J500" s="20" t="n">
        <v>0</v>
      </c>
      <c r="K500" s="20" t="n">
        <v>0</v>
      </c>
      <c r="L500" s="20" t="n">
        <v>0</v>
      </c>
      <c r="M500" s="20" t="n">
        <v>0</v>
      </c>
      <c r="N500" s="20" t="n">
        <v>0</v>
      </c>
      <c r="O500" s="20" t="n">
        <v>0</v>
      </c>
      <c r="P500" s="20" t="n">
        <v>0</v>
      </c>
      <c r="Q500" s="20" t="n">
        <v>0</v>
      </c>
    </row>
    <row r="501">
      <c r="A501" s="19" t="inlineStr">
        <is>
          <t>Company 234</t>
        </is>
      </c>
      <c r="B501" s="19" t="inlineStr">
        <is>
          <t>Operations</t>
        </is>
      </c>
      <c r="C501" s="19" t="inlineStr">
        <is>
          <t>Shipper Gas</t>
        </is>
      </c>
      <c r="D501" s="19" t="inlineStr">
        <is>
          <t>France</t>
        </is>
      </c>
      <c r="E501" s="20" t="n">
        <v>7800</v>
      </c>
      <c r="F501" s="20" t="n">
        <v>0</v>
      </c>
      <c r="G501" s="20" t="n">
        <v>0</v>
      </c>
      <c r="H501" s="20" t="n">
        <v>0</v>
      </c>
      <c r="I501" s="20" t="n">
        <v>0</v>
      </c>
      <c r="J501" s="20" t="n">
        <v>0</v>
      </c>
      <c r="K501" s="20" t="n">
        <v>0</v>
      </c>
      <c r="L501" s="20" t="n">
        <v>0</v>
      </c>
      <c r="M501" s="20" t="n">
        <v>0</v>
      </c>
      <c r="N501" s="20" t="n">
        <v>0</v>
      </c>
      <c r="O501" s="20" t="n">
        <v>0</v>
      </c>
      <c r="P501" s="20" t="n">
        <v>0</v>
      </c>
      <c r="Q501" s="20" t="n">
        <v>0</v>
      </c>
    </row>
    <row r="502">
      <c r="A502" s="19" t="inlineStr">
        <is>
          <t>Company 235</t>
        </is>
      </c>
      <c r="B502" s="19" t="inlineStr">
        <is>
          <t>Software</t>
        </is>
      </c>
      <c r="C502" s="19" t="inlineStr">
        <is>
          <t>Hosting</t>
        </is>
      </c>
      <c r="D502" s="19" t="inlineStr">
        <is>
          <t>France</t>
        </is>
      </c>
      <c r="E502" s="20" t="n">
        <v>1679.49</v>
      </c>
      <c r="F502" s="20" t="n">
        <v>8272.09</v>
      </c>
      <c r="G502" s="20" t="n">
        <v>9410.52</v>
      </c>
      <c r="H502" s="20" t="n">
        <v>10021.35</v>
      </c>
      <c r="I502" s="20" t="n">
        <v>5871.949999999999</v>
      </c>
      <c r="J502" s="20" t="n">
        <v>0</v>
      </c>
      <c r="K502" s="20" t="n">
        <v>0</v>
      </c>
      <c r="L502" s="20" t="n">
        <v>0</v>
      </c>
      <c r="M502" s="20" t="n">
        <v>0</v>
      </c>
      <c r="N502" s="20" t="n">
        <v>0</v>
      </c>
      <c r="O502" s="20" t="n">
        <v>0</v>
      </c>
      <c r="P502" s="20" t="n">
        <v>0</v>
      </c>
      <c r="Q502" s="20" t="n">
        <v>0</v>
      </c>
    </row>
    <row r="503">
      <c r="A503" s="19" t="inlineStr">
        <is>
          <t>Company 235</t>
        </is>
      </c>
      <c r="B503" s="19" t="inlineStr">
        <is>
          <t>Operations</t>
        </is>
      </c>
      <c r="C503" s="19" t="inlineStr">
        <is>
          <t>Shipper Gas</t>
        </is>
      </c>
      <c r="D503" s="19" t="inlineStr">
        <is>
          <t>France</t>
        </is>
      </c>
      <c r="E503" s="20" t="n">
        <v>962.7</v>
      </c>
      <c r="F503" s="20" t="n">
        <v>0</v>
      </c>
      <c r="G503" s="20" t="n">
        <v>0</v>
      </c>
      <c r="H503" s="20" t="n">
        <v>0</v>
      </c>
      <c r="I503" s="20" t="n">
        <v>0</v>
      </c>
      <c r="J503" s="20" t="n">
        <v>0</v>
      </c>
      <c r="K503" s="20" t="n">
        <v>0</v>
      </c>
      <c r="L503" s="20" t="n">
        <v>0</v>
      </c>
      <c r="M503" s="20" t="n">
        <v>0</v>
      </c>
      <c r="N503" s="20" t="n">
        <v>0</v>
      </c>
      <c r="O503" s="20" t="n">
        <v>0</v>
      </c>
      <c r="P503" s="20" t="n">
        <v>0</v>
      </c>
      <c r="Q503" s="20" t="n">
        <v>0</v>
      </c>
    </row>
    <row r="504">
      <c r="A504" s="19" t="inlineStr">
        <is>
          <t>Company 236</t>
        </is>
      </c>
      <c r="B504" s="19" t="inlineStr">
        <is>
          <t>Software</t>
        </is>
      </c>
      <c r="C504" s="19" t="inlineStr">
        <is>
          <t>ENOM</t>
        </is>
      </c>
      <c r="D504" s="19" t="inlineStr">
        <is>
          <t>Netherlands</t>
        </is>
      </c>
      <c r="E504" s="20" t="n">
        <v>9938.000000000002</v>
      </c>
      <c r="F504" s="20" t="n">
        <v>9183.600000000002</v>
      </c>
      <c r="G504" s="20" t="n">
        <v>9259.200000000003</v>
      </c>
      <c r="H504" s="20" t="n">
        <v>9931.200000000003</v>
      </c>
      <c r="I504" s="20" t="n">
        <v>10447.2</v>
      </c>
      <c r="J504" s="20" t="n">
        <v>10392.2</v>
      </c>
      <c r="K504" s="20" t="n">
        <v>10411.64</v>
      </c>
      <c r="L504" s="20" t="n">
        <v>13028.17</v>
      </c>
      <c r="M504" s="20" t="n">
        <v>11423.18</v>
      </c>
      <c r="N504" s="20" t="n">
        <v>0</v>
      </c>
      <c r="O504" s="20" t="n">
        <v>0</v>
      </c>
      <c r="P504" s="20" t="n">
        <v>11929.36</v>
      </c>
      <c r="Q504" s="20" t="n">
        <v>0</v>
      </c>
    </row>
    <row r="505">
      <c r="A505" s="19" t="inlineStr">
        <is>
          <t>Company 236</t>
        </is>
      </c>
      <c r="B505" s="19" t="inlineStr">
        <is>
          <t>Software</t>
        </is>
      </c>
      <c r="C505" s="19" t="inlineStr">
        <is>
          <t>Routing</t>
        </is>
      </c>
      <c r="D505" s="19" t="inlineStr">
        <is>
          <t>Netherlands</t>
        </is>
      </c>
      <c r="E505" s="20" t="n">
        <v>0</v>
      </c>
      <c r="F505" s="20" t="n">
        <v>0</v>
      </c>
      <c r="G505" s="20" t="n">
        <v>1388.88</v>
      </c>
      <c r="H505" s="20" t="n">
        <v>1489.66</v>
      </c>
      <c r="I505" s="20" t="n">
        <v>1567.11</v>
      </c>
      <c r="J505" s="20" t="n">
        <v>1558.81</v>
      </c>
      <c r="K505" s="20" t="n">
        <v>1561.75</v>
      </c>
      <c r="L505" s="20" t="n">
        <v>1746.63</v>
      </c>
      <c r="M505" s="20" t="n">
        <v>1090.64</v>
      </c>
      <c r="N505" s="20" t="n">
        <v>0</v>
      </c>
      <c r="O505" s="20" t="n">
        <v>0</v>
      </c>
      <c r="P505" s="20" t="n">
        <v>1788.77</v>
      </c>
      <c r="Q505" s="20" t="n">
        <v>0</v>
      </c>
    </row>
    <row r="506">
      <c r="A506" s="19" t="inlineStr">
        <is>
          <t>Company 237</t>
        </is>
      </c>
      <c r="B506" s="19" t="inlineStr">
        <is>
          <t>Operations</t>
        </is>
      </c>
      <c r="C506" s="19" t="inlineStr">
        <is>
          <t>Shipper Gas</t>
        </is>
      </c>
      <c r="D506" s="19" t="inlineStr">
        <is>
          <t>Spain</t>
        </is>
      </c>
      <c r="E506" s="20" t="n">
        <v>19605.18</v>
      </c>
      <c r="F506" s="20" t="n">
        <v>29605.33</v>
      </c>
      <c r="G506" s="20" t="n">
        <v>33679.71</v>
      </c>
      <c r="H506" s="20" t="n">
        <v>35865.81</v>
      </c>
      <c r="I506" s="20" t="n">
        <v>40841.63</v>
      </c>
      <c r="J506" s="20" t="n">
        <v>38216.39000000001</v>
      </c>
      <c r="K506" s="20" t="n">
        <v>0</v>
      </c>
      <c r="L506" s="20" t="n">
        <v>0</v>
      </c>
      <c r="M506" s="20" t="n">
        <v>0</v>
      </c>
      <c r="N506" s="20" t="n">
        <v>0</v>
      </c>
      <c r="O506" s="20" t="n">
        <v>0</v>
      </c>
      <c r="P506" s="20" t="n">
        <v>0</v>
      </c>
      <c r="Q506" s="20" t="n">
        <v>0</v>
      </c>
    </row>
    <row r="507">
      <c r="A507" s="19" t="inlineStr">
        <is>
          <t>Company 237</t>
        </is>
      </c>
      <c r="B507" s="19" t="inlineStr">
        <is>
          <t>Software</t>
        </is>
      </c>
      <c r="C507" s="19" t="inlineStr">
        <is>
          <t>ENOM+</t>
        </is>
      </c>
      <c r="D507" s="19" t="inlineStr">
        <is>
          <t>Spain</t>
        </is>
      </c>
      <c r="E507" s="20" t="n">
        <v>17563</v>
      </c>
      <c r="F507" s="20" t="n">
        <v>16307.9</v>
      </c>
      <c r="G507" s="20" t="n">
        <v>15522.78</v>
      </c>
      <c r="H507" s="20" t="n">
        <v>18653.73</v>
      </c>
      <c r="I507" s="20" t="n">
        <v>18625.25</v>
      </c>
      <c r="J507" s="20" t="n">
        <v>15318.6</v>
      </c>
      <c r="K507" s="20" t="n">
        <v>0</v>
      </c>
      <c r="L507" s="20" t="n">
        <v>0</v>
      </c>
      <c r="M507" s="20" t="n">
        <v>0</v>
      </c>
      <c r="N507" s="20" t="n">
        <v>0</v>
      </c>
      <c r="O507" s="20" t="n">
        <v>0</v>
      </c>
      <c r="P507" s="20" t="n">
        <v>0</v>
      </c>
      <c r="Q507" s="20" t="n">
        <v>0</v>
      </c>
    </row>
    <row r="508">
      <c r="A508" s="19" t="inlineStr">
        <is>
          <t>Company 237</t>
        </is>
      </c>
      <c r="B508" s="19" t="inlineStr">
        <is>
          <t>Software</t>
        </is>
      </c>
      <c r="C508" s="19" t="inlineStr">
        <is>
          <t>Routing</t>
        </is>
      </c>
      <c r="D508" s="19" t="inlineStr">
        <is>
          <t>Spain</t>
        </is>
      </c>
      <c r="E508" s="20" t="n">
        <v>2383.5</v>
      </c>
      <c r="F508" s="20" t="n">
        <v>2213.29</v>
      </c>
      <c r="G508" s="20" t="n">
        <v>2106.63</v>
      </c>
      <c r="H508" s="20" t="n">
        <v>2531.61</v>
      </c>
      <c r="I508" s="20" t="n">
        <v>2666.33</v>
      </c>
      <c r="J508" s="20" t="n">
        <v>2771.9</v>
      </c>
      <c r="K508" s="20" t="n">
        <v>0</v>
      </c>
      <c r="L508" s="20" t="n">
        <v>0</v>
      </c>
      <c r="M508" s="20" t="n">
        <v>0</v>
      </c>
      <c r="N508" s="20" t="n">
        <v>0</v>
      </c>
      <c r="O508" s="20" t="n">
        <v>0</v>
      </c>
      <c r="P508" s="20" t="n">
        <v>0</v>
      </c>
      <c r="Q508" s="20" t="n">
        <v>0</v>
      </c>
    </row>
    <row r="509">
      <c r="A509" s="19" t="inlineStr">
        <is>
          <t>Company 238</t>
        </is>
      </c>
      <c r="B509" s="19" t="inlineStr">
        <is>
          <t>Operations</t>
        </is>
      </c>
      <c r="C509" s="19" t="inlineStr">
        <is>
          <t>Shipper Gas</t>
        </is>
      </c>
      <c r="D509" s="19" t="inlineStr">
        <is>
          <t>Netherlands</t>
        </is>
      </c>
      <c r="E509" s="20" t="n">
        <v>24096.27</v>
      </c>
      <c r="F509" s="20" t="n">
        <v>22014.55</v>
      </c>
      <c r="G509" s="20" t="n">
        <v>12719.69</v>
      </c>
      <c r="H509" s="20" t="n">
        <v>0</v>
      </c>
      <c r="I509" s="20" t="n">
        <v>0</v>
      </c>
      <c r="J509" s="20" t="n">
        <v>0</v>
      </c>
      <c r="K509" s="20" t="n">
        <v>0</v>
      </c>
      <c r="L509" s="20" t="n">
        <v>0</v>
      </c>
      <c r="M509" s="20" t="n">
        <v>0</v>
      </c>
      <c r="N509" s="20" t="n">
        <v>0</v>
      </c>
      <c r="O509" s="20" t="n">
        <v>0</v>
      </c>
      <c r="P509" s="20" t="n">
        <v>0</v>
      </c>
      <c r="Q509" s="20" t="n">
        <v>0</v>
      </c>
    </row>
    <row r="510">
      <c r="A510" s="19" t="inlineStr">
        <is>
          <t>Company 238</t>
        </is>
      </c>
      <c r="B510" s="19" t="inlineStr">
        <is>
          <t>Software</t>
        </is>
      </c>
      <c r="C510" s="19" t="inlineStr">
        <is>
          <t>IT Other</t>
        </is>
      </c>
      <c r="D510" s="19" t="inlineStr">
        <is>
          <t>Netherlands</t>
        </is>
      </c>
      <c r="E510" s="20" t="n">
        <v>0</v>
      </c>
      <c r="F510" s="20" t="n">
        <v>0</v>
      </c>
      <c r="G510" s="20" t="n">
        <v>183105</v>
      </c>
      <c r="H510" s="20" t="n">
        <v>205215.75</v>
      </c>
      <c r="I510" s="20" t="n">
        <v>182685.25</v>
      </c>
      <c r="J510" s="20" t="n">
        <v>0</v>
      </c>
      <c r="K510" s="20" t="n">
        <v>0</v>
      </c>
      <c r="L510" s="20" t="n">
        <v>0</v>
      </c>
      <c r="M510" s="20" t="n">
        <v>0</v>
      </c>
      <c r="N510" s="20" t="n">
        <v>0</v>
      </c>
      <c r="O510" s="20" t="n">
        <v>0</v>
      </c>
      <c r="P510" s="20" t="n">
        <v>0</v>
      </c>
      <c r="Q510" s="20" t="n">
        <v>0</v>
      </c>
    </row>
    <row r="511">
      <c r="A511" s="19" t="inlineStr">
        <is>
          <t>Company 239</t>
        </is>
      </c>
      <c r="B511" s="19" t="inlineStr">
        <is>
          <t>Operations</t>
        </is>
      </c>
      <c r="C511" s="19" t="inlineStr">
        <is>
          <t>Shipper Gas</t>
        </is>
      </c>
      <c r="D511" s="19" t="inlineStr">
        <is>
          <t>UK</t>
        </is>
      </c>
      <c r="E511" s="20" t="n">
        <v>2200</v>
      </c>
      <c r="F511" s="20" t="n">
        <v>0</v>
      </c>
      <c r="G511" s="20" t="n">
        <v>0</v>
      </c>
      <c r="H511" s="20" t="n">
        <v>0</v>
      </c>
      <c r="I511" s="20" t="n">
        <v>0</v>
      </c>
      <c r="J511" s="20" t="n">
        <v>0</v>
      </c>
      <c r="K511" s="20" t="n">
        <v>0</v>
      </c>
      <c r="L511" s="20" t="n">
        <v>0</v>
      </c>
      <c r="M511" s="20" t="n">
        <v>0</v>
      </c>
      <c r="N511" s="20" t="n">
        <v>0</v>
      </c>
      <c r="O511" s="20" t="n">
        <v>0</v>
      </c>
      <c r="P511" s="20" t="n">
        <v>0</v>
      </c>
      <c r="Q511" s="20" t="n">
        <v>0</v>
      </c>
    </row>
    <row r="512">
      <c r="A512" s="19" t="inlineStr">
        <is>
          <t>Company 239</t>
        </is>
      </c>
      <c r="B512" s="19" t="inlineStr">
        <is>
          <t>Power</t>
        </is>
      </c>
      <c r="C512" s="19" t="inlineStr">
        <is>
          <t>Shipper Power</t>
        </is>
      </c>
      <c r="D512" s="19" t="inlineStr">
        <is>
          <t>UK</t>
        </is>
      </c>
      <c r="E512" s="20" t="n">
        <v>3500</v>
      </c>
      <c r="F512" s="20" t="n">
        <v>14150</v>
      </c>
      <c r="G512" s="20" t="n">
        <v>45600</v>
      </c>
      <c r="H512" s="20" t="n">
        <v>26600</v>
      </c>
      <c r="I512" s="20" t="n">
        <v>0</v>
      </c>
      <c r="J512" s="20" t="n">
        <v>0</v>
      </c>
      <c r="K512" s="20" t="n">
        <v>0</v>
      </c>
      <c r="L512" s="20" t="n">
        <v>0</v>
      </c>
      <c r="M512" s="20" t="n">
        <v>0</v>
      </c>
      <c r="N512" s="20" t="n">
        <v>0</v>
      </c>
      <c r="O512" s="20" t="n">
        <v>0</v>
      </c>
      <c r="P512" s="20" t="n">
        <v>0</v>
      </c>
      <c r="Q512" s="20" t="n">
        <v>0</v>
      </c>
    </row>
    <row r="513">
      <c r="A513" s="19" t="inlineStr">
        <is>
          <t>Company 239</t>
        </is>
      </c>
      <c r="B513" s="19" t="inlineStr">
        <is>
          <t>Software</t>
        </is>
      </c>
      <c r="C513" s="19" t="inlineStr">
        <is>
          <t>EuroRunner</t>
        </is>
      </c>
      <c r="D513" s="19" t="inlineStr">
        <is>
          <t>UK</t>
        </is>
      </c>
      <c r="E513" s="20" t="n">
        <v>0</v>
      </c>
      <c r="F513" s="20" t="n">
        <v>0</v>
      </c>
      <c r="G513" s="20" t="n">
        <v>0</v>
      </c>
      <c r="H513" s="20" t="n">
        <v>0</v>
      </c>
      <c r="I513" s="20" t="n">
        <v>0</v>
      </c>
      <c r="J513" s="20" t="n">
        <v>0</v>
      </c>
      <c r="K513" s="20" t="n">
        <v>0</v>
      </c>
      <c r="L513" s="20" t="n">
        <v>0</v>
      </c>
      <c r="M513" s="20" t="n">
        <v>0</v>
      </c>
      <c r="N513" s="20" t="n">
        <v>0</v>
      </c>
      <c r="O513" s="20" t="n">
        <v>0</v>
      </c>
      <c r="P513" s="20" t="n">
        <v>0</v>
      </c>
      <c r="Q513" s="20" t="n">
        <v>47130</v>
      </c>
    </row>
    <row r="514">
      <c r="A514" s="19" t="inlineStr">
        <is>
          <t>Company 239</t>
        </is>
      </c>
      <c r="B514" s="19" t="inlineStr">
        <is>
          <t>Software</t>
        </is>
      </c>
      <c r="C514" s="19" t="inlineStr">
        <is>
          <t>Routing</t>
        </is>
      </c>
      <c r="D514" s="19" t="inlineStr">
        <is>
          <t>UK</t>
        </is>
      </c>
      <c r="E514" s="20" t="n">
        <v>0</v>
      </c>
      <c r="F514" s="20" t="n">
        <v>0</v>
      </c>
      <c r="G514" s="20" t="n">
        <v>0</v>
      </c>
      <c r="H514" s="20" t="n">
        <v>0</v>
      </c>
      <c r="I514" s="20" t="n">
        <v>0</v>
      </c>
      <c r="J514" s="20" t="n">
        <v>0</v>
      </c>
      <c r="K514" s="20" t="n">
        <v>0</v>
      </c>
      <c r="L514" s="20" t="n">
        <v>0</v>
      </c>
      <c r="M514" s="20" t="n">
        <v>0</v>
      </c>
      <c r="N514" s="20" t="n">
        <v>0</v>
      </c>
      <c r="O514" s="20" t="n">
        <v>0</v>
      </c>
      <c r="P514" s="20" t="n">
        <v>0</v>
      </c>
      <c r="Q514" s="20" t="n">
        <v>11380</v>
      </c>
    </row>
    <row r="515">
      <c r="A515" s="19" t="inlineStr">
        <is>
          <t>Company 240</t>
        </is>
      </c>
      <c r="B515" s="19" t="inlineStr">
        <is>
          <t>Operations</t>
        </is>
      </c>
      <c r="C515" s="19" t="inlineStr">
        <is>
          <t>Shipper Gas</t>
        </is>
      </c>
      <c r="D515" s="19" t="inlineStr">
        <is>
          <t>France</t>
        </is>
      </c>
      <c r="E515" s="20" t="n">
        <v>162785</v>
      </c>
      <c r="F515" s="20" t="n">
        <v>144540</v>
      </c>
      <c r="G515" s="20" t="n">
        <v>140620</v>
      </c>
      <c r="H515" s="20" t="n">
        <v>131955</v>
      </c>
      <c r="I515" s="20" t="n">
        <v>130535</v>
      </c>
      <c r="J515" s="20" t="n">
        <v>133620</v>
      </c>
      <c r="K515" s="20" t="n">
        <v>133620</v>
      </c>
      <c r="L515" s="20" t="n">
        <v>133620</v>
      </c>
      <c r="M515" s="20" t="n">
        <v>136290</v>
      </c>
      <c r="N515" s="20" t="n">
        <v>145743</v>
      </c>
      <c r="O515" s="20" t="n">
        <v>100048</v>
      </c>
      <c r="P515" s="20" t="n">
        <v>0</v>
      </c>
      <c r="Q515" s="20" t="n">
        <v>0</v>
      </c>
    </row>
    <row r="516">
      <c r="A516" s="19" t="inlineStr">
        <is>
          <t>Company 241</t>
        </is>
      </c>
      <c r="B516" s="19" t="inlineStr">
        <is>
          <t>Operations</t>
        </is>
      </c>
      <c r="C516" s="19" t="inlineStr">
        <is>
          <t>Shipper Gas</t>
        </is>
      </c>
      <c r="D516" s="19" t="inlineStr">
        <is>
          <t>UK</t>
        </is>
      </c>
      <c r="E516" s="20" t="n">
        <v>0</v>
      </c>
      <c r="F516" s="20" t="n">
        <v>0</v>
      </c>
      <c r="G516" s="20" t="n">
        <v>0</v>
      </c>
      <c r="H516" s="20" t="n">
        <v>70004.84</v>
      </c>
      <c r="I516" s="20" t="n">
        <v>72000</v>
      </c>
      <c r="J516" s="20" t="n">
        <v>39000</v>
      </c>
      <c r="K516" s="20" t="n">
        <v>39000</v>
      </c>
      <c r="L516" s="20" t="n">
        <v>32500</v>
      </c>
      <c r="M516" s="20" t="n">
        <v>0</v>
      </c>
      <c r="N516" s="20" t="n">
        <v>0</v>
      </c>
      <c r="O516" s="20" t="n">
        <v>0</v>
      </c>
      <c r="P516" s="20" t="n">
        <v>0</v>
      </c>
      <c r="Q516" s="20" t="n">
        <v>0</v>
      </c>
    </row>
    <row r="517">
      <c r="A517" s="19" t="inlineStr">
        <is>
          <t>Company 242</t>
        </is>
      </c>
      <c r="B517" s="19" t="inlineStr">
        <is>
          <t>Software</t>
        </is>
      </c>
      <c r="C517" s="19" t="inlineStr">
        <is>
          <t>CodeRunner</t>
        </is>
      </c>
      <c r="D517" s="19" t="inlineStr">
        <is>
          <t>UK</t>
        </is>
      </c>
      <c r="E517" s="20" t="n">
        <v>15000</v>
      </c>
      <c r="F517" s="20" t="n">
        <v>0</v>
      </c>
      <c r="G517" s="20" t="n">
        <v>0</v>
      </c>
      <c r="H517" s="20" t="n">
        <v>0</v>
      </c>
      <c r="I517" s="20" t="n">
        <v>0</v>
      </c>
      <c r="J517" s="20" t="n">
        <v>0</v>
      </c>
      <c r="K517" s="20" t="n">
        <v>0</v>
      </c>
      <c r="L517" s="20" t="n">
        <v>0</v>
      </c>
      <c r="M517" s="20" t="n">
        <v>0</v>
      </c>
      <c r="N517" s="20" t="n">
        <v>0</v>
      </c>
      <c r="O517" s="20" t="n">
        <v>0</v>
      </c>
      <c r="P517" s="20" t="n">
        <v>0</v>
      </c>
      <c r="Q517" s="20" t="n">
        <v>0</v>
      </c>
    </row>
    <row r="518">
      <c r="A518" s="19" t="inlineStr">
        <is>
          <t>Company 242</t>
        </is>
      </c>
      <c r="B518" s="19" t="inlineStr">
        <is>
          <t>Software</t>
        </is>
      </c>
      <c r="C518" s="19" t="inlineStr">
        <is>
          <t>EuroRunner</t>
        </is>
      </c>
      <c r="D518" s="19" t="inlineStr">
        <is>
          <t>UK</t>
        </is>
      </c>
      <c r="E518" s="20" t="n">
        <v>20100</v>
      </c>
      <c r="F518" s="20" t="n">
        <v>0</v>
      </c>
      <c r="G518" s="20" t="n">
        <v>0</v>
      </c>
      <c r="H518" s="20" t="n">
        <v>0</v>
      </c>
      <c r="I518" s="20" t="n">
        <v>0</v>
      </c>
      <c r="J518" s="20" t="n">
        <v>0</v>
      </c>
      <c r="K518" s="20" t="n">
        <v>0</v>
      </c>
      <c r="L518" s="20" t="n">
        <v>0</v>
      </c>
      <c r="M518" s="20" t="n">
        <v>0</v>
      </c>
      <c r="N518" s="20" t="n">
        <v>0</v>
      </c>
      <c r="O518" s="20" t="n">
        <v>0</v>
      </c>
      <c r="P518" s="20" t="n">
        <v>0</v>
      </c>
      <c r="Q518" s="20" t="n">
        <v>0</v>
      </c>
    </row>
    <row r="519">
      <c r="A519" s="19" t="inlineStr">
        <is>
          <t>Company 242</t>
        </is>
      </c>
      <c r="B519" s="19" t="inlineStr">
        <is>
          <t>Software</t>
        </is>
      </c>
      <c r="C519" s="19" t="inlineStr">
        <is>
          <t>IT Other</t>
        </is>
      </c>
      <c r="D519" s="19" t="inlineStr">
        <is>
          <t>UK</t>
        </is>
      </c>
      <c r="E519" s="20" t="n">
        <v>376.2</v>
      </c>
      <c r="F519" s="20" t="n">
        <v>0</v>
      </c>
      <c r="G519" s="20" t="n">
        <v>0</v>
      </c>
      <c r="H519" s="20" t="n">
        <v>0</v>
      </c>
      <c r="I519" s="20" t="n">
        <v>0</v>
      </c>
      <c r="J519" s="20" t="n">
        <v>0</v>
      </c>
      <c r="K519" s="20" t="n">
        <v>0</v>
      </c>
      <c r="L519" s="20" t="n">
        <v>0</v>
      </c>
      <c r="M519" s="20" t="n">
        <v>0</v>
      </c>
      <c r="N519" s="20" t="n">
        <v>0</v>
      </c>
      <c r="O519" s="20" t="n">
        <v>0</v>
      </c>
      <c r="P519" s="20" t="n">
        <v>0</v>
      </c>
      <c r="Q519" s="20" t="n">
        <v>0</v>
      </c>
    </row>
    <row r="520">
      <c r="A520" s="19" t="inlineStr">
        <is>
          <t>Company 243</t>
        </is>
      </c>
      <c r="B520" s="19" t="inlineStr">
        <is>
          <t>Software</t>
        </is>
      </c>
      <c r="C520" s="19" t="inlineStr">
        <is>
          <t>Hosting</t>
        </is>
      </c>
      <c r="D520" s="19" t="inlineStr">
        <is>
          <t>UK</t>
        </is>
      </c>
      <c r="E520" s="20" t="n">
        <v>2250</v>
      </c>
      <c r="F520" s="20" t="n">
        <v>3344.85</v>
      </c>
      <c r="G520" s="20" t="n">
        <v>3744.85</v>
      </c>
      <c r="H520" s="20" t="n">
        <v>3344.85</v>
      </c>
      <c r="I520" s="20" t="n">
        <v>1906.75</v>
      </c>
      <c r="J520" s="20" t="n">
        <v>0</v>
      </c>
      <c r="K520" s="20" t="n">
        <v>0</v>
      </c>
      <c r="L520" s="20" t="n">
        <v>0</v>
      </c>
      <c r="M520" s="20" t="n">
        <v>0</v>
      </c>
      <c r="N520" s="20" t="n">
        <v>0</v>
      </c>
      <c r="O520" s="20" t="n">
        <v>0</v>
      </c>
      <c r="P520" s="20" t="n">
        <v>0</v>
      </c>
      <c r="Q520" s="20" t="n">
        <v>0</v>
      </c>
    </row>
    <row r="521">
      <c r="A521" s="19" t="inlineStr">
        <is>
          <t>Company 244</t>
        </is>
      </c>
      <c r="B521" s="19" t="inlineStr">
        <is>
          <t>Operations</t>
        </is>
      </c>
      <c r="C521" s="19" t="inlineStr">
        <is>
          <t>Demand Text</t>
        </is>
      </c>
      <c r="D521" s="19" t="inlineStr">
        <is>
          <t>Italy</t>
        </is>
      </c>
      <c r="E521" s="20" t="n">
        <v>0</v>
      </c>
      <c r="F521" s="20" t="n">
        <v>0</v>
      </c>
      <c r="G521" s="20" t="n">
        <v>0</v>
      </c>
      <c r="H521" s="20" t="n">
        <v>0</v>
      </c>
      <c r="I521" s="20" t="n">
        <v>0</v>
      </c>
      <c r="J521" s="20" t="n">
        <v>0</v>
      </c>
      <c r="K521" s="20" t="n">
        <v>0</v>
      </c>
      <c r="L521" s="20" t="n">
        <v>0</v>
      </c>
      <c r="M521" s="20" t="n">
        <v>0</v>
      </c>
      <c r="N521" s="20" t="n">
        <v>0</v>
      </c>
      <c r="O521" s="20" t="n">
        <v>0</v>
      </c>
      <c r="P521" s="20" t="n">
        <v>2820</v>
      </c>
      <c r="Q521" s="20" t="n">
        <v>0</v>
      </c>
    </row>
    <row r="522">
      <c r="A522" s="19" t="inlineStr">
        <is>
          <t>Company 245</t>
        </is>
      </c>
      <c r="B522" s="19" t="inlineStr">
        <is>
          <t>Software</t>
        </is>
      </c>
      <c r="C522" s="19" t="inlineStr">
        <is>
          <t>ENOM</t>
        </is>
      </c>
      <c r="D522" s="19" t="inlineStr">
        <is>
          <t>UK</t>
        </is>
      </c>
      <c r="E522" s="20" t="n">
        <v>10400</v>
      </c>
      <c r="F522" s="20" t="n">
        <v>4333.349999999999</v>
      </c>
      <c r="G522" s="20" t="n">
        <v>0</v>
      </c>
      <c r="H522" s="20" t="n">
        <v>0</v>
      </c>
      <c r="I522" s="20" t="n">
        <v>0</v>
      </c>
      <c r="J522" s="20" t="n">
        <v>0</v>
      </c>
      <c r="K522" s="20" t="n">
        <v>0</v>
      </c>
      <c r="L522" s="20" t="n">
        <v>0</v>
      </c>
      <c r="M522" s="20" t="n">
        <v>0</v>
      </c>
      <c r="N522" s="20" t="n">
        <v>0</v>
      </c>
      <c r="O522" s="20" t="n">
        <v>0</v>
      </c>
      <c r="P522" s="20" t="n">
        <v>0</v>
      </c>
      <c r="Q522" s="20" t="n">
        <v>0</v>
      </c>
    </row>
    <row r="523">
      <c r="A523" s="19" t="inlineStr">
        <is>
          <t>Company 245</t>
        </is>
      </c>
      <c r="B523" s="19" t="inlineStr">
        <is>
          <t>Software</t>
        </is>
      </c>
      <c r="C523" s="19" t="inlineStr">
        <is>
          <t>Routing</t>
        </is>
      </c>
      <c r="D523" s="19" t="inlineStr">
        <is>
          <t>UK</t>
        </is>
      </c>
      <c r="E523" s="20" t="n">
        <v>790.0000000000001</v>
      </c>
      <c r="F523" s="20" t="n">
        <v>329.15</v>
      </c>
      <c r="G523" s="20" t="n">
        <v>0</v>
      </c>
      <c r="H523" s="20" t="n">
        <v>0</v>
      </c>
      <c r="I523" s="20" t="n">
        <v>0</v>
      </c>
      <c r="J523" s="20" t="n">
        <v>0</v>
      </c>
      <c r="K523" s="20" t="n">
        <v>0</v>
      </c>
      <c r="L523" s="20" t="n">
        <v>0</v>
      </c>
      <c r="M523" s="20" t="n">
        <v>0</v>
      </c>
      <c r="N523" s="20" t="n">
        <v>0</v>
      </c>
      <c r="O523" s="20" t="n">
        <v>0</v>
      </c>
      <c r="P523" s="20" t="n">
        <v>0</v>
      </c>
      <c r="Q523" s="20" t="n">
        <v>0</v>
      </c>
    </row>
    <row r="524">
      <c r="A524" s="19" t="inlineStr">
        <is>
          <t>Company 246</t>
        </is>
      </c>
      <c r="B524" s="19" t="inlineStr">
        <is>
          <t>Operations</t>
        </is>
      </c>
      <c r="C524" s="19" t="inlineStr">
        <is>
          <t>Shipper Gas</t>
        </is>
      </c>
      <c r="D524" s="19" t="inlineStr">
        <is>
          <t>Italy</t>
        </is>
      </c>
      <c r="E524" s="20" t="n">
        <v>130109.54</v>
      </c>
      <c r="F524" s="20" t="n">
        <v>119778.11</v>
      </c>
      <c r="G524" s="20" t="n">
        <v>132722.21</v>
      </c>
      <c r="H524" s="20" t="n">
        <v>83842.52</v>
      </c>
      <c r="I524" s="20" t="n">
        <v>0</v>
      </c>
      <c r="J524" s="20" t="n">
        <v>0</v>
      </c>
      <c r="K524" s="20" t="n">
        <v>0</v>
      </c>
      <c r="L524" s="20" t="n">
        <v>0</v>
      </c>
      <c r="M524" s="20" t="n">
        <v>0</v>
      </c>
      <c r="N524" s="20" t="n">
        <v>0</v>
      </c>
      <c r="O524" s="20" t="n">
        <v>0</v>
      </c>
      <c r="P524" s="20" t="n">
        <v>0</v>
      </c>
      <c r="Q524" s="20" t="n">
        <v>0</v>
      </c>
    </row>
    <row r="525">
      <c r="A525" s="19" t="inlineStr">
        <is>
          <t>Company 246</t>
        </is>
      </c>
      <c r="B525" s="19" t="inlineStr">
        <is>
          <t>Software</t>
        </is>
      </c>
      <c r="C525" s="19" t="inlineStr">
        <is>
          <t>ENOM</t>
        </is>
      </c>
      <c r="D525" s="19" t="inlineStr">
        <is>
          <t>Italy</t>
        </is>
      </c>
      <c r="E525" s="20" t="n">
        <v>13257.42</v>
      </c>
      <c r="F525" s="20" t="n">
        <v>14207.64</v>
      </c>
      <c r="G525" s="20" t="n">
        <v>8812.799999999997</v>
      </c>
      <c r="H525" s="20" t="n">
        <v>10359.6</v>
      </c>
      <c r="I525" s="20" t="n">
        <v>0</v>
      </c>
      <c r="J525" s="20" t="n">
        <v>0</v>
      </c>
      <c r="K525" s="20" t="n">
        <v>0</v>
      </c>
      <c r="L525" s="20" t="n">
        <v>0</v>
      </c>
      <c r="M525" s="20" t="n">
        <v>0</v>
      </c>
      <c r="N525" s="20" t="n">
        <v>0</v>
      </c>
      <c r="O525" s="20" t="n">
        <v>0</v>
      </c>
      <c r="P525" s="20" t="n">
        <v>0</v>
      </c>
      <c r="Q525" s="20" t="n">
        <v>0</v>
      </c>
    </row>
    <row r="526">
      <c r="A526" s="19" t="inlineStr">
        <is>
          <t>Company 246</t>
        </is>
      </c>
      <c r="B526" s="19" t="inlineStr">
        <is>
          <t>Software</t>
        </is>
      </c>
      <c r="C526" s="19" t="inlineStr">
        <is>
          <t>Routing</t>
        </is>
      </c>
      <c r="D526" s="19" t="inlineStr">
        <is>
          <t>Italy</t>
        </is>
      </c>
      <c r="E526" s="20" t="n">
        <v>17821.08</v>
      </c>
      <c r="F526" s="20" t="n">
        <v>14742</v>
      </c>
      <c r="G526" s="20" t="n">
        <v>14541.12</v>
      </c>
      <c r="H526" s="20" t="n">
        <v>17093.34</v>
      </c>
      <c r="I526" s="20" t="n">
        <v>0</v>
      </c>
      <c r="J526" s="20" t="n">
        <v>0</v>
      </c>
      <c r="K526" s="20" t="n">
        <v>0</v>
      </c>
      <c r="L526" s="20" t="n">
        <v>0</v>
      </c>
      <c r="M526" s="20" t="n">
        <v>0</v>
      </c>
      <c r="N526" s="20" t="n">
        <v>0</v>
      </c>
      <c r="O526" s="20" t="n">
        <v>0</v>
      </c>
      <c r="P526" s="20" t="n">
        <v>0</v>
      </c>
      <c r="Q526" s="20" t="n">
        <v>0</v>
      </c>
    </row>
    <row r="527">
      <c r="A527" s="19" t="inlineStr">
        <is>
          <t>Company 247</t>
        </is>
      </c>
      <c r="B527" s="19" t="inlineStr">
        <is>
          <t>Software</t>
        </is>
      </c>
      <c r="C527" s="19" t="inlineStr">
        <is>
          <t>ENOM</t>
        </is>
      </c>
      <c r="D527" s="19" t="inlineStr">
        <is>
          <t>Italy</t>
        </is>
      </c>
      <c r="E527" s="20" t="n">
        <v>3650.64</v>
      </c>
      <c r="F527" s="20" t="n">
        <v>0</v>
      </c>
      <c r="G527" s="20" t="n">
        <v>0</v>
      </c>
      <c r="H527" s="20" t="n">
        <v>0</v>
      </c>
      <c r="I527" s="20" t="n">
        <v>0</v>
      </c>
      <c r="J527" s="20" t="n">
        <v>0</v>
      </c>
      <c r="K527" s="20" t="n">
        <v>0</v>
      </c>
      <c r="L527" s="20" t="n">
        <v>0</v>
      </c>
      <c r="M527" s="20" t="n">
        <v>0</v>
      </c>
      <c r="N527" s="20" t="n">
        <v>0</v>
      </c>
      <c r="O527" s="20" t="n">
        <v>0</v>
      </c>
      <c r="P527" s="20" t="n">
        <v>0</v>
      </c>
      <c r="Q527" s="20" t="n">
        <v>0</v>
      </c>
    </row>
    <row r="528">
      <c r="A528" s="19" t="inlineStr">
        <is>
          <t>Company 248</t>
        </is>
      </c>
      <c r="B528" s="19" t="inlineStr">
        <is>
          <t>Software</t>
        </is>
      </c>
      <c r="C528" s="19" t="inlineStr">
        <is>
          <t>ENOM</t>
        </is>
      </c>
      <c r="D528" s="19" t="inlineStr">
        <is>
          <t>Germany</t>
        </is>
      </c>
      <c r="E528" s="20" t="n">
        <v>0</v>
      </c>
      <c r="F528" s="20" t="n">
        <v>0</v>
      </c>
      <c r="G528" s="20" t="n">
        <v>1490.82</v>
      </c>
      <c r="H528" s="20" t="n">
        <v>0</v>
      </c>
      <c r="I528" s="20" t="n">
        <v>0</v>
      </c>
      <c r="J528" s="20" t="n">
        <v>0</v>
      </c>
      <c r="K528" s="20" t="n">
        <v>0</v>
      </c>
      <c r="L528" s="20" t="n">
        <v>0</v>
      </c>
      <c r="M528" s="20" t="n">
        <v>0</v>
      </c>
      <c r="N528" s="20" t="n">
        <v>0</v>
      </c>
      <c r="O528" s="20" t="n">
        <v>0</v>
      </c>
      <c r="P528" s="20" t="n">
        <v>0</v>
      </c>
      <c r="Q528" s="20" t="n">
        <v>0</v>
      </c>
    </row>
    <row r="529">
      <c r="A529" s="19" t="inlineStr">
        <is>
          <t>Company 249</t>
        </is>
      </c>
      <c r="B529" s="19" t="inlineStr">
        <is>
          <t>Power</t>
        </is>
      </c>
      <c r="C529" s="19" t="inlineStr">
        <is>
          <t>Market Power</t>
        </is>
      </c>
      <c r="D529" s="19" t="inlineStr">
        <is>
          <t>Germany</t>
        </is>
      </c>
      <c r="E529" s="20" t="n">
        <v>47715</v>
      </c>
      <c r="F529" s="20" t="n">
        <v>53520</v>
      </c>
      <c r="G529" s="20" t="n">
        <v>53520</v>
      </c>
      <c r="H529" s="20" t="n">
        <v>4460</v>
      </c>
      <c r="I529" s="20" t="n">
        <v>0</v>
      </c>
      <c r="J529" s="20" t="n">
        <v>0</v>
      </c>
      <c r="K529" s="20" t="n">
        <v>0</v>
      </c>
      <c r="L529" s="20" t="n">
        <v>0</v>
      </c>
      <c r="M529" s="20" t="n">
        <v>0</v>
      </c>
      <c r="N529" s="20" t="n">
        <v>0</v>
      </c>
      <c r="O529" s="20" t="n">
        <v>0</v>
      </c>
      <c r="P529" s="20" t="n">
        <v>0</v>
      </c>
      <c r="Q529" s="20" t="n">
        <v>0</v>
      </c>
    </row>
    <row r="530">
      <c r="A530" s="19" t="inlineStr">
        <is>
          <t>Company 250</t>
        </is>
      </c>
      <c r="B530" s="19" t="inlineStr">
        <is>
          <t>Software</t>
        </is>
      </c>
      <c r="C530" s="19" t="inlineStr">
        <is>
          <t>Chorus</t>
        </is>
      </c>
      <c r="D530" s="19" t="inlineStr">
        <is>
          <t>Austria</t>
        </is>
      </c>
      <c r="E530" s="20" t="n">
        <v>0</v>
      </c>
      <c r="F530" s="20" t="n">
        <v>0</v>
      </c>
      <c r="G530" s="20" t="n">
        <v>0</v>
      </c>
      <c r="H530" s="20" t="n">
        <v>0</v>
      </c>
      <c r="I530" s="20" t="n">
        <v>0</v>
      </c>
      <c r="J530" s="20" t="n">
        <v>0</v>
      </c>
      <c r="K530" s="20" t="n">
        <v>0</v>
      </c>
      <c r="L530" s="20" t="n">
        <v>0</v>
      </c>
      <c r="M530" s="20" t="n">
        <v>4350</v>
      </c>
      <c r="N530" s="20" t="n">
        <v>4350</v>
      </c>
      <c r="O530" s="20" t="n">
        <v>0</v>
      </c>
      <c r="P530" s="20" t="n">
        <v>0</v>
      </c>
      <c r="Q530" s="20" t="n">
        <v>0</v>
      </c>
    </row>
    <row r="531">
      <c r="A531" s="19" t="inlineStr">
        <is>
          <t>Company 252</t>
        </is>
      </c>
      <c r="B531" s="19" t="inlineStr">
        <is>
          <t>Operations</t>
        </is>
      </c>
      <c r="C531" s="19" t="inlineStr">
        <is>
          <t>Shipper Gas</t>
        </is>
      </c>
      <c r="D531" s="19" t="inlineStr">
        <is>
          <t>UK</t>
        </is>
      </c>
      <c r="E531" s="20" t="n">
        <v>0</v>
      </c>
      <c r="F531" s="20" t="n">
        <v>122550</v>
      </c>
      <c r="G531" s="20" t="n">
        <v>42200</v>
      </c>
      <c r="H531" s="20" t="n">
        <v>0</v>
      </c>
      <c r="I531" s="20" t="n">
        <v>0</v>
      </c>
      <c r="J531" s="20" t="n">
        <v>0</v>
      </c>
      <c r="K531" s="20" t="n">
        <v>0</v>
      </c>
      <c r="L531" s="20" t="n">
        <v>0</v>
      </c>
      <c r="M531" s="20" t="n">
        <v>0</v>
      </c>
      <c r="N531" s="20" t="n">
        <v>0</v>
      </c>
      <c r="O531" s="20" t="n">
        <v>0</v>
      </c>
      <c r="P531" s="20" t="n">
        <v>0</v>
      </c>
      <c r="Q531" s="20" t="n">
        <v>0</v>
      </c>
    </row>
    <row r="532">
      <c r="A532" s="19" t="inlineStr">
        <is>
          <t>Company 253</t>
        </is>
      </c>
      <c r="B532" s="19" t="inlineStr">
        <is>
          <t>Operations</t>
        </is>
      </c>
      <c r="C532" s="19" t="inlineStr">
        <is>
          <t>Shipper Gas</t>
        </is>
      </c>
      <c r="D532" s="19" t="inlineStr">
        <is>
          <t>UK</t>
        </is>
      </c>
      <c r="E532" s="20" t="n">
        <v>114000</v>
      </c>
      <c r="F532" s="20" t="n">
        <v>114000</v>
      </c>
      <c r="G532" s="20" t="n">
        <v>114000</v>
      </c>
      <c r="H532" s="20" t="n">
        <v>114000</v>
      </c>
      <c r="I532" s="20" t="n">
        <v>114000</v>
      </c>
      <c r="J532" s="20" t="n">
        <v>114000</v>
      </c>
      <c r="K532" s="20" t="n">
        <v>114000</v>
      </c>
      <c r="L532" s="20" t="n">
        <v>114000</v>
      </c>
      <c r="M532" s="20" t="n">
        <v>0</v>
      </c>
      <c r="N532" s="20" t="n">
        <v>0</v>
      </c>
      <c r="O532" s="20" t="n">
        <v>0</v>
      </c>
      <c r="P532" s="20" t="n">
        <v>0</v>
      </c>
      <c r="Q532" s="20" t="n">
        <v>0</v>
      </c>
    </row>
    <row r="533">
      <c r="A533" s="19" t="inlineStr">
        <is>
          <t>Company 254</t>
        </is>
      </c>
      <c r="B533" s="19" t="inlineStr">
        <is>
          <t>Operations</t>
        </is>
      </c>
      <c r="C533" s="19" t="inlineStr">
        <is>
          <t>Shipper Gas</t>
        </is>
      </c>
      <c r="D533" s="19" t="inlineStr">
        <is>
          <t>UK</t>
        </is>
      </c>
      <c r="E533" s="20" t="n">
        <v>11380.65</v>
      </c>
      <c r="F533" s="20" t="n">
        <v>50400</v>
      </c>
      <c r="G533" s="20" t="n">
        <v>50400</v>
      </c>
      <c r="H533" s="20" t="n">
        <v>50400</v>
      </c>
      <c r="I533" s="20" t="n">
        <v>50400</v>
      </c>
      <c r="J533" s="20" t="n">
        <v>0</v>
      </c>
      <c r="K533" s="20" t="n">
        <v>0</v>
      </c>
      <c r="L533" s="20" t="n">
        <v>0</v>
      </c>
      <c r="M533" s="20" t="n">
        <v>0</v>
      </c>
      <c r="N533" s="20" t="n">
        <v>0</v>
      </c>
      <c r="O533" s="20" t="n">
        <v>0</v>
      </c>
      <c r="P533" s="20" t="n">
        <v>0</v>
      </c>
      <c r="Q533" s="20" t="n">
        <v>0</v>
      </c>
    </row>
    <row r="534">
      <c r="A534" s="19" t="inlineStr">
        <is>
          <t>Company 255</t>
        </is>
      </c>
      <c r="B534" s="19" t="inlineStr">
        <is>
          <t>Operations</t>
        </is>
      </c>
      <c r="C534" s="19" t="inlineStr">
        <is>
          <t>Shipper Gas</t>
        </is>
      </c>
      <c r="D534" s="19" t="inlineStr">
        <is>
          <t>UK</t>
        </is>
      </c>
      <c r="E534" s="20" t="n">
        <v>0</v>
      </c>
      <c r="F534" s="20" t="n">
        <v>0</v>
      </c>
      <c r="G534" s="20" t="n">
        <v>0</v>
      </c>
      <c r="H534" s="20" t="n">
        <v>0</v>
      </c>
      <c r="I534" s="20" t="n">
        <v>0</v>
      </c>
      <c r="J534" s="20" t="n">
        <v>30000</v>
      </c>
      <c r="K534" s="20" t="n">
        <v>42750</v>
      </c>
      <c r="L534" s="20" t="n">
        <v>42000</v>
      </c>
      <c r="M534" s="20" t="n">
        <v>42000</v>
      </c>
      <c r="N534" s="20" t="n">
        <v>0</v>
      </c>
      <c r="O534" s="20" t="n">
        <v>0</v>
      </c>
      <c r="P534" s="20" t="n">
        <v>0</v>
      </c>
      <c r="Q534" s="20" t="n">
        <v>0</v>
      </c>
    </row>
    <row r="535">
      <c r="A535" s="19" t="inlineStr">
        <is>
          <t>Company 256</t>
        </is>
      </c>
      <c r="B535" s="19" t="inlineStr">
        <is>
          <t>Operations</t>
        </is>
      </c>
      <c r="C535" s="19" t="inlineStr">
        <is>
          <t>Operations Other</t>
        </is>
      </c>
      <c r="D535" s="19" t="inlineStr">
        <is>
          <t>Switzerland</t>
        </is>
      </c>
      <c r="E535" s="20" t="n">
        <v>111.32</v>
      </c>
      <c r="F535" s="20" t="n">
        <v>0</v>
      </c>
      <c r="G535" s="20" t="n">
        <v>0</v>
      </c>
      <c r="H535" s="20" t="n">
        <v>0</v>
      </c>
      <c r="I535" s="20" t="n">
        <v>0</v>
      </c>
      <c r="J535" s="20" t="n">
        <v>0</v>
      </c>
      <c r="K535" s="20" t="n">
        <v>0</v>
      </c>
      <c r="L535" s="20" t="n">
        <v>0</v>
      </c>
      <c r="M535" s="20" t="n">
        <v>0</v>
      </c>
      <c r="N535" s="20" t="n">
        <v>0</v>
      </c>
      <c r="O535" s="20" t="n">
        <v>0</v>
      </c>
      <c r="P535" s="20" t="n">
        <v>0</v>
      </c>
      <c r="Q535" s="20" t="n">
        <v>0</v>
      </c>
    </row>
    <row r="536">
      <c r="A536" s="19" t="inlineStr">
        <is>
          <t>Company 256</t>
        </is>
      </c>
      <c r="B536" s="19" t="inlineStr">
        <is>
          <t>Software</t>
        </is>
      </c>
      <c r="C536" s="19" t="inlineStr">
        <is>
          <t>IT Other</t>
        </is>
      </c>
      <c r="D536" s="19" t="inlineStr">
        <is>
          <t>Switzerland</t>
        </is>
      </c>
      <c r="E536" s="20" t="n">
        <v>0</v>
      </c>
      <c r="F536" s="20" t="n">
        <v>0</v>
      </c>
      <c r="G536" s="20" t="n">
        <v>0</v>
      </c>
      <c r="H536" s="20" t="n">
        <v>4224.45</v>
      </c>
      <c r="I536" s="20" t="n">
        <v>47322.77999999998</v>
      </c>
      <c r="J536" s="20" t="n">
        <v>19441.79</v>
      </c>
      <c r="K536" s="20" t="n">
        <v>10966.28</v>
      </c>
      <c r="L536" s="20" t="n">
        <v>10863.64</v>
      </c>
      <c r="M536" s="20" t="n">
        <v>11377.61</v>
      </c>
      <c r="N536" s="20" t="n">
        <v>0</v>
      </c>
      <c r="O536" s="20" t="n">
        <v>0</v>
      </c>
      <c r="P536" s="20" t="n">
        <v>0</v>
      </c>
      <c r="Q536" s="20" t="n">
        <v>0</v>
      </c>
    </row>
    <row r="537">
      <c r="A537" s="19" t="inlineStr">
        <is>
          <t>Company 257</t>
        </is>
      </c>
      <c r="B537" s="19" t="inlineStr">
        <is>
          <t>Software</t>
        </is>
      </c>
      <c r="C537" s="19" t="inlineStr">
        <is>
          <t>ENOM</t>
        </is>
      </c>
      <c r="D537" s="19" t="inlineStr">
        <is>
          <t>Belgium</t>
        </is>
      </c>
      <c r="E537" s="20" t="n">
        <v>0</v>
      </c>
      <c r="F537" s="20" t="n">
        <v>2904</v>
      </c>
      <c r="G537" s="20" t="n">
        <v>4456</v>
      </c>
      <c r="H537" s="20" t="n">
        <v>0</v>
      </c>
      <c r="I537" s="20" t="n">
        <v>0</v>
      </c>
      <c r="J537" s="20" t="n">
        <v>0</v>
      </c>
      <c r="K537" s="20" t="n">
        <v>0</v>
      </c>
      <c r="L537" s="20" t="n">
        <v>0</v>
      </c>
      <c r="M537" s="20" t="n">
        <v>0</v>
      </c>
      <c r="N537" s="20" t="n">
        <v>0</v>
      </c>
      <c r="O537" s="20" t="n">
        <v>0</v>
      </c>
      <c r="P537" s="20" t="n">
        <v>0</v>
      </c>
      <c r="Q537" s="20" t="n">
        <v>0</v>
      </c>
    </row>
    <row r="538">
      <c r="A538" s="19" t="inlineStr">
        <is>
          <t>Company 257</t>
        </is>
      </c>
      <c r="B538" s="19" t="inlineStr">
        <is>
          <t>Software</t>
        </is>
      </c>
      <c r="C538" s="19" t="inlineStr">
        <is>
          <t>Routing</t>
        </is>
      </c>
      <c r="D538" s="19" t="inlineStr">
        <is>
          <t>Belgium</t>
        </is>
      </c>
      <c r="E538" s="20" t="n">
        <v>0</v>
      </c>
      <c r="F538" s="20" t="n">
        <v>484</v>
      </c>
      <c r="G538" s="20" t="n">
        <v>743</v>
      </c>
      <c r="H538" s="20" t="n">
        <v>0</v>
      </c>
      <c r="I538" s="20" t="n">
        <v>0</v>
      </c>
      <c r="J538" s="20" t="n">
        <v>0</v>
      </c>
      <c r="K538" s="20" t="n">
        <v>0</v>
      </c>
      <c r="L538" s="20" t="n">
        <v>0</v>
      </c>
      <c r="M538" s="20" t="n">
        <v>0</v>
      </c>
      <c r="N538" s="20" t="n">
        <v>0</v>
      </c>
      <c r="O538" s="20" t="n">
        <v>0</v>
      </c>
      <c r="P538" s="20" t="n">
        <v>0</v>
      </c>
      <c r="Q538" s="20" t="n">
        <v>0</v>
      </c>
    </row>
    <row r="539">
      <c r="A539" s="19" t="inlineStr">
        <is>
          <t>Company 257</t>
        </is>
      </c>
      <c r="B539" s="19" t="inlineStr">
        <is>
          <t>Software</t>
        </is>
      </c>
      <c r="C539" s="19" t="inlineStr">
        <is>
          <t>Fluxys Software</t>
        </is>
      </c>
      <c r="D539" s="19" t="inlineStr">
        <is>
          <t>Belgium</t>
        </is>
      </c>
      <c r="E539" s="20" t="n">
        <v>0</v>
      </c>
      <c r="F539" s="20" t="n">
        <v>66565.50999999999</v>
      </c>
      <c r="G539" s="20" t="n">
        <v>2902.24</v>
      </c>
      <c r="H539" s="20" t="n">
        <v>160848.99</v>
      </c>
      <c r="I539" s="20" t="n">
        <v>0</v>
      </c>
      <c r="J539" s="20" t="n">
        <v>0</v>
      </c>
      <c r="K539" s="20" t="n">
        <v>0</v>
      </c>
      <c r="L539" s="20" t="n">
        <v>0</v>
      </c>
      <c r="M539" s="20" t="n">
        <v>0</v>
      </c>
      <c r="N539" s="20" t="n">
        <v>0</v>
      </c>
      <c r="O539" s="20" t="n">
        <v>0</v>
      </c>
      <c r="P539" s="20" t="n">
        <v>0</v>
      </c>
      <c r="Q539" s="20" t="n">
        <v>0</v>
      </c>
    </row>
    <row r="540">
      <c r="A540" s="19" t="inlineStr">
        <is>
          <t>Company 258</t>
        </is>
      </c>
      <c r="B540" s="19" t="inlineStr">
        <is>
          <t>Software</t>
        </is>
      </c>
      <c r="C540" s="19" t="inlineStr">
        <is>
          <t>ENOM</t>
        </is>
      </c>
      <c r="D540" s="19" t="inlineStr">
        <is>
          <t>Switzerland</t>
        </is>
      </c>
      <c r="E540" s="20" t="n">
        <v>16414</v>
      </c>
      <c r="F540" s="20" t="n">
        <v>14572</v>
      </c>
      <c r="G540" s="20" t="n">
        <v>16978.86</v>
      </c>
      <c r="H540" s="20" t="n">
        <v>19267.41</v>
      </c>
      <c r="I540" s="20" t="n">
        <v>-165.89</v>
      </c>
      <c r="J540" s="20" t="n">
        <v>0</v>
      </c>
      <c r="K540" s="20" t="n">
        <v>0</v>
      </c>
      <c r="L540" s="20" t="n">
        <v>0</v>
      </c>
      <c r="M540" s="20" t="n">
        <v>0</v>
      </c>
      <c r="N540" s="20" t="n">
        <v>0</v>
      </c>
      <c r="O540" s="20" t="n">
        <v>0</v>
      </c>
      <c r="P540" s="20" t="n">
        <v>0</v>
      </c>
      <c r="Q540" s="20" t="n">
        <v>0</v>
      </c>
    </row>
    <row r="541">
      <c r="A541" s="19" t="inlineStr">
        <is>
          <t>Company 258</t>
        </is>
      </c>
      <c r="B541" s="19" t="inlineStr">
        <is>
          <t>Software</t>
        </is>
      </c>
      <c r="C541" s="19" t="inlineStr">
        <is>
          <t>Routing</t>
        </is>
      </c>
      <c r="D541" s="19" t="inlineStr">
        <is>
          <t>Switzerland</t>
        </is>
      </c>
      <c r="E541" s="20" t="n">
        <v>4431.78</v>
      </c>
      <c r="F541" s="20" t="n">
        <v>3934.44</v>
      </c>
      <c r="G541" s="20" t="n">
        <v>4584.66</v>
      </c>
      <c r="H541" s="20" t="n">
        <v>5203.42</v>
      </c>
      <c r="I541" s="20" t="n">
        <v>-44.8</v>
      </c>
      <c r="J541" s="20" t="n">
        <v>0</v>
      </c>
      <c r="K541" s="20" t="n">
        <v>0</v>
      </c>
      <c r="L541" s="20" t="n">
        <v>0</v>
      </c>
      <c r="M541" s="20" t="n">
        <v>0</v>
      </c>
      <c r="N541" s="20" t="n">
        <v>0</v>
      </c>
      <c r="O541" s="20" t="n">
        <v>0</v>
      </c>
      <c r="P541" s="20" t="n">
        <v>0</v>
      </c>
      <c r="Q541" s="20" t="n">
        <v>0</v>
      </c>
    </row>
    <row r="542">
      <c r="A542" s="19" t="inlineStr">
        <is>
          <t>Company 259</t>
        </is>
      </c>
      <c r="B542" s="19" t="inlineStr">
        <is>
          <t>Operations</t>
        </is>
      </c>
      <c r="C542" s="19" t="inlineStr">
        <is>
          <t>Shipper Gas</t>
        </is>
      </c>
      <c r="D542" s="19" t="inlineStr">
        <is>
          <t>Germany</t>
        </is>
      </c>
      <c r="E542" s="20" t="n">
        <v>10309</v>
      </c>
      <c r="F542" s="20" t="n">
        <v>0</v>
      </c>
      <c r="G542" s="20" t="n">
        <v>0</v>
      </c>
      <c r="H542" s="20" t="n">
        <v>0</v>
      </c>
      <c r="I542" s="20" t="n">
        <v>0</v>
      </c>
      <c r="J542" s="20" t="n">
        <v>0</v>
      </c>
      <c r="K542" s="20" t="n">
        <v>0</v>
      </c>
      <c r="L542" s="20" t="n">
        <v>0</v>
      </c>
      <c r="M542" s="20" t="n">
        <v>0</v>
      </c>
      <c r="N542" s="20" t="n">
        <v>0</v>
      </c>
      <c r="O542" s="20" t="n">
        <v>0</v>
      </c>
      <c r="P542" s="20" t="n">
        <v>0</v>
      </c>
      <c r="Q542" s="20" t="n">
        <v>0</v>
      </c>
    </row>
    <row r="543">
      <c r="A543" s="19" t="inlineStr">
        <is>
          <t>Company 260</t>
        </is>
      </c>
      <c r="B543" s="19" t="inlineStr">
        <is>
          <t>Operations</t>
        </is>
      </c>
      <c r="C543" s="19" t="inlineStr">
        <is>
          <t>Operations Other</t>
        </is>
      </c>
      <c r="D543" s="19" t="inlineStr">
        <is>
          <t>Germany</t>
        </is>
      </c>
      <c r="E543" s="20" t="n">
        <v>50.4</v>
      </c>
      <c r="F543" s="20" t="n">
        <v>0</v>
      </c>
      <c r="G543" s="20" t="n">
        <v>0</v>
      </c>
      <c r="H543" s="20" t="n">
        <v>0</v>
      </c>
      <c r="I543" s="20" t="n">
        <v>0</v>
      </c>
      <c r="J543" s="20" t="n">
        <v>0</v>
      </c>
      <c r="K543" s="20" t="n">
        <v>0</v>
      </c>
      <c r="L543" s="20" t="n">
        <v>0</v>
      </c>
      <c r="M543" s="20" t="n">
        <v>0</v>
      </c>
      <c r="N543" s="20" t="n">
        <v>0</v>
      </c>
      <c r="O543" s="20" t="n">
        <v>0</v>
      </c>
      <c r="P543" s="20" t="n">
        <v>0</v>
      </c>
      <c r="Q543" s="20" t="n">
        <v>0</v>
      </c>
    </row>
    <row r="544">
      <c r="A544" s="19" t="inlineStr">
        <is>
          <t>Company 261</t>
        </is>
      </c>
      <c r="B544" s="19" t="inlineStr">
        <is>
          <t>Operations</t>
        </is>
      </c>
      <c r="C544" s="19" t="inlineStr">
        <is>
          <t>Operations Other</t>
        </is>
      </c>
      <c r="D544" s="19" t="inlineStr">
        <is>
          <t>UK</t>
        </is>
      </c>
      <c r="E544" s="20" t="n">
        <v>0</v>
      </c>
      <c r="F544" s="20" t="n">
        <v>0</v>
      </c>
      <c r="G544" s="20" t="n">
        <v>0</v>
      </c>
      <c r="H544" s="20" t="n">
        <v>0</v>
      </c>
      <c r="I544" s="20" t="n">
        <v>0</v>
      </c>
      <c r="J544" s="20" t="n">
        <v>0</v>
      </c>
      <c r="K544" s="20" t="n">
        <v>0</v>
      </c>
      <c r="L544" s="20" t="n">
        <v>0</v>
      </c>
      <c r="M544" s="20" t="n">
        <v>0</v>
      </c>
      <c r="N544" s="20" t="n">
        <v>0</v>
      </c>
      <c r="O544" s="20" t="n">
        <v>25209.59</v>
      </c>
      <c r="P544" s="20" t="n">
        <v>26437.52</v>
      </c>
      <c r="Q544" s="20" t="n">
        <v>41520</v>
      </c>
    </row>
    <row r="545">
      <c r="A545" s="19" t="inlineStr">
        <is>
          <t>Company 261</t>
        </is>
      </c>
      <c r="B545" s="19" t="inlineStr">
        <is>
          <t>Operations</t>
        </is>
      </c>
      <c r="C545" s="19" t="inlineStr">
        <is>
          <t>Shipper Gas</t>
        </is>
      </c>
      <c r="D545" s="19" t="inlineStr">
        <is>
          <t>UK</t>
        </is>
      </c>
      <c r="E545" s="20" t="n">
        <v>0</v>
      </c>
      <c r="F545" s="20" t="n">
        <v>0</v>
      </c>
      <c r="G545" s="20" t="n">
        <v>0</v>
      </c>
      <c r="H545" s="20" t="n">
        <v>0</v>
      </c>
      <c r="I545" s="20" t="n">
        <v>0</v>
      </c>
      <c r="J545" s="20" t="n">
        <v>0</v>
      </c>
      <c r="K545" s="20" t="n">
        <v>0</v>
      </c>
      <c r="L545" s="20" t="n">
        <v>0</v>
      </c>
      <c r="M545" s="20" t="n">
        <v>0</v>
      </c>
      <c r="N545" s="20" t="n">
        <v>0</v>
      </c>
      <c r="O545" s="20" t="n">
        <v>0</v>
      </c>
      <c r="P545" s="20" t="n">
        <v>11779.16</v>
      </c>
      <c r="Q545" s="20" t="n">
        <v>0</v>
      </c>
    </row>
    <row r="546">
      <c r="A546" s="19" t="inlineStr">
        <is>
          <t>Company 261</t>
        </is>
      </c>
      <c r="B546" s="19" t="inlineStr">
        <is>
          <t>CVA</t>
        </is>
      </c>
      <c r="C546" s="19" t="inlineStr">
        <is>
          <t>CVA</t>
        </is>
      </c>
      <c r="D546" s="19" t="inlineStr">
        <is>
          <t>UK</t>
        </is>
      </c>
      <c r="E546" s="20" t="n">
        <v>0</v>
      </c>
      <c r="F546" s="20" t="n">
        <v>0</v>
      </c>
      <c r="G546" s="20" t="n">
        <v>0</v>
      </c>
      <c r="H546" s="20" t="n">
        <v>0</v>
      </c>
      <c r="I546" s="20" t="n">
        <v>0</v>
      </c>
      <c r="J546" s="20" t="n">
        <v>0</v>
      </c>
      <c r="K546" s="20" t="n">
        <v>0</v>
      </c>
      <c r="L546" s="20" t="n">
        <v>0</v>
      </c>
      <c r="M546" s="20" t="n">
        <v>0</v>
      </c>
      <c r="N546" s="20" t="n">
        <v>0</v>
      </c>
      <c r="O546" s="20" t="n">
        <v>0</v>
      </c>
      <c r="P546" s="20" t="n">
        <v>1630.82</v>
      </c>
      <c r="Q546" s="20" t="n">
        <v>0</v>
      </c>
    </row>
    <row r="547">
      <c r="A547" s="19" t="inlineStr">
        <is>
          <t>Company 262</t>
        </is>
      </c>
      <c r="B547" s="19" t="inlineStr">
        <is>
          <t>Operations</t>
        </is>
      </c>
      <c r="C547" s="19" t="inlineStr">
        <is>
          <t>Shipper Gas</t>
        </is>
      </c>
      <c r="D547" s="19" t="inlineStr">
        <is>
          <t>Hungary</t>
        </is>
      </c>
      <c r="E547" s="20" t="n">
        <v>0</v>
      </c>
      <c r="F547" s="20" t="n">
        <v>0</v>
      </c>
      <c r="G547" s="20" t="n">
        <v>936.41</v>
      </c>
      <c r="H547" s="20" t="n">
        <v>0</v>
      </c>
      <c r="I547" s="20" t="n">
        <v>0</v>
      </c>
      <c r="J547" s="20" t="n">
        <v>0</v>
      </c>
      <c r="K547" s="20" t="n">
        <v>0</v>
      </c>
      <c r="L547" s="20" t="n">
        <v>0</v>
      </c>
      <c r="M547" s="20" t="n">
        <v>0</v>
      </c>
      <c r="N547" s="20" t="n">
        <v>0</v>
      </c>
      <c r="O547" s="20" t="n">
        <v>0</v>
      </c>
      <c r="P547" s="20" t="n">
        <v>0</v>
      </c>
      <c r="Q547" s="20" t="n">
        <v>0</v>
      </c>
    </row>
    <row r="548">
      <c r="A548" s="19" t="inlineStr">
        <is>
          <t>Company 262</t>
        </is>
      </c>
      <c r="B548" s="19" t="inlineStr">
        <is>
          <t>Software</t>
        </is>
      </c>
      <c r="C548" s="19" t="inlineStr">
        <is>
          <t>Routing</t>
        </is>
      </c>
      <c r="D548" s="19" t="inlineStr">
        <is>
          <t>Hungary</t>
        </is>
      </c>
      <c r="E548" s="20" t="n">
        <v>0</v>
      </c>
      <c r="F548" s="20" t="n">
        <v>0</v>
      </c>
      <c r="G548" s="20" t="n">
        <v>0</v>
      </c>
      <c r="H548" s="20" t="n">
        <v>0</v>
      </c>
      <c r="I548" s="20" t="n">
        <v>528.65</v>
      </c>
      <c r="J548" s="20" t="n">
        <v>779.0300000000002</v>
      </c>
      <c r="K548" s="20" t="n">
        <v>257.36</v>
      </c>
      <c r="L548" s="20" t="n">
        <v>0</v>
      </c>
      <c r="M548" s="20" t="n">
        <v>0</v>
      </c>
      <c r="N548" s="20" t="n">
        <v>0</v>
      </c>
      <c r="O548" s="20" t="n">
        <v>0</v>
      </c>
      <c r="P548" s="20" t="n">
        <v>0</v>
      </c>
      <c r="Q548" s="20" t="n">
        <v>0</v>
      </c>
    </row>
    <row r="549">
      <c r="A549" s="19" t="inlineStr">
        <is>
          <t>Company 263</t>
        </is>
      </c>
      <c r="B549" s="19" t="inlineStr">
        <is>
          <t>Operations</t>
        </is>
      </c>
      <c r="C549" s="19" t="inlineStr">
        <is>
          <t>Demand Text</t>
        </is>
      </c>
      <c r="D549" s="19" t="inlineStr">
        <is>
          <t>UK</t>
        </is>
      </c>
      <c r="E549" s="20" t="n">
        <v>0</v>
      </c>
      <c r="F549" s="20" t="n">
        <v>1500</v>
      </c>
      <c r="G549" s="20" t="n">
        <v>1500</v>
      </c>
      <c r="H549" s="20" t="n">
        <v>0</v>
      </c>
      <c r="I549" s="20" t="n">
        <v>0</v>
      </c>
      <c r="J549" s="20" t="n">
        <v>0</v>
      </c>
      <c r="K549" s="20" t="n">
        <v>0</v>
      </c>
      <c r="L549" s="20" t="n">
        <v>0</v>
      </c>
      <c r="M549" s="20" t="n">
        <v>0</v>
      </c>
      <c r="N549" s="20" t="n">
        <v>0</v>
      </c>
      <c r="O549" s="20" t="n">
        <v>0</v>
      </c>
      <c r="P549" s="20" t="n">
        <v>0</v>
      </c>
      <c r="Q549" s="20" t="n">
        <v>0</v>
      </c>
    </row>
    <row r="550">
      <c r="A550" s="19" t="inlineStr">
        <is>
          <t>Company 263</t>
        </is>
      </c>
      <c r="B550" s="19" t="inlineStr">
        <is>
          <t>Software</t>
        </is>
      </c>
      <c r="C550" s="19" t="inlineStr">
        <is>
          <t>ENOM</t>
        </is>
      </c>
      <c r="D550" s="19" t="inlineStr">
        <is>
          <t>UK</t>
        </is>
      </c>
      <c r="E550" s="20" t="n">
        <v>4333.309999999999</v>
      </c>
      <c r="F550" s="20" t="n">
        <v>6066.69</v>
      </c>
      <c r="G550" s="20" t="n">
        <v>0</v>
      </c>
      <c r="H550" s="20" t="n">
        <v>0</v>
      </c>
      <c r="I550" s="20" t="n">
        <v>0</v>
      </c>
      <c r="J550" s="20" t="n">
        <v>0</v>
      </c>
      <c r="K550" s="20" t="n">
        <v>0</v>
      </c>
      <c r="L550" s="20" t="n">
        <v>0</v>
      </c>
      <c r="M550" s="20" t="n">
        <v>0</v>
      </c>
      <c r="N550" s="20" t="n">
        <v>0</v>
      </c>
      <c r="O550" s="20" t="n">
        <v>0</v>
      </c>
      <c r="P550" s="20" t="n">
        <v>0</v>
      </c>
      <c r="Q550" s="20" t="n">
        <v>0</v>
      </c>
    </row>
    <row r="551">
      <c r="A551" s="19" t="inlineStr">
        <is>
          <t>Company 263</t>
        </is>
      </c>
      <c r="B551" s="19" t="inlineStr">
        <is>
          <t>Software</t>
        </is>
      </c>
      <c r="C551" s="19" t="inlineStr">
        <is>
          <t>ENOM+</t>
        </is>
      </c>
      <c r="D551" s="19" t="inlineStr">
        <is>
          <t>UK</t>
        </is>
      </c>
      <c r="E551" s="20" t="n">
        <v>10208.31</v>
      </c>
      <c r="F551" s="20" t="n">
        <v>0</v>
      </c>
      <c r="G551" s="20" t="n">
        <v>0</v>
      </c>
      <c r="H551" s="20" t="n">
        <v>0</v>
      </c>
      <c r="I551" s="20" t="n">
        <v>0</v>
      </c>
      <c r="J551" s="20" t="n">
        <v>0</v>
      </c>
      <c r="K551" s="20" t="n">
        <v>0</v>
      </c>
      <c r="L551" s="20" t="n">
        <v>0</v>
      </c>
      <c r="M551" s="20" t="n">
        <v>0</v>
      </c>
      <c r="N551" s="20" t="n">
        <v>0</v>
      </c>
      <c r="O551" s="20" t="n">
        <v>0</v>
      </c>
      <c r="P551" s="20" t="n">
        <v>0</v>
      </c>
      <c r="Q551" s="20" t="n">
        <v>0</v>
      </c>
    </row>
    <row r="552">
      <c r="A552" s="19" t="inlineStr">
        <is>
          <t>Company 263</t>
        </is>
      </c>
      <c r="B552" s="19" t="inlineStr">
        <is>
          <t>Software</t>
        </is>
      </c>
      <c r="C552" s="19" t="inlineStr">
        <is>
          <t>Routing</t>
        </is>
      </c>
      <c r="D552" s="19" t="inlineStr">
        <is>
          <t>UK</t>
        </is>
      </c>
      <c r="E552" s="20" t="n">
        <v>4820.81</v>
      </c>
      <c r="F552" s="20" t="n">
        <v>3686.69</v>
      </c>
      <c r="G552" s="20" t="n">
        <v>0</v>
      </c>
      <c r="H552" s="20" t="n">
        <v>0</v>
      </c>
      <c r="I552" s="20" t="n">
        <v>0</v>
      </c>
      <c r="J552" s="20" t="n">
        <v>0</v>
      </c>
      <c r="K552" s="20" t="n">
        <v>0</v>
      </c>
      <c r="L552" s="20" t="n">
        <v>0</v>
      </c>
      <c r="M552" s="20" t="n">
        <v>0</v>
      </c>
      <c r="N552" s="20" t="n">
        <v>0</v>
      </c>
      <c r="O552" s="20" t="n">
        <v>0</v>
      </c>
      <c r="P552" s="20" t="n">
        <v>0</v>
      </c>
      <c r="Q552" s="20" t="n">
        <v>0</v>
      </c>
    </row>
    <row r="553">
      <c r="A553" s="19" t="inlineStr">
        <is>
          <t>Company 263</t>
        </is>
      </c>
      <c r="B553" s="19" t="inlineStr">
        <is>
          <t>Operations</t>
        </is>
      </c>
      <c r="C553" s="19" t="inlineStr">
        <is>
          <t>Shipper Gas</t>
        </is>
      </c>
      <c r="D553" s="19" t="inlineStr">
        <is>
          <t>UK</t>
        </is>
      </c>
      <c r="E553" s="20" t="n">
        <v>96480</v>
      </c>
      <c r="F553" s="20" t="n">
        <v>44488</v>
      </c>
      <c r="G553" s="20" t="n">
        <v>0</v>
      </c>
      <c r="H553" s="20" t="n">
        <v>0</v>
      </c>
      <c r="I553" s="20" t="n">
        <v>0</v>
      </c>
      <c r="J553" s="20" t="n">
        <v>0</v>
      </c>
      <c r="K553" s="20" t="n">
        <v>0</v>
      </c>
      <c r="L553" s="20" t="n">
        <v>0</v>
      </c>
      <c r="M553" s="20" t="n">
        <v>0</v>
      </c>
      <c r="N553" s="20" t="n">
        <v>0</v>
      </c>
      <c r="O553" s="20" t="n">
        <v>0</v>
      </c>
      <c r="P553" s="20" t="n">
        <v>0</v>
      </c>
      <c r="Q553" s="20" t="n">
        <v>0</v>
      </c>
    </row>
    <row r="554">
      <c r="A554" s="19" t="inlineStr">
        <is>
          <t>Company 264</t>
        </is>
      </c>
      <c r="B554" s="19" t="inlineStr">
        <is>
          <t>Software</t>
        </is>
      </c>
      <c r="C554" s="19" t="inlineStr">
        <is>
          <t>Hosting</t>
        </is>
      </c>
      <c r="D554" s="19" t="inlineStr">
        <is>
          <t>Netherlands</t>
        </is>
      </c>
      <c r="E554" s="20" t="n">
        <v>2400</v>
      </c>
      <c r="F554" s="20" t="n">
        <v>3800</v>
      </c>
      <c r="G554" s="20" t="n">
        <v>2400</v>
      </c>
      <c r="H554" s="20" t="n">
        <v>2400</v>
      </c>
      <c r="I554" s="20" t="n">
        <v>2400</v>
      </c>
      <c r="J554" s="20" t="n">
        <v>2400</v>
      </c>
      <c r="K554" s="20" t="n">
        <v>2400</v>
      </c>
      <c r="L554" s="20" t="n">
        <v>200</v>
      </c>
      <c r="M554" s="20" t="n">
        <v>0</v>
      </c>
      <c r="N554" s="20" t="n">
        <v>0</v>
      </c>
      <c r="O554" s="20" t="n">
        <v>0</v>
      </c>
      <c r="P554" s="20" t="n">
        <v>0</v>
      </c>
      <c r="Q554" s="20" t="n">
        <v>0</v>
      </c>
    </row>
    <row r="555">
      <c r="A555" s="19" t="inlineStr">
        <is>
          <t>Company 265</t>
        </is>
      </c>
      <c r="B555" s="19" t="inlineStr">
        <is>
          <t>Software</t>
        </is>
      </c>
      <c r="C555" s="19" t="inlineStr">
        <is>
          <t>ENOM</t>
        </is>
      </c>
      <c r="D555" s="19" t="inlineStr">
        <is>
          <t>Netherlands</t>
        </is>
      </c>
      <c r="E555" s="20" t="n">
        <v>10006.5</v>
      </c>
      <c r="F555" s="20" t="n">
        <v>4791.3</v>
      </c>
      <c r="G555" s="20" t="n">
        <v>0</v>
      </c>
      <c r="H555" s="20" t="n">
        <v>0</v>
      </c>
      <c r="I555" s="20" t="n">
        <v>0</v>
      </c>
      <c r="J555" s="20" t="n">
        <v>0</v>
      </c>
      <c r="K555" s="20" t="n">
        <v>0</v>
      </c>
      <c r="L555" s="20" t="n">
        <v>0</v>
      </c>
      <c r="M555" s="20" t="n">
        <v>0</v>
      </c>
      <c r="N555" s="20" t="n">
        <v>0</v>
      </c>
      <c r="O555" s="20" t="n">
        <v>0</v>
      </c>
      <c r="P555" s="20" t="n">
        <v>0</v>
      </c>
      <c r="Q555" s="20" t="n">
        <v>0</v>
      </c>
    </row>
    <row r="556">
      <c r="A556" s="19" t="inlineStr">
        <is>
          <t>Company 265</t>
        </is>
      </c>
      <c r="B556" s="19" t="inlineStr">
        <is>
          <t>Software</t>
        </is>
      </c>
      <c r="C556" s="19" t="inlineStr">
        <is>
          <t>Routing</t>
        </is>
      </c>
      <c r="D556" s="19" t="inlineStr">
        <is>
          <t>Netherlands</t>
        </is>
      </c>
      <c r="E556" s="20" t="n">
        <v>2578.99</v>
      </c>
      <c r="F556" s="20" t="n">
        <v>1796.76</v>
      </c>
      <c r="G556" s="20" t="n">
        <v>0</v>
      </c>
      <c r="H556" s="20" t="n">
        <v>0</v>
      </c>
      <c r="I556" s="20" t="n">
        <v>0</v>
      </c>
      <c r="J556" s="20" t="n">
        <v>0</v>
      </c>
      <c r="K556" s="20" t="n">
        <v>0</v>
      </c>
      <c r="L556" s="20" t="n">
        <v>0</v>
      </c>
      <c r="M556" s="20" t="n">
        <v>0</v>
      </c>
      <c r="N556" s="20" t="n">
        <v>0</v>
      </c>
      <c r="O556" s="20" t="n">
        <v>0</v>
      </c>
      <c r="P556" s="20" t="n">
        <v>0</v>
      </c>
      <c r="Q556" s="20" t="n">
        <v>0</v>
      </c>
    </row>
    <row r="557">
      <c r="A557" s="19" t="inlineStr">
        <is>
          <t>Company 266</t>
        </is>
      </c>
      <c r="B557" s="19" t="inlineStr">
        <is>
          <t>Software</t>
        </is>
      </c>
      <c r="C557" s="19" t="inlineStr">
        <is>
          <t>ENOM+</t>
        </is>
      </c>
      <c r="D557" s="19" t="inlineStr">
        <is>
          <t>UK</t>
        </is>
      </c>
      <c r="E557" s="20" t="n">
        <v>17500</v>
      </c>
      <c r="F557" s="20" t="n">
        <v>17500</v>
      </c>
      <c r="G557" s="20" t="n">
        <v>17500</v>
      </c>
      <c r="H557" s="20" t="n">
        <v>17500</v>
      </c>
      <c r="I557" s="20" t="n">
        <v>17500</v>
      </c>
      <c r="J557" s="20" t="n">
        <v>30333.33</v>
      </c>
      <c r="K557" s="20" t="n">
        <v>41999.98999999999</v>
      </c>
      <c r="L557" s="20" t="n">
        <v>35000.01</v>
      </c>
      <c r="M557" s="20" t="n">
        <v>41999.98999999999</v>
      </c>
      <c r="N557" s="20" t="n">
        <v>9041.67</v>
      </c>
      <c r="O557" s="20" t="n">
        <v>0</v>
      </c>
      <c r="P557" s="20" t="n">
        <v>0</v>
      </c>
      <c r="Q557" s="20" t="n">
        <v>0</v>
      </c>
    </row>
    <row r="558">
      <c r="A558" s="19" t="inlineStr">
        <is>
          <t>Company 266</t>
        </is>
      </c>
      <c r="B558" s="19" t="inlineStr">
        <is>
          <t>Software</t>
        </is>
      </c>
      <c r="C558" s="19" t="inlineStr">
        <is>
          <t>Routing</t>
        </is>
      </c>
      <c r="D558" s="19" t="inlineStr">
        <is>
          <t>UK</t>
        </is>
      </c>
      <c r="E558" s="20" t="n">
        <v>30375</v>
      </c>
      <c r="F558" s="20" t="n">
        <v>36000</v>
      </c>
      <c r="G558" s="20" t="n">
        <v>41250</v>
      </c>
      <c r="H558" s="20" t="n">
        <v>48375</v>
      </c>
      <c r="I558" s="20" t="n">
        <v>51937.5</v>
      </c>
      <c r="J558" s="20" t="n">
        <v>74185.01000000001</v>
      </c>
      <c r="K558" s="20" t="n">
        <v>85457.48999999999</v>
      </c>
      <c r="L558" s="20" t="n">
        <v>88312.5</v>
      </c>
      <c r="M558" s="20" t="n">
        <v>90712.5</v>
      </c>
      <c r="N558" s="20" t="n">
        <v>18787.5</v>
      </c>
      <c r="O558" s="20" t="n">
        <v>330</v>
      </c>
      <c r="P558" s="20" t="n">
        <v>0</v>
      </c>
      <c r="Q558" s="20" t="n">
        <v>0</v>
      </c>
    </row>
    <row r="559">
      <c r="A559" s="19" t="inlineStr">
        <is>
          <t>Company 266</t>
        </is>
      </c>
      <c r="B559" s="19" t="inlineStr">
        <is>
          <t>Software</t>
        </is>
      </c>
      <c r="C559" s="19" t="inlineStr">
        <is>
          <t>IT Other</t>
        </is>
      </c>
      <c r="D559" s="19" t="inlineStr">
        <is>
          <t>UK</t>
        </is>
      </c>
      <c r="E559" s="20" t="n">
        <v>2800</v>
      </c>
      <c r="F559" s="20" t="n">
        <v>699.99</v>
      </c>
      <c r="G559" s="20" t="n">
        <v>0</v>
      </c>
      <c r="H559" s="20" t="n">
        <v>0</v>
      </c>
      <c r="I559" s="20" t="n">
        <v>0</v>
      </c>
      <c r="J559" s="20" t="n">
        <v>0</v>
      </c>
      <c r="K559" s="20" t="n">
        <v>0</v>
      </c>
      <c r="L559" s="20" t="n">
        <v>0</v>
      </c>
      <c r="M559" s="20" t="n">
        <v>0</v>
      </c>
      <c r="N559" s="20" t="n">
        <v>0</v>
      </c>
      <c r="O559" s="20" t="n">
        <v>0</v>
      </c>
      <c r="P559" s="20" t="n">
        <v>0</v>
      </c>
      <c r="Q559" s="20" t="n">
        <v>0</v>
      </c>
    </row>
    <row r="560">
      <c r="A560" s="19" t="inlineStr">
        <is>
          <t>Company 266</t>
        </is>
      </c>
      <c r="B560" s="19" t="inlineStr">
        <is>
          <t>Operations</t>
        </is>
      </c>
      <c r="C560" s="19" t="inlineStr">
        <is>
          <t>Demand Text</t>
        </is>
      </c>
      <c r="D560" s="19" t="inlineStr">
        <is>
          <t>UK</t>
        </is>
      </c>
      <c r="E560" s="20" t="n">
        <v>3600</v>
      </c>
      <c r="F560" s="20" t="n">
        <v>3600</v>
      </c>
      <c r="G560" s="20" t="n">
        <v>0</v>
      </c>
      <c r="H560" s="20" t="n">
        <v>0</v>
      </c>
      <c r="I560" s="20" t="n">
        <v>0</v>
      </c>
      <c r="J560" s="20" t="n">
        <v>0</v>
      </c>
      <c r="K560" s="20" t="n">
        <v>0</v>
      </c>
      <c r="L560" s="20" t="n">
        <v>0</v>
      </c>
      <c r="M560" s="20" t="n">
        <v>0</v>
      </c>
      <c r="N560" s="20" t="n">
        <v>0</v>
      </c>
      <c r="O560" s="20" t="n">
        <v>0</v>
      </c>
      <c r="P560" s="20" t="n">
        <v>0</v>
      </c>
      <c r="Q560" s="20" t="n">
        <v>0</v>
      </c>
    </row>
    <row r="561">
      <c r="A561" s="19" t="inlineStr">
        <is>
          <t>Company 266</t>
        </is>
      </c>
      <c r="B561" s="19" t="inlineStr">
        <is>
          <t>Software</t>
        </is>
      </c>
      <c r="C561" s="19" t="inlineStr">
        <is>
          <t>Inform</t>
        </is>
      </c>
      <c r="D561" s="19" t="inlineStr">
        <is>
          <t>UK</t>
        </is>
      </c>
      <c r="E561" s="20" t="n">
        <v>0</v>
      </c>
      <c r="F561" s="20" t="n">
        <v>700</v>
      </c>
      <c r="G561" s="20" t="n">
        <v>0</v>
      </c>
      <c r="H561" s="20" t="n">
        <v>0</v>
      </c>
      <c r="I561" s="20" t="n">
        <v>0</v>
      </c>
      <c r="J561" s="20" t="n">
        <v>0</v>
      </c>
      <c r="K561" s="20" t="n">
        <v>0</v>
      </c>
      <c r="L561" s="20" t="n">
        <v>0</v>
      </c>
      <c r="M561" s="20" t="n">
        <v>0</v>
      </c>
      <c r="N561" s="20" t="n">
        <v>0</v>
      </c>
      <c r="O561" s="20" t="n">
        <v>0</v>
      </c>
      <c r="P561" s="20" t="n">
        <v>0</v>
      </c>
      <c r="Q561" s="20" t="n">
        <v>0</v>
      </c>
    </row>
    <row r="562">
      <c r="A562" s="19" t="inlineStr">
        <is>
          <t>Company 267</t>
        </is>
      </c>
      <c r="B562" s="19" t="inlineStr">
        <is>
          <t>Software</t>
        </is>
      </c>
      <c r="C562" s="19" t="inlineStr">
        <is>
          <t>ENOM+</t>
        </is>
      </c>
      <c r="D562" s="19" t="inlineStr">
        <is>
          <t>Switzerland</t>
        </is>
      </c>
      <c r="E562" s="20" t="n">
        <v>0</v>
      </c>
      <c r="F562" s="20" t="n">
        <v>0</v>
      </c>
      <c r="G562" s="20" t="n">
        <v>0</v>
      </c>
      <c r="H562" s="20" t="n">
        <v>0</v>
      </c>
      <c r="I562" s="20" t="n">
        <v>0</v>
      </c>
      <c r="J562" s="20" t="n">
        <v>0</v>
      </c>
      <c r="K562" s="20" t="n">
        <v>0</v>
      </c>
      <c r="L562" s="20" t="n">
        <v>10499.99</v>
      </c>
      <c r="M562" s="20" t="n">
        <v>3500.01</v>
      </c>
      <c r="N562" s="20" t="n">
        <v>0</v>
      </c>
      <c r="O562" s="20" t="n">
        <v>0</v>
      </c>
      <c r="P562" s="20" t="n">
        <v>0</v>
      </c>
      <c r="Q562" s="20" t="n">
        <v>0</v>
      </c>
    </row>
    <row r="563">
      <c r="A563" s="19" t="inlineStr">
        <is>
          <t>Company 267</t>
        </is>
      </c>
      <c r="B563" s="19" t="inlineStr">
        <is>
          <t>Software</t>
        </is>
      </c>
      <c r="C563" s="19" t="inlineStr">
        <is>
          <t>Routing</t>
        </is>
      </c>
      <c r="D563" s="19" t="inlineStr">
        <is>
          <t>Switzerland</t>
        </is>
      </c>
      <c r="E563" s="20" t="n">
        <v>0</v>
      </c>
      <c r="F563" s="20" t="n">
        <v>0</v>
      </c>
      <c r="G563" s="20" t="n">
        <v>0</v>
      </c>
      <c r="H563" s="20" t="n">
        <v>0</v>
      </c>
      <c r="I563" s="20" t="n">
        <v>0</v>
      </c>
      <c r="J563" s="20" t="n">
        <v>0</v>
      </c>
      <c r="K563" s="20" t="n">
        <v>0</v>
      </c>
      <c r="L563" s="20" t="n">
        <v>1350</v>
      </c>
      <c r="M563" s="20" t="n">
        <v>450</v>
      </c>
      <c r="N563" s="20" t="n">
        <v>0</v>
      </c>
      <c r="O563" s="20" t="n">
        <v>0</v>
      </c>
      <c r="P563" s="20" t="n">
        <v>0</v>
      </c>
      <c r="Q563" s="20" t="n">
        <v>0</v>
      </c>
    </row>
    <row r="564">
      <c r="A564" s="19" t="inlineStr">
        <is>
          <t>Company 268</t>
        </is>
      </c>
      <c r="B564" s="19" t="inlineStr">
        <is>
          <t>Operations</t>
        </is>
      </c>
      <c r="C564" s="19" t="inlineStr">
        <is>
          <t>Shipper Gas</t>
        </is>
      </c>
      <c r="D564" s="19" t="inlineStr">
        <is>
          <t>France</t>
        </is>
      </c>
      <c r="E564" s="20" t="n">
        <v>251685</v>
      </c>
      <c r="F564" s="20" t="n">
        <v>305820</v>
      </c>
      <c r="G564" s="20" t="n">
        <v>300210</v>
      </c>
      <c r="H564" s="20" t="n">
        <v>302080</v>
      </c>
      <c r="I564" s="20" t="n">
        <v>73650</v>
      </c>
      <c r="J564" s="20" t="n">
        <v>0</v>
      </c>
      <c r="K564" s="20" t="n">
        <v>0</v>
      </c>
      <c r="L564" s="20" t="n">
        <v>0</v>
      </c>
      <c r="M564" s="20" t="n">
        <v>0</v>
      </c>
      <c r="N564" s="20" t="n">
        <v>0</v>
      </c>
      <c r="O564" s="20" t="n">
        <v>0</v>
      </c>
      <c r="P564" s="20" t="n">
        <v>0</v>
      </c>
      <c r="Q564" s="20" t="n">
        <v>0</v>
      </c>
    </row>
    <row r="565">
      <c r="A565" s="19" t="inlineStr">
        <is>
          <t>Company 269</t>
        </is>
      </c>
      <c r="B565" s="19" t="inlineStr">
        <is>
          <t>Software</t>
        </is>
      </c>
      <c r="C565" s="19" t="inlineStr">
        <is>
          <t>ENOM+</t>
        </is>
      </c>
      <c r="D565" s="19" t="inlineStr">
        <is>
          <t>Belgium</t>
        </is>
      </c>
      <c r="E565" s="20" t="n">
        <v>0</v>
      </c>
      <c r="F565" s="20" t="n">
        <v>0</v>
      </c>
      <c r="G565" s="20" t="n">
        <v>9728.460000000001</v>
      </c>
      <c r="H565" s="20" t="n">
        <v>10811.73</v>
      </c>
      <c r="I565" s="20" t="n">
        <v>16297.49</v>
      </c>
      <c r="J565" s="20" t="n">
        <v>1534.28</v>
      </c>
      <c r="K565" s="20" t="n">
        <v>0</v>
      </c>
      <c r="L565" s="20" t="n">
        <v>0</v>
      </c>
      <c r="M565" s="20" t="n">
        <v>0</v>
      </c>
      <c r="N565" s="20" t="n">
        <v>0</v>
      </c>
      <c r="O565" s="20" t="n">
        <v>0</v>
      </c>
      <c r="P565" s="20" t="n">
        <v>0</v>
      </c>
      <c r="Q565" s="20" t="n">
        <v>0</v>
      </c>
    </row>
    <row r="566">
      <c r="A566" s="19" t="inlineStr">
        <is>
          <t>Company 270</t>
        </is>
      </c>
      <c r="B566" s="19" t="inlineStr">
        <is>
          <t>Software</t>
        </is>
      </c>
      <c r="C566" s="19" t="inlineStr">
        <is>
          <t>ENOM+</t>
        </is>
      </c>
      <c r="D566" s="19" t="inlineStr">
        <is>
          <t>France</t>
        </is>
      </c>
      <c r="E566" s="20" t="n">
        <v>27773.87</v>
      </c>
      <c r="F566" s="20" t="n">
        <v>25512.37</v>
      </c>
      <c r="G566" s="20" t="n">
        <v>15747.3</v>
      </c>
      <c r="H566" s="20" t="n">
        <v>17374.6</v>
      </c>
      <c r="I566" s="20" t="n">
        <v>13238.33</v>
      </c>
      <c r="J566" s="20" t="n">
        <v>21172.96</v>
      </c>
      <c r="K566" s="20" t="n">
        <v>9421.68</v>
      </c>
      <c r="L566" s="20" t="n">
        <v>0</v>
      </c>
      <c r="M566" s="20" t="n">
        <v>0</v>
      </c>
      <c r="N566" s="20" t="n">
        <v>0</v>
      </c>
      <c r="O566" s="20" t="n">
        <v>0</v>
      </c>
      <c r="P566" s="20" t="n">
        <v>0</v>
      </c>
      <c r="Q566" s="20" t="n">
        <v>0</v>
      </c>
    </row>
    <row r="567">
      <c r="A567" s="19" t="inlineStr">
        <is>
          <t>Company 271</t>
        </is>
      </c>
      <c r="B567" s="19" t="inlineStr">
        <is>
          <t>Software</t>
        </is>
      </c>
      <c r="C567" s="19" t="inlineStr">
        <is>
          <t>ENOM</t>
        </is>
      </c>
      <c r="D567" s="19" t="inlineStr">
        <is>
          <t>France</t>
        </is>
      </c>
      <c r="E567" s="20" t="n">
        <v>8600</v>
      </c>
      <c r="F567" s="20" t="n">
        <v>21093.44</v>
      </c>
      <c r="G567" s="20" t="n">
        <v>0</v>
      </c>
      <c r="H567" s="20" t="n">
        <v>0</v>
      </c>
      <c r="I567" s="20" t="n">
        <v>0</v>
      </c>
      <c r="J567" s="20" t="n">
        <v>0</v>
      </c>
      <c r="K567" s="20" t="n">
        <v>0</v>
      </c>
      <c r="L567" s="20" t="n">
        <v>0</v>
      </c>
      <c r="M567" s="20" t="n">
        <v>0</v>
      </c>
      <c r="N567" s="20" t="n">
        <v>0</v>
      </c>
      <c r="O567" s="20" t="n">
        <v>0</v>
      </c>
      <c r="P567" s="20" t="n">
        <v>0</v>
      </c>
      <c r="Q567" s="20" t="n">
        <v>0</v>
      </c>
    </row>
    <row r="568">
      <c r="A568" s="19" t="inlineStr">
        <is>
          <t>Company 271</t>
        </is>
      </c>
      <c r="B568" s="19" t="inlineStr">
        <is>
          <t>Software</t>
        </is>
      </c>
      <c r="C568" s="19" t="inlineStr">
        <is>
          <t>Routing</t>
        </is>
      </c>
      <c r="D568" s="19" t="inlineStr">
        <is>
          <t>France</t>
        </is>
      </c>
      <c r="E568" s="20" t="n">
        <v>2550</v>
      </c>
      <c r="F568" s="20" t="n">
        <v>4107.17</v>
      </c>
      <c r="G568" s="20" t="n">
        <v>0</v>
      </c>
      <c r="H568" s="20" t="n">
        <v>0</v>
      </c>
      <c r="I568" s="20" t="n">
        <v>0</v>
      </c>
      <c r="J568" s="20" t="n">
        <v>0</v>
      </c>
      <c r="K568" s="20" t="n">
        <v>0</v>
      </c>
      <c r="L568" s="20" t="n">
        <v>0</v>
      </c>
      <c r="M568" s="20" t="n">
        <v>0</v>
      </c>
      <c r="N568" s="20" t="n">
        <v>0</v>
      </c>
      <c r="O568" s="20" t="n">
        <v>0</v>
      </c>
      <c r="P568" s="20" t="n">
        <v>0</v>
      </c>
      <c r="Q568" s="20" t="n">
        <v>0</v>
      </c>
    </row>
    <row r="569">
      <c r="A569" s="19" t="inlineStr">
        <is>
          <t>Company 272</t>
        </is>
      </c>
      <c r="B569" s="19" t="inlineStr">
        <is>
          <t>Software</t>
        </is>
      </c>
      <c r="C569" s="19" t="inlineStr">
        <is>
          <t>ENOM</t>
        </is>
      </c>
      <c r="D569" s="19" t="inlineStr">
        <is>
          <t>Italy</t>
        </is>
      </c>
      <c r="E569" s="20" t="n">
        <v>0</v>
      </c>
      <c r="F569" s="20" t="n">
        <v>0</v>
      </c>
      <c r="G569" s="20" t="n">
        <v>6047.04</v>
      </c>
      <c r="H569" s="20" t="n">
        <v>0</v>
      </c>
      <c r="I569" s="20" t="n">
        <v>0</v>
      </c>
      <c r="J569" s="20" t="n">
        <v>0</v>
      </c>
      <c r="K569" s="20" t="n">
        <v>0</v>
      </c>
      <c r="L569" s="20" t="n">
        <v>0</v>
      </c>
      <c r="M569" s="20" t="n">
        <v>0</v>
      </c>
      <c r="N569" s="20" t="n">
        <v>0</v>
      </c>
      <c r="O569" s="20" t="n">
        <v>0</v>
      </c>
      <c r="P569" s="20" t="n">
        <v>0</v>
      </c>
      <c r="Q569" s="20" t="n">
        <v>0</v>
      </c>
    </row>
    <row r="570">
      <c r="A570" s="19" t="inlineStr">
        <is>
          <t>Company 273</t>
        </is>
      </c>
      <c r="B570" s="19" t="inlineStr">
        <is>
          <t>Software</t>
        </is>
      </c>
      <c r="C570" s="19" t="inlineStr">
        <is>
          <t>ENOM</t>
        </is>
      </c>
      <c r="D570" s="19" t="inlineStr">
        <is>
          <t>Norway</t>
        </is>
      </c>
      <c r="E570" s="20" t="n">
        <v>0</v>
      </c>
      <c r="F570" s="20" t="n">
        <v>0</v>
      </c>
      <c r="G570" s="20" t="n">
        <v>8600</v>
      </c>
      <c r="H570" s="20" t="n">
        <v>8600</v>
      </c>
      <c r="I570" s="20" t="n">
        <v>8600</v>
      </c>
      <c r="J570" s="20" t="n">
        <v>8600</v>
      </c>
      <c r="K570" s="20" t="n">
        <v>8600</v>
      </c>
      <c r="L570" s="20" t="n">
        <v>8600</v>
      </c>
      <c r="M570" s="20" t="n">
        <v>8600</v>
      </c>
      <c r="N570" s="20" t="n">
        <v>8600</v>
      </c>
      <c r="O570" s="20" t="n">
        <v>7166.7</v>
      </c>
      <c r="P570" s="20" t="n">
        <v>0</v>
      </c>
      <c r="Q570" s="20" t="n">
        <v>0</v>
      </c>
    </row>
    <row r="571">
      <c r="A571" s="19" t="inlineStr">
        <is>
          <t>Company 273</t>
        </is>
      </c>
      <c r="B571" s="19" t="inlineStr">
        <is>
          <t>Software</t>
        </is>
      </c>
      <c r="C571" s="19" t="inlineStr">
        <is>
          <t>Routing</t>
        </is>
      </c>
      <c r="D571" s="19" t="inlineStr">
        <is>
          <t>Norway</t>
        </is>
      </c>
      <c r="E571" s="20" t="n">
        <v>0</v>
      </c>
      <c r="F571" s="20" t="n">
        <v>0</v>
      </c>
      <c r="G571" s="20" t="n">
        <v>3750</v>
      </c>
      <c r="H571" s="20" t="n">
        <v>4200</v>
      </c>
      <c r="I571" s="20" t="n">
        <v>5550</v>
      </c>
      <c r="J571" s="20" t="n">
        <v>5850</v>
      </c>
      <c r="K571" s="20" t="n">
        <v>6000</v>
      </c>
      <c r="L571" s="20" t="n">
        <v>2400</v>
      </c>
      <c r="M571" s="20" t="n">
        <v>2700</v>
      </c>
      <c r="N571" s="20" t="n">
        <v>3600</v>
      </c>
      <c r="O571" s="20" t="n">
        <v>3000</v>
      </c>
      <c r="P571" s="20" t="n">
        <v>0</v>
      </c>
      <c r="Q571" s="20" t="n">
        <v>0</v>
      </c>
    </row>
    <row r="572">
      <c r="A572" s="19" t="inlineStr">
        <is>
          <t>Company 274</t>
        </is>
      </c>
      <c r="B572" s="19" t="inlineStr">
        <is>
          <t>Software</t>
        </is>
      </c>
      <c r="C572" s="19" t="inlineStr">
        <is>
          <t>EuroRunner</t>
        </is>
      </c>
      <c r="D572" s="19" t="inlineStr">
        <is>
          <t>UK</t>
        </is>
      </c>
      <c r="E572" s="20" t="n">
        <v>0</v>
      </c>
      <c r="F572" s="20" t="n">
        <v>0</v>
      </c>
      <c r="G572" s="20" t="n">
        <v>0</v>
      </c>
      <c r="H572" s="20" t="n">
        <v>0</v>
      </c>
      <c r="I572" s="20" t="n">
        <v>0</v>
      </c>
      <c r="J572" s="20" t="n">
        <v>0</v>
      </c>
      <c r="K572" s="20" t="n">
        <v>0</v>
      </c>
      <c r="L572" s="20" t="n">
        <v>0</v>
      </c>
      <c r="M572" s="20" t="n">
        <v>0</v>
      </c>
      <c r="N572" s="20" t="n">
        <v>0</v>
      </c>
      <c r="O572" s="20" t="n">
        <v>0</v>
      </c>
      <c r="P572" s="20" t="n">
        <v>0</v>
      </c>
      <c r="Q572" s="20" t="n">
        <v>3750</v>
      </c>
    </row>
    <row r="573">
      <c r="A573" s="19" t="inlineStr">
        <is>
          <t>Company 274</t>
        </is>
      </c>
      <c r="B573" s="19" t="inlineStr">
        <is>
          <t>Software</t>
        </is>
      </c>
      <c r="C573" s="19" t="inlineStr">
        <is>
          <t>ENOM</t>
        </is>
      </c>
      <c r="D573" s="19" t="inlineStr">
        <is>
          <t>UK</t>
        </is>
      </c>
      <c r="E573" s="20" t="n">
        <v>0</v>
      </c>
      <c r="F573" s="20" t="n">
        <v>0</v>
      </c>
      <c r="G573" s="20" t="n">
        <v>0</v>
      </c>
      <c r="H573" s="20" t="n">
        <v>0</v>
      </c>
      <c r="I573" s="20" t="n">
        <v>0</v>
      </c>
      <c r="J573" s="20" t="n">
        <v>0</v>
      </c>
      <c r="K573" s="20" t="n">
        <v>0</v>
      </c>
      <c r="L573" s="20" t="n">
        <v>0</v>
      </c>
      <c r="M573" s="20" t="n">
        <v>0</v>
      </c>
      <c r="N573" s="20" t="n">
        <v>0</v>
      </c>
      <c r="O573" s="20" t="n">
        <v>0</v>
      </c>
      <c r="P573" s="20" t="n">
        <v>0</v>
      </c>
      <c r="Q573" s="20" t="n">
        <v>13530</v>
      </c>
    </row>
    <row r="574">
      <c r="A574" s="19" t="inlineStr">
        <is>
          <t>Company 275</t>
        </is>
      </c>
      <c r="B574" s="19" t="inlineStr">
        <is>
          <t>Software</t>
        </is>
      </c>
      <c r="C574" s="19" t="inlineStr">
        <is>
          <t>ENOM+</t>
        </is>
      </c>
      <c r="D574" s="19" t="inlineStr">
        <is>
          <t>UK</t>
        </is>
      </c>
      <c r="E574" s="20" t="n">
        <v>14500</v>
      </c>
      <c r="F574" s="20" t="n">
        <v>14500</v>
      </c>
      <c r="G574" s="20" t="n">
        <v>14500</v>
      </c>
      <c r="H574" s="20" t="n">
        <v>14500</v>
      </c>
      <c r="I574" s="20" t="n">
        <v>14500</v>
      </c>
      <c r="J574" s="20" t="n">
        <v>14500</v>
      </c>
      <c r="K574" s="20" t="n">
        <v>14500</v>
      </c>
      <c r="L574" s="20" t="n">
        <v>14500</v>
      </c>
      <c r="M574" s="20" t="n">
        <v>14500</v>
      </c>
      <c r="N574" s="20" t="n">
        <v>14500</v>
      </c>
      <c r="O574" s="20" t="n">
        <v>3621.220000000001</v>
      </c>
      <c r="P574" s="20" t="n">
        <v>4.05</v>
      </c>
      <c r="Q574" s="20" t="n">
        <v>0</v>
      </c>
    </row>
    <row r="575">
      <c r="A575" s="19" t="inlineStr">
        <is>
          <t>Company 275</t>
        </is>
      </c>
      <c r="B575" s="19" t="inlineStr">
        <is>
          <t>Software</t>
        </is>
      </c>
      <c r="C575" s="19" t="inlineStr">
        <is>
          <t>Routing</t>
        </is>
      </c>
      <c r="D575" s="19" t="inlineStr">
        <is>
          <t>UK</t>
        </is>
      </c>
      <c r="E575" s="20" t="n">
        <v>0</v>
      </c>
      <c r="F575" s="20" t="n">
        <v>4345</v>
      </c>
      <c r="G575" s="20" t="n">
        <v>4740</v>
      </c>
      <c r="H575" s="20" t="n">
        <v>4740</v>
      </c>
      <c r="I575" s="20" t="n">
        <v>4740</v>
      </c>
      <c r="J575" s="20" t="n">
        <v>5530</v>
      </c>
      <c r="K575" s="20" t="n">
        <v>4740</v>
      </c>
      <c r="L575" s="20" t="n">
        <v>4740</v>
      </c>
      <c r="M575" s="20" t="n">
        <v>4015.830000000001</v>
      </c>
      <c r="N575" s="20" t="n">
        <v>4674.17</v>
      </c>
      <c r="O575" s="20" t="n">
        <v>920.7899999999998</v>
      </c>
      <c r="P575" s="20" t="n">
        <v>1.95</v>
      </c>
      <c r="Q575" s="20" t="n">
        <v>0</v>
      </c>
    </row>
    <row r="576">
      <c r="A576" s="19" t="inlineStr">
        <is>
          <t>Company 276</t>
        </is>
      </c>
      <c r="B576" s="19" t="inlineStr">
        <is>
          <t>Operations</t>
        </is>
      </c>
      <c r="C576" s="19" t="inlineStr">
        <is>
          <t>Shipper Gas</t>
        </is>
      </c>
      <c r="D576" s="19" t="inlineStr">
        <is>
          <t>Sweden</t>
        </is>
      </c>
      <c r="E576" s="20" t="n">
        <v>40800</v>
      </c>
      <c r="F576" s="20" t="n">
        <v>41760</v>
      </c>
      <c r="G576" s="20" t="n">
        <v>41760</v>
      </c>
      <c r="H576" s="20" t="n">
        <v>41760</v>
      </c>
      <c r="I576" s="20" t="n">
        <v>41760</v>
      </c>
      <c r="J576" s="20" t="n">
        <v>43140</v>
      </c>
      <c r="K576" s="20" t="n">
        <v>43140</v>
      </c>
      <c r="L576" s="20" t="n">
        <v>43140</v>
      </c>
      <c r="M576" s="20" t="n">
        <v>28760</v>
      </c>
      <c r="N576" s="20" t="n">
        <v>0</v>
      </c>
      <c r="O576" s="20" t="n">
        <v>0</v>
      </c>
      <c r="P576" s="20" t="n">
        <v>0</v>
      </c>
      <c r="Q576" s="20" t="n">
        <v>0</v>
      </c>
    </row>
    <row r="577">
      <c r="A577" s="19" t="inlineStr">
        <is>
          <t>Company 277</t>
        </is>
      </c>
      <c r="B577" s="19" t="inlineStr">
        <is>
          <t>Operations</t>
        </is>
      </c>
      <c r="C577" s="19" t="inlineStr">
        <is>
          <t>Shipper Gas</t>
        </is>
      </c>
      <c r="D577" s="19" t="inlineStr">
        <is>
          <t>UK</t>
        </is>
      </c>
      <c r="E577" s="20" t="n">
        <v>0</v>
      </c>
      <c r="F577" s="20" t="n">
        <v>14601.77</v>
      </c>
      <c r="G577" s="20" t="n">
        <v>3950</v>
      </c>
      <c r="H577" s="20" t="n">
        <v>0</v>
      </c>
      <c r="I577" s="20" t="n">
        <v>0</v>
      </c>
      <c r="J577" s="20" t="n">
        <v>0</v>
      </c>
      <c r="K577" s="20" t="n">
        <v>0</v>
      </c>
      <c r="L577" s="20" t="n">
        <v>0</v>
      </c>
      <c r="M577" s="20" t="n">
        <v>0</v>
      </c>
      <c r="N577" s="20" t="n">
        <v>0</v>
      </c>
      <c r="O577" s="20" t="n">
        <v>0</v>
      </c>
      <c r="P577" s="20" t="n">
        <v>0</v>
      </c>
      <c r="Q577" s="20" t="n">
        <v>0</v>
      </c>
    </row>
    <row r="578">
      <c r="A578" s="19" t="inlineStr">
        <is>
          <t>Company 278</t>
        </is>
      </c>
      <c r="B578" s="19" t="inlineStr">
        <is>
          <t>Software</t>
        </is>
      </c>
      <c r="C578" s="19" t="inlineStr">
        <is>
          <t>ENOM+</t>
        </is>
      </c>
      <c r="D578" s="19" t="inlineStr">
        <is>
          <t>UK</t>
        </is>
      </c>
      <c r="E578" s="20" t="n">
        <v>17371.54</v>
      </c>
      <c r="F578" s="20" t="n">
        <v>15575.7</v>
      </c>
      <c r="G578" s="20" t="n">
        <v>16100.19</v>
      </c>
      <c r="H578" s="20" t="n">
        <v>17814.4</v>
      </c>
      <c r="I578" s="20" t="n">
        <v>3020.5</v>
      </c>
      <c r="J578" s="20" t="n">
        <v>0</v>
      </c>
      <c r="K578" s="20" t="n">
        <v>0</v>
      </c>
      <c r="L578" s="20" t="n">
        <v>0</v>
      </c>
      <c r="M578" s="20" t="n">
        <v>5000</v>
      </c>
      <c r="N578" s="20" t="n">
        <v>0</v>
      </c>
      <c r="O578" s="20" t="n">
        <v>0</v>
      </c>
      <c r="P578" s="20" t="n">
        <v>0</v>
      </c>
      <c r="Q578" s="20" t="n">
        <v>0</v>
      </c>
    </row>
    <row r="579">
      <c r="A579" s="19" t="inlineStr">
        <is>
          <t>Company 278</t>
        </is>
      </c>
      <c r="B579" s="19" t="inlineStr">
        <is>
          <t>Software</t>
        </is>
      </c>
      <c r="C579" s="19" t="inlineStr">
        <is>
          <t>Routing</t>
        </is>
      </c>
      <c r="D579" s="19" t="inlineStr">
        <is>
          <t>UK</t>
        </is>
      </c>
      <c r="E579" s="20" t="n">
        <v>19356.85999999999</v>
      </c>
      <c r="F579" s="20" t="n">
        <v>17355.78</v>
      </c>
      <c r="G579" s="20" t="n">
        <v>18521.33</v>
      </c>
      <c r="H579" s="20" t="n">
        <v>23202.8</v>
      </c>
      <c r="I579" s="20" t="n">
        <v>4012.96</v>
      </c>
      <c r="J579" s="20" t="n">
        <v>0</v>
      </c>
      <c r="K579" s="20" t="n">
        <v>0</v>
      </c>
      <c r="L579" s="20" t="n">
        <v>0</v>
      </c>
      <c r="M579" s="20" t="n">
        <v>0</v>
      </c>
      <c r="N579" s="20" t="n">
        <v>0</v>
      </c>
      <c r="O579" s="20" t="n">
        <v>0</v>
      </c>
      <c r="P579" s="20" t="n">
        <v>0</v>
      </c>
      <c r="Q579" s="20" t="n">
        <v>0</v>
      </c>
    </row>
    <row r="580">
      <c r="A580" s="19" t="inlineStr">
        <is>
          <t>Company 278</t>
        </is>
      </c>
      <c r="B580" s="19" t="inlineStr">
        <is>
          <t>Operations</t>
        </is>
      </c>
      <c r="C580" s="19" t="inlineStr">
        <is>
          <t>Demand Text</t>
        </is>
      </c>
      <c r="D580" s="19" t="inlineStr">
        <is>
          <t>UK</t>
        </is>
      </c>
      <c r="E580" s="20" t="n">
        <v>0</v>
      </c>
      <c r="F580" s="20" t="n">
        <v>229.1</v>
      </c>
      <c r="G580" s="20" t="n">
        <v>0</v>
      </c>
      <c r="H580" s="20" t="n">
        <v>0</v>
      </c>
      <c r="I580" s="20" t="n">
        <v>0</v>
      </c>
      <c r="J580" s="20" t="n">
        <v>0</v>
      </c>
      <c r="K580" s="20" t="n">
        <v>0</v>
      </c>
      <c r="L580" s="20" t="n">
        <v>0</v>
      </c>
      <c r="M580" s="20" t="n">
        <v>0</v>
      </c>
      <c r="N580" s="20" t="n">
        <v>0</v>
      </c>
      <c r="O580" s="20" t="n">
        <v>0</v>
      </c>
      <c r="P580" s="20" t="n">
        <v>0</v>
      </c>
      <c r="Q580" s="20" t="n">
        <v>0</v>
      </c>
    </row>
    <row r="581">
      <c r="A581" s="19" t="inlineStr">
        <is>
          <t>Company 279</t>
        </is>
      </c>
      <c r="B581" s="19" t="inlineStr">
        <is>
          <t>Software</t>
        </is>
      </c>
      <c r="C581" s="19" t="inlineStr">
        <is>
          <t>PowerTrak</t>
        </is>
      </c>
      <c r="D581" s="19" t="inlineStr">
        <is>
          <t>UK</t>
        </is>
      </c>
      <c r="E581" s="20" t="n">
        <v>28500</v>
      </c>
      <c r="F581" s="20" t="n">
        <v>27625.03</v>
      </c>
      <c r="G581" s="20" t="n">
        <v>25000</v>
      </c>
      <c r="H581" s="20" t="n">
        <v>37282.97</v>
      </c>
      <c r="I581" s="20" t="n">
        <v>28500</v>
      </c>
      <c r="J581" s="20" t="n">
        <v>28500</v>
      </c>
      <c r="K581" s="20" t="n">
        <v>28500</v>
      </c>
      <c r="L581" s="20" t="n">
        <v>28500</v>
      </c>
      <c r="M581" s="20" t="n">
        <v>21375</v>
      </c>
      <c r="N581" s="20" t="n">
        <v>0</v>
      </c>
      <c r="O581" s="20" t="n">
        <v>0</v>
      </c>
      <c r="P581" s="20" t="n">
        <v>0</v>
      </c>
      <c r="Q581" s="20" t="n">
        <v>0</v>
      </c>
    </row>
    <row r="582">
      <c r="A582" s="19" t="inlineStr">
        <is>
          <t>Company 279</t>
        </is>
      </c>
      <c r="B582" s="19" t="inlineStr">
        <is>
          <t>Software</t>
        </is>
      </c>
      <c r="C582" s="19" t="inlineStr">
        <is>
          <t>Routing</t>
        </is>
      </c>
      <c r="D582" s="19" t="inlineStr">
        <is>
          <t>UK</t>
        </is>
      </c>
      <c r="E582" s="20" t="n">
        <v>0</v>
      </c>
      <c r="F582" s="20" t="n">
        <v>0</v>
      </c>
      <c r="G582" s="20" t="n">
        <v>0</v>
      </c>
      <c r="H582" s="20" t="n">
        <v>450</v>
      </c>
      <c r="I582" s="20" t="n">
        <v>600</v>
      </c>
      <c r="J582" s="20" t="n">
        <v>600</v>
      </c>
      <c r="K582" s="20" t="n">
        <v>600</v>
      </c>
      <c r="L582" s="20" t="n">
        <v>600</v>
      </c>
      <c r="M582" s="20" t="n">
        <v>450</v>
      </c>
      <c r="N582" s="20" t="n">
        <v>0</v>
      </c>
      <c r="O582" s="20" t="n">
        <v>0</v>
      </c>
      <c r="P582" s="20" t="n">
        <v>0</v>
      </c>
      <c r="Q582" s="20" t="n">
        <v>0</v>
      </c>
    </row>
    <row r="583">
      <c r="A583" s="19" t="inlineStr">
        <is>
          <t>Company 279</t>
        </is>
      </c>
      <c r="B583" s="19" t="inlineStr">
        <is>
          <t>Software</t>
        </is>
      </c>
      <c r="C583" s="19" t="inlineStr">
        <is>
          <t>Routing</t>
        </is>
      </c>
      <c r="D583" s="19" t="inlineStr">
        <is>
          <t>UK</t>
        </is>
      </c>
      <c r="E583" s="20" t="n">
        <v>0</v>
      </c>
      <c r="F583" s="20" t="n">
        <v>0</v>
      </c>
      <c r="G583" s="20" t="n">
        <v>0</v>
      </c>
      <c r="H583" s="20" t="n">
        <v>100</v>
      </c>
      <c r="I583" s="20" t="n">
        <v>0</v>
      </c>
      <c r="J583" s="20" t="n">
        <v>0</v>
      </c>
      <c r="K583" s="20" t="n">
        <v>0</v>
      </c>
      <c r="L583" s="20" t="n">
        <v>0</v>
      </c>
      <c r="M583" s="20" t="n">
        <v>0</v>
      </c>
      <c r="N583" s="20" t="n">
        <v>0</v>
      </c>
      <c r="O583" s="20" t="n">
        <v>0</v>
      </c>
      <c r="P583" s="20" t="n">
        <v>0</v>
      </c>
      <c r="Q583" s="20" t="n">
        <v>0</v>
      </c>
    </row>
    <row r="584">
      <c r="A584" s="19" t="inlineStr">
        <is>
          <t>Company 280</t>
        </is>
      </c>
      <c r="B584" s="19" t="inlineStr">
        <is>
          <t>Operations</t>
        </is>
      </c>
      <c r="C584" s="19" t="inlineStr">
        <is>
          <t>Demand Text</t>
        </is>
      </c>
      <c r="D584" s="19" t="inlineStr">
        <is>
          <t>UK</t>
        </is>
      </c>
      <c r="E584" s="20" t="n">
        <v>3250</v>
      </c>
      <c r="F584" s="20" t="n">
        <v>3900</v>
      </c>
      <c r="G584" s="20" t="n">
        <v>3300</v>
      </c>
      <c r="H584" s="20" t="n">
        <v>1400</v>
      </c>
      <c r="I584" s="20" t="n">
        <v>0</v>
      </c>
      <c r="J584" s="20" t="n">
        <v>0</v>
      </c>
      <c r="K584" s="20" t="n">
        <v>0</v>
      </c>
      <c r="L584" s="20" t="n">
        <v>0</v>
      </c>
      <c r="M584" s="20" t="n">
        <v>0</v>
      </c>
      <c r="N584" s="20" t="n">
        <v>0</v>
      </c>
      <c r="O584" s="20" t="n">
        <v>0</v>
      </c>
      <c r="P584" s="20" t="n">
        <v>0</v>
      </c>
      <c r="Q584" s="20" t="n">
        <v>0</v>
      </c>
    </row>
    <row r="585">
      <c r="A585" s="19" t="inlineStr">
        <is>
          <t>Company 280</t>
        </is>
      </c>
      <c r="B585" s="19" t="inlineStr">
        <is>
          <t>Operations</t>
        </is>
      </c>
      <c r="C585" s="19" t="inlineStr">
        <is>
          <t>Shipper Gas</t>
        </is>
      </c>
      <c r="D585" s="19" t="inlineStr">
        <is>
          <t>UK</t>
        </is>
      </c>
      <c r="E585" s="20" t="n">
        <v>119400</v>
      </c>
      <c r="F585" s="20" t="n">
        <v>119400</v>
      </c>
      <c r="G585" s="20" t="n">
        <v>120750</v>
      </c>
      <c r="H585" s="20" t="n">
        <v>123600</v>
      </c>
      <c r="I585" s="20" t="n">
        <v>134200</v>
      </c>
      <c r="J585" s="20" t="n">
        <v>141600</v>
      </c>
      <c r="K585" s="20" t="n">
        <v>141600</v>
      </c>
      <c r="L585" s="20" t="n">
        <v>139266.68</v>
      </c>
      <c r="M585" s="20" t="n">
        <v>111000</v>
      </c>
      <c r="N585" s="20" t="n">
        <v>111000</v>
      </c>
      <c r="O585" s="20" t="n">
        <v>0</v>
      </c>
      <c r="P585" s="20" t="n">
        <v>0</v>
      </c>
      <c r="Q585" s="20" t="n">
        <v>0</v>
      </c>
    </row>
    <row r="586">
      <c r="A586" s="19" t="inlineStr">
        <is>
          <t>Company 280</t>
        </is>
      </c>
      <c r="B586" s="19" t="inlineStr">
        <is>
          <t>Software</t>
        </is>
      </c>
      <c r="C586" s="19" t="inlineStr">
        <is>
          <t>Routing</t>
        </is>
      </c>
      <c r="D586" s="19" t="inlineStr">
        <is>
          <t>UK</t>
        </is>
      </c>
      <c r="E586" s="20" t="n">
        <v>0</v>
      </c>
      <c r="F586" s="20" t="n">
        <v>600</v>
      </c>
      <c r="G586" s="20" t="n">
        <v>600</v>
      </c>
      <c r="H586" s="20" t="n">
        <v>50</v>
      </c>
      <c r="I586" s="20" t="n">
        <v>0</v>
      </c>
      <c r="J586" s="20" t="n">
        <v>0</v>
      </c>
      <c r="K586" s="20" t="n">
        <v>0</v>
      </c>
      <c r="L586" s="20" t="n">
        <v>0</v>
      </c>
      <c r="M586" s="20" t="n">
        <v>0</v>
      </c>
      <c r="N586" s="20" t="n">
        <v>0</v>
      </c>
      <c r="O586" s="20" t="n">
        <v>0</v>
      </c>
      <c r="P586" s="20" t="n">
        <v>0</v>
      </c>
      <c r="Q586" s="20" t="n">
        <v>0</v>
      </c>
    </row>
    <row r="587">
      <c r="A587" s="19" t="inlineStr">
        <is>
          <t>Company 281</t>
        </is>
      </c>
      <c r="B587" s="19" t="inlineStr">
        <is>
          <t>Power</t>
        </is>
      </c>
      <c r="C587" s="19" t="inlineStr">
        <is>
          <t>Shipper Power</t>
        </is>
      </c>
      <c r="D587" s="19" t="inlineStr">
        <is>
          <t>UK</t>
        </is>
      </c>
      <c r="E587" s="20" t="n">
        <v>22650</v>
      </c>
      <c r="F587" s="20" t="n">
        <v>17071.18</v>
      </c>
      <c r="G587" s="20" t="n">
        <v>14848.08</v>
      </c>
      <c r="H587" s="20" t="n">
        <v>14704.8</v>
      </c>
      <c r="I587" s="20" t="n">
        <v>9000</v>
      </c>
      <c r="J587" s="20" t="n">
        <v>7200</v>
      </c>
      <c r="K587" s="20" t="n">
        <v>7200</v>
      </c>
      <c r="L587" s="20" t="n">
        <v>14070.97</v>
      </c>
      <c r="M587" s="20" t="n">
        <v>10800</v>
      </c>
      <c r="N587" s="20" t="n">
        <v>0</v>
      </c>
      <c r="O587" s="20" t="n">
        <v>0</v>
      </c>
      <c r="P587" s="20" t="n">
        <v>0</v>
      </c>
      <c r="Q587" s="20" t="n">
        <v>0</v>
      </c>
    </row>
    <row r="588">
      <c r="A588" s="19" t="inlineStr">
        <is>
          <t>Company 282</t>
        </is>
      </c>
      <c r="B588" s="19" t="inlineStr">
        <is>
          <t>Software</t>
        </is>
      </c>
      <c r="C588" s="19" t="inlineStr">
        <is>
          <t>ENOM</t>
        </is>
      </c>
      <c r="D588" s="19" t="inlineStr">
        <is>
          <t>UK</t>
        </is>
      </c>
      <c r="E588" s="20" t="n">
        <v>8200</v>
      </c>
      <c r="F588" s="20" t="n">
        <v>8199.67</v>
      </c>
      <c r="G588" s="20" t="n">
        <v>8200</v>
      </c>
      <c r="H588" s="20" t="n">
        <v>8200</v>
      </c>
      <c r="I588" s="20" t="n">
        <v>8200</v>
      </c>
      <c r="J588" s="20" t="n">
        <v>8200</v>
      </c>
      <c r="K588" s="20" t="n">
        <v>8199.960000000001</v>
      </c>
      <c r="L588" s="20" t="n">
        <v>7516.67</v>
      </c>
      <c r="M588" s="20" t="n">
        <v>0</v>
      </c>
      <c r="N588" s="20" t="n">
        <v>0</v>
      </c>
      <c r="O588" s="20" t="n">
        <v>0</v>
      </c>
      <c r="P588" s="20" t="n">
        <v>0</v>
      </c>
      <c r="Q588" s="20" t="n">
        <v>0</v>
      </c>
    </row>
    <row r="589">
      <c r="A589" s="19" t="inlineStr">
        <is>
          <t>Company 282</t>
        </is>
      </c>
      <c r="B589" s="19" t="inlineStr">
        <is>
          <t>Software</t>
        </is>
      </c>
      <c r="C589" s="19" t="inlineStr">
        <is>
          <t>Routing</t>
        </is>
      </c>
      <c r="D589" s="19" t="inlineStr">
        <is>
          <t>UK</t>
        </is>
      </c>
      <c r="E589" s="20" t="n">
        <v>1920</v>
      </c>
      <c r="F589" s="20" t="n">
        <v>1810</v>
      </c>
      <c r="G589" s="20" t="n">
        <v>2400</v>
      </c>
      <c r="H589" s="20" t="n">
        <v>2400</v>
      </c>
      <c r="I589" s="20" t="n">
        <v>2400</v>
      </c>
      <c r="J589" s="20" t="n">
        <v>2400</v>
      </c>
      <c r="K589" s="20" t="n">
        <v>2400</v>
      </c>
      <c r="L589" s="20" t="n">
        <v>2200</v>
      </c>
      <c r="M589" s="20" t="n">
        <v>0</v>
      </c>
      <c r="N589" s="20" t="n">
        <v>0</v>
      </c>
      <c r="O589" s="20" t="n">
        <v>0</v>
      </c>
      <c r="P589" s="20" t="n">
        <v>0</v>
      </c>
      <c r="Q589" s="20" t="n">
        <v>0</v>
      </c>
    </row>
    <row r="590">
      <c r="A590" s="19" t="inlineStr">
        <is>
          <t>Company 283</t>
        </is>
      </c>
      <c r="B590" s="19" t="inlineStr">
        <is>
          <t>Software</t>
        </is>
      </c>
      <c r="C590" s="19" t="inlineStr">
        <is>
          <t>ENOM</t>
        </is>
      </c>
      <c r="D590" s="19" t="inlineStr">
        <is>
          <t>Italy</t>
        </is>
      </c>
      <c r="E590" s="20" t="n">
        <v>9938.1</v>
      </c>
      <c r="F590" s="20" t="n">
        <v>9349.800000000001</v>
      </c>
      <c r="G590" s="20" t="n">
        <v>9199.950000000001</v>
      </c>
      <c r="H590" s="20" t="n">
        <v>10407.84</v>
      </c>
      <c r="I590" s="20" t="n">
        <v>10690.62</v>
      </c>
      <c r="J590" s="20" t="n">
        <v>8000.549999999999</v>
      </c>
      <c r="K590" s="20" t="n">
        <v>0</v>
      </c>
      <c r="L590" s="20" t="n">
        <v>0</v>
      </c>
      <c r="M590" s="20" t="n">
        <v>0</v>
      </c>
      <c r="N590" s="20" t="n">
        <v>0</v>
      </c>
      <c r="O590" s="20" t="n">
        <v>0</v>
      </c>
      <c r="P590" s="20" t="n">
        <v>0</v>
      </c>
      <c r="Q590" s="20" t="n">
        <v>0</v>
      </c>
    </row>
    <row r="591">
      <c r="A591" s="19" t="inlineStr">
        <is>
          <t>Company 283</t>
        </is>
      </c>
      <c r="B591" s="19" t="inlineStr">
        <is>
          <t>Software</t>
        </is>
      </c>
      <c r="C591" s="19" t="inlineStr">
        <is>
          <t>Routing</t>
        </is>
      </c>
      <c r="D591" s="19" t="inlineStr">
        <is>
          <t>Italy</t>
        </is>
      </c>
      <c r="E591" s="20" t="n">
        <v>745.38</v>
      </c>
      <c r="F591" s="20" t="n">
        <v>701.1900000000001</v>
      </c>
      <c r="G591" s="20" t="n">
        <v>690.0799999999999</v>
      </c>
      <c r="H591" s="20" t="n">
        <v>780.51</v>
      </c>
      <c r="I591" s="20" t="n">
        <v>801.8599999999999</v>
      </c>
      <c r="J591" s="20" t="n">
        <v>600.03</v>
      </c>
      <c r="K591" s="20" t="n">
        <v>0</v>
      </c>
      <c r="L591" s="20" t="n">
        <v>0</v>
      </c>
      <c r="M591" s="20" t="n">
        <v>0</v>
      </c>
      <c r="N591" s="20" t="n">
        <v>0</v>
      </c>
      <c r="O591" s="20" t="n">
        <v>0</v>
      </c>
      <c r="P591" s="20" t="n">
        <v>0</v>
      </c>
      <c r="Q591" s="20" t="n">
        <v>0</v>
      </c>
    </row>
    <row r="592">
      <c r="A592" s="19" t="inlineStr">
        <is>
          <t>Company 284</t>
        </is>
      </c>
      <c r="B592" s="19" t="inlineStr">
        <is>
          <t>Software</t>
        </is>
      </c>
      <c r="C592" s="19" t="inlineStr">
        <is>
          <t>Hosting</t>
        </is>
      </c>
      <c r="D592" s="19" t="inlineStr">
        <is>
          <t>Poland</t>
        </is>
      </c>
      <c r="E592" s="20" t="n">
        <v>0</v>
      </c>
      <c r="F592" s="20" t="n">
        <v>0</v>
      </c>
      <c r="G592" s="20" t="n">
        <v>0</v>
      </c>
      <c r="H592" s="20" t="n">
        <v>246.45</v>
      </c>
      <c r="I592" s="20" t="n">
        <v>0</v>
      </c>
      <c r="J592" s="20" t="n">
        <v>0</v>
      </c>
      <c r="K592" s="20" t="n">
        <v>0</v>
      </c>
      <c r="L592" s="20" t="n">
        <v>0</v>
      </c>
      <c r="M592" s="20" t="n">
        <v>0</v>
      </c>
      <c r="N592" s="20" t="n">
        <v>0</v>
      </c>
      <c r="O592" s="20" t="n">
        <v>0</v>
      </c>
      <c r="P592" s="20" t="n">
        <v>0</v>
      </c>
      <c r="Q592" s="20" t="n">
        <v>0</v>
      </c>
    </row>
    <row r="593">
      <c r="A593" s="19" t="inlineStr">
        <is>
          <t>Company 285</t>
        </is>
      </c>
      <c r="B593" s="19" t="inlineStr">
        <is>
          <t>Software</t>
        </is>
      </c>
      <c r="C593" s="19" t="inlineStr">
        <is>
          <t>Routing</t>
        </is>
      </c>
      <c r="D593" s="19" t="inlineStr">
        <is>
          <t>Poland</t>
        </is>
      </c>
      <c r="E593" s="20" t="n">
        <v>0</v>
      </c>
      <c r="F593" s="20" t="n">
        <v>0</v>
      </c>
      <c r="G593" s="20" t="n">
        <v>739.3</v>
      </c>
      <c r="H593" s="20" t="n">
        <v>0</v>
      </c>
      <c r="I593" s="20" t="n">
        <v>0</v>
      </c>
      <c r="J593" s="20" t="n">
        <v>0</v>
      </c>
      <c r="K593" s="20" t="n">
        <v>0</v>
      </c>
      <c r="L593" s="20" t="n">
        <v>0</v>
      </c>
      <c r="M593" s="20" t="n">
        <v>0</v>
      </c>
      <c r="N593" s="20" t="n">
        <v>0</v>
      </c>
      <c r="O593" s="20" t="n">
        <v>0</v>
      </c>
      <c r="P593" s="20" t="n">
        <v>0</v>
      </c>
      <c r="Q593" s="20" t="n">
        <v>0</v>
      </c>
    </row>
    <row r="594">
      <c r="A594" s="19" t="inlineStr">
        <is>
          <t>Company 286</t>
        </is>
      </c>
      <c r="B594" s="19" t="inlineStr">
        <is>
          <t>Power</t>
        </is>
      </c>
      <c r="C594" s="19" t="inlineStr">
        <is>
          <t>Operations Other</t>
        </is>
      </c>
      <c r="D594" s="19" t="inlineStr">
        <is>
          <t>UK</t>
        </is>
      </c>
      <c r="E594" s="20" t="n">
        <v>478.2</v>
      </c>
      <c r="F594" s="20" t="n">
        <v>0</v>
      </c>
      <c r="G594" s="20" t="n">
        <v>0</v>
      </c>
      <c r="H594" s="20" t="n">
        <v>0</v>
      </c>
      <c r="I594" s="20" t="n">
        <v>0</v>
      </c>
      <c r="J594" s="20" t="n">
        <v>0</v>
      </c>
      <c r="K594" s="20" t="n">
        <v>0</v>
      </c>
      <c r="L594" s="20" t="n">
        <v>0</v>
      </c>
      <c r="M594" s="20" t="n">
        <v>0</v>
      </c>
      <c r="N594" s="20" t="n">
        <v>0</v>
      </c>
      <c r="O594" s="20" t="n">
        <v>0</v>
      </c>
      <c r="P594" s="20" t="n">
        <v>0</v>
      </c>
      <c r="Q594" s="20" t="n">
        <v>0</v>
      </c>
    </row>
    <row r="595">
      <c r="A595" s="19" t="inlineStr">
        <is>
          <t>Company 287</t>
        </is>
      </c>
      <c r="B595" s="19" t="inlineStr">
        <is>
          <t>Operations</t>
        </is>
      </c>
      <c r="C595" s="19" t="inlineStr">
        <is>
          <t>Shipper Gas</t>
        </is>
      </c>
      <c r="D595" s="19" t="inlineStr">
        <is>
          <t>UK</t>
        </is>
      </c>
      <c r="E595" s="20" t="n">
        <v>0</v>
      </c>
      <c r="F595" s="20" t="n">
        <v>3900</v>
      </c>
      <c r="G595" s="20" t="n">
        <v>4200</v>
      </c>
      <c r="H595" s="20" t="n">
        <v>13525</v>
      </c>
      <c r="I595" s="20" t="n">
        <v>5700</v>
      </c>
      <c r="J595" s="20" t="n">
        <v>321.77</v>
      </c>
      <c r="K595" s="20" t="n">
        <v>0</v>
      </c>
      <c r="L595" s="20" t="n">
        <v>0</v>
      </c>
      <c r="M595" s="20" t="n">
        <v>0</v>
      </c>
      <c r="N595" s="20" t="n">
        <v>0</v>
      </c>
      <c r="O595" s="20" t="n">
        <v>0</v>
      </c>
      <c r="P595" s="20" t="n">
        <v>0</v>
      </c>
      <c r="Q595" s="20" t="n">
        <v>0</v>
      </c>
    </row>
    <row r="596">
      <c r="A596" s="19" t="inlineStr">
        <is>
          <t>Company 288</t>
        </is>
      </c>
      <c r="B596" s="19" t="inlineStr">
        <is>
          <t>Software</t>
        </is>
      </c>
      <c r="C596" s="19" t="inlineStr">
        <is>
          <t>ENOM</t>
        </is>
      </c>
      <c r="D596" s="19" t="inlineStr">
        <is>
          <t>Belgium</t>
        </is>
      </c>
      <c r="E596" s="20" t="n">
        <v>36312.33</v>
      </c>
      <c r="F596" s="20" t="n">
        <v>15716.64</v>
      </c>
      <c r="G596" s="20" t="n">
        <v>0</v>
      </c>
      <c r="H596" s="20" t="n">
        <v>0</v>
      </c>
      <c r="I596" s="20" t="n">
        <v>0</v>
      </c>
      <c r="J596" s="20" t="n">
        <v>0</v>
      </c>
      <c r="K596" s="20" t="n">
        <v>0</v>
      </c>
      <c r="L596" s="20" t="n">
        <v>0</v>
      </c>
      <c r="M596" s="20" t="n">
        <v>0</v>
      </c>
      <c r="N596" s="20" t="n">
        <v>0</v>
      </c>
      <c r="O596" s="20" t="n">
        <v>0</v>
      </c>
      <c r="P596" s="20" t="n">
        <v>0</v>
      </c>
      <c r="Q596" s="20" t="n">
        <v>0</v>
      </c>
    </row>
    <row r="597">
      <c r="A597" s="19" t="inlineStr">
        <is>
          <t>Company 289</t>
        </is>
      </c>
      <c r="B597" s="19" t="inlineStr">
        <is>
          <t>Software</t>
        </is>
      </c>
      <c r="C597" s="19" t="inlineStr">
        <is>
          <t>ENOM</t>
        </is>
      </c>
      <c r="D597" s="19" t="inlineStr">
        <is>
          <t>Belgium</t>
        </is>
      </c>
      <c r="E597" s="20" t="n">
        <v>2400</v>
      </c>
      <c r="F597" s="20" t="n">
        <v>0</v>
      </c>
      <c r="G597" s="20" t="n">
        <v>0</v>
      </c>
      <c r="H597" s="20" t="n">
        <v>0</v>
      </c>
      <c r="I597" s="20" t="n">
        <v>0</v>
      </c>
      <c r="J597" s="20" t="n">
        <v>0</v>
      </c>
      <c r="K597" s="20" t="n">
        <v>0</v>
      </c>
      <c r="L597" s="20" t="n">
        <v>0</v>
      </c>
      <c r="M597" s="20" t="n">
        <v>0</v>
      </c>
      <c r="N597" s="20" t="n">
        <v>0</v>
      </c>
      <c r="O597" s="20" t="n">
        <v>0</v>
      </c>
      <c r="P597" s="20" t="n">
        <v>0</v>
      </c>
      <c r="Q597" s="20" t="n">
        <v>0</v>
      </c>
    </row>
    <row r="598">
      <c r="A598" s="19" t="inlineStr">
        <is>
          <t>Company 289</t>
        </is>
      </c>
      <c r="B598" s="19" t="inlineStr">
        <is>
          <t>Software</t>
        </is>
      </c>
      <c r="C598" s="19" t="inlineStr">
        <is>
          <t>Routing</t>
        </is>
      </c>
      <c r="D598" s="19" t="inlineStr">
        <is>
          <t>Belgium</t>
        </is>
      </c>
      <c r="E598" s="20" t="n">
        <v>400</v>
      </c>
      <c r="F598" s="20" t="n">
        <v>0</v>
      </c>
      <c r="G598" s="20" t="n">
        <v>0</v>
      </c>
      <c r="H598" s="20" t="n">
        <v>0</v>
      </c>
      <c r="I598" s="20" t="n">
        <v>0</v>
      </c>
      <c r="J598" s="20" t="n">
        <v>0</v>
      </c>
      <c r="K598" s="20" t="n">
        <v>0</v>
      </c>
      <c r="L598" s="20" t="n">
        <v>0</v>
      </c>
      <c r="M598" s="20" t="n">
        <v>0</v>
      </c>
      <c r="N598" s="20" t="n">
        <v>0</v>
      </c>
      <c r="O598" s="20" t="n">
        <v>0</v>
      </c>
      <c r="P598" s="20" t="n">
        <v>0</v>
      </c>
      <c r="Q598" s="20" t="n">
        <v>0</v>
      </c>
    </row>
    <row r="599">
      <c r="A599" s="19" t="inlineStr">
        <is>
          <t>Company 290</t>
        </is>
      </c>
      <c r="B599" s="19" t="inlineStr">
        <is>
          <t>Power</t>
        </is>
      </c>
      <c r="C599" s="19" t="inlineStr">
        <is>
          <t>Market Power</t>
        </is>
      </c>
      <c r="D599" s="19" t="inlineStr">
        <is>
          <t>Hungary</t>
        </is>
      </c>
      <c r="E599" s="20" t="n">
        <v>0</v>
      </c>
      <c r="F599" s="20" t="n">
        <v>0</v>
      </c>
      <c r="G599" s="20" t="n">
        <v>25983.87</v>
      </c>
      <c r="H599" s="20" t="n">
        <v>42000</v>
      </c>
      <c r="I599" s="20" t="n">
        <v>42000</v>
      </c>
      <c r="J599" s="20" t="n">
        <v>42000</v>
      </c>
      <c r="K599" s="20" t="n">
        <v>3500</v>
      </c>
      <c r="L599" s="20" t="n">
        <v>0</v>
      </c>
      <c r="M599" s="20" t="n">
        <v>0</v>
      </c>
      <c r="N599" s="20" t="n">
        <v>0</v>
      </c>
      <c r="O599" s="20" t="n">
        <v>0</v>
      </c>
      <c r="P599" s="20" t="n">
        <v>0</v>
      </c>
      <c r="Q599" s="20" t="n">
        <v>0</v>
      </c>
    </row>
    <row r="600">
      <c r="A600" s="19" t="inlineStr">
        <is>
          <t>Company 291</t>
        </is>
      </c>
      <c r="B600" s="19" t="inlineStr">
        <is>
          <t>Software</t>
        </is>
      </c>
      <c r="C600" s="19" t="inlineStr">
        <is>
          <t>Routing</t>
        </is>
      </c>
      <c r="D600" s="19" t="inlineStr">
        <is>
          <t>UK</t>
        </is>
      </c>
      <c r="E600" s="20" t="n">
        <v>0</v>
      </c>
      <c r="F600" s="20" t="n">
        <v>0</v>
      </c>
      <c r="G600" s="20" t="n">
        <v>0</v>
      </c>
      <c r="H600" s="20" t="n">
        <v>0</v>
      </c>
      <c r="I600" s="20" t="n">
        <v>3085.88</v>
      </c>
      <c r="J600" s="20" t="n">
        <v>3339.01</v>
      </c>
      <c r="K600" s="20" t="n">
        <v>3954.810000000001</v>
      </c>
      <c r="L600" s="20" t="n">
        <v>334.26</v>
      </c>
      <c r="M600" s="20" t="n">
        <v>0</v>
      </c>
      <c r="N600" s="20" t="n">
        <v>0</v>
      </c>
      <c r="O600" s="20" t="n">
        <v>0</v>
      </c>
      <c r="P600" s="20" t="n">
        <v>0</v>
      </c>
      <c r="Q600" s="20" t="n">
        <v>0</v>
      </c>
    </row>
    <row r="601">
      <c r="A601" s="19" t="inlineStr">
        <is>
          <t>Company 292</t>
        </is>
      </c>
      <c r="B601" s="19" t="inlineStr">
        <is>
          <t>Software</t>
        </is>
      </c>
      <c r="C601" s="19" t="inlineStr">
        <is>
          <t>Routing</t>
        </is>
      </c>
      <c r="D601" s="19" t="inlineStr">
        <is>
          <t>UK</t>
        </is>
      </c>
      <c r="E601" s="20" t="n">
        <v>533.3200000000001</v>
      </c>
      <c r="F601" s="20" t="n">
        <v>0</v>
      </c>
      <c r="G601" s="20" t="n">
        <v>4497.679999999999</v>
      </c>
      <c r="H601" s="20" t="n">
        <v>1711</v>
      </c>
      <c r="I601" s="20" t="n">
        <v>1770.32</v>
      </c>
      <c r="J601" s="20" t="n">
        <v>1800</v>
      </c>
      <c r="K601" s="20" t="n">
        <v>1800</v>
      </c>
      <c r="L601" s="20" t="n">
        <v>1800</v>
      </c>
      <c r="M601" s="20" t="n">
        <v>600</v>
      </c>
      <c r="N601" s="20" t="n">
        <v>0</v>
      </c>
      <c r="O601" s="20" t="n">
        <v>0</v>
      </c>
      <c r="P601" s="20" t="n">
        <v>0</v>
      </c>
      <c r="Q601" s="20" t="n">
        <v>0</v>
      </c>
    </row>
    <row r="602">
      <c r="A602" s="19" t="inlineStr">
        <is>
          <t>Company 292</t>
        </is>
      </c>
      <c r="B602" s="19" t="inlineStr">
        <is>
          <t>Power</t>
        </is>
      </c>
      <c r="C602" s="19" t="inlineStr">
        <is>
          <t>Market Power</t>
        </is>
      </c>
      <c r="D602" s="19" t="inlineStr">
        <is>
          <t>UK</t>
        </is>
      </c>
      <c r="E602" s="20" t="n">
        <v>2266.690000000001</v>
      </c>
      <c r="F602" s="20" t="n">
        <v>933.3100000000001</v>
      </c>
      <c r="G602" s="20" t="n">
        <v>0</v>
      </c>
      <c r="H602" s="20" t="n">
        <v>0</v>
      </c>
      <c r="I602" s="20" t="n">
        <v>0</v>
      </c>
      <c r="J602" s="20" t="n">
        <v>0</v>
      </c>
      <c r="K602" s="20" t="n">
        <v>0</v>
      </c>
      <c r="L602" s="20" t="n">
        <v>0</v>
      </c>
      <c r="M602" s="20" t="n">
        <v>0</v>
      </c>
      <c r="N602" s="20" t="n">
        <v>0</v>
      </c>
      <c r="O602" s="20" t="n">
        <v>0</v>
      </c>
      <c r="P602" s="20" t="n">
        <v>0</v>
      </c>
      <c r="Q602" s="20" t="n">
        <v>0</v>
      </c>
    </row>
    <row r="603">
      <c r="A603" s="19" t="inlineStr">
        <is>
          <t>Company 293</t>
        </is>
      </c>
      <c r="B603" s="19" t="inlineStr">
        <is>
          <t>Software</t>
        </is>
      </c>
      <c r="C603" s="19" t="inlineStr">
        <is>
          <t>ENOM</t>
        </is>
      </c>
      <c r="D603" s="19" t="inlineStr">
        <is>
          <t>Norway</t>
        </is>
      </c>
      <c r="E603" s="20" t="n">
        <v>0</v>
      </c>
      <c r="F603" s="20" t="n">
        <v>0</v>
      </c>
      <c r="G603" s="20" t="n">
        <v>0</v>
      </c>
      <c r="H603" s="20" t="n">
        <v>0</v>
      </c>
      <c r="I603" s="20" t="n">
        <v>5199.98</v>
      </c>
      <c r="J603" s="20" t="n">
        <v>10400.04</v>
      </c>
      <c r="K603" s="20" t="n">
        <v>7800.03</v>
      </c>
      <c r="L603" s="20" t="n">
        <v>0</v>
      </c>
      <c r="M603" s="20" t="n">
        <v>0</v>
      </c>
      <c r="N603" s="20" t="n">
        <v>0</v>
      </c>
      <c r="O603" s="20" t="n">
        <v>0</v>
      </c>
      <c r="P603" s="20" t="n">
        <v>0</v>
      </c>
      <c r="Q603" s="20" t="n">
        <v>0</v>
      </c>
    </row>
    <row r="604">
      <c r="A604" s="19" t="inlineStr">
        <is>
          <t>Company 293</t>
        </is>
      </c>
      <c r="B604" s="19" t="inlineStr">
        <is>
          <t>Software</t>
        </is>
      </c>
      <c r="C604" s="19" t="inlineStr">
        <is>
          <t>Routing</t>
        </is>
      </c>
      <c r="D604" s="19" t="inlineStr">
        <is>
          <t>Norway</t>
        </is>
      </c>
      <c r="E604" s="20" t="n">
        <v>0</v>
      </c>
      <c r="F604" s="20" t="n">
        <v>0</v>
      </c>
      <c r="G604" s="20" t="n">
        <v>0</v>
      </c>
      <c r="H604" s="20" t="n">
        <v>0</v>
      </c>
      <c r="I604" s="20" t="n">
        <v>400.64</v>
      </c>
      <c r="J604" s="20" t="n">
        <v>66.67</v>
      </c>
      <c r="K604" s="20" t="n">
        <v>0</v>
      </c>
      <c r="L604" s="20" t="n">
        <v>0</v>
      </c>
      <c r="M604" s="20" t="n">
        <v>0</v>
      </c>
      <c r="N604" s="20" t="n">
        <v>0</v>
      </c>
      <c r="O604" s="20" t="n">
        <v>0</v>
      </c>
      <c r="P604" s="20" t="n">
        <v>0</v>
      </c>
      <c r="Q604" s="20" t="n">
        <v>0</v>
      </c>
    </row>
    <row r="605">
      <c r="A605" s="19" t="inlineStr">
        <is>
          <t>Company 294</t>
        </is>
      </c>
      <c r="B605" s="19" t="inlineStr">
        <is>
          <t>Software</t>
        </is>
      </c>
      <c r="C605" s="19" t="inlineStr">
        <is>
          <t>Inform</t>
        </is>
      </c>
      <c r="D605" s="19" t="inlineStr">
        <is>
          <t>Ireland</t>
        </is>
      </c>
      <c r="E605" s="20" t="n">
        <v>6400</v>
      </c>
      <c r="F605" s="20" t="n">
        <v>6400</v>
      </c>
      <c r="G605" s="20" t="n">
        <v>6400</v>
      </c>
      <c r="H605" s="20" t="n">
        <v>0</v>
      </c>
      <c r="I605" s="20" t="n">
        <v>0</v>
      </c>
      <c r="J605" s="20" t="n">
        <v>0</v>
      </c>
      <c r="K605" s="20" t="n">
        <v>0</v>
      </c>
      <c r="L605" s="20" t="n">
        <v>0</v>
      </c>
      <c r="M605" s="20" t="n">
        <v>0</v>
      </c>
      <c r="N605" s="20" t="n">
        <v>0</v>
      </c>
      <c r="O605" s="20" t="n">
        <v>0</v>
      </c>
      <c r="P605" s="20" t="n">
        <v>0</v>
      </c>
      <c r="Q605" s="20" t="n">
        <v>0</v>
      </c>
    </row>
    <row r="606">
      <c r="A606" s="19" t="inlineStr">
        <is>
          <t>Company 295</t>
        </is>
      </c>
      <c r="B606" s="19" t="inlineStr">
        <is>
          <t>Operations</t>
        </is>
      </c>
      <c r="C606" s="19" t="inlineStr">
        <is>
          <t>Shipper Gas</t>
        </is>
      </c>
      <c r="D606" s="19" t="inlineStr">
        <is>
          <t>UK</t>
        </is>
      </c>
      <c r="E606" s="20" t="n">
        <v>77220</v>
      </c>
      <c r="F606" s="20" t="n">
        <v>74106.28999999999</v>
      </c>
      <c r="G606" s="20" t="n">
        <v>0</v>
      </c>
      <c r="H606" s="20" t="n">
        <v>0</v>
      </c>
      <c r="I606" s="20" t="n">
        <v>0</v>
      </c>
      <c r="J606" s="20" t="n">
        <v>0</v>
      </c>
      <c r="K606" s="20" t="n">
        <v>0</v>
      </c>
      <c r="L606" s="20" t="n">
        <v>0</v>
      </c>
      <c r="M606" s="20" t="n">
        <v>0</v>
      </c>
      <c r="N606" s="20" t="n">
        <v>0</v>
      </c>
      <c r="O606" s="20" t="n">
        <v>0</v>
      </c>
      <c r="P606" s="20" t="n">
        <v>0</v>
      </c>
      <c r="Q606" s="20" t="n">
        <v>0</v>
      </c>
    </row>
    <row r="607">
      <c r="A607" s="19" t="inlineStr">
        <is>
          <t>Company 296</t>
        </is>
      </c>
      <c r="B607" s="19" t="inlineStr">
        <is>
          <t>Software</t>
        </is>
      </c>
      <c r="C607" s="19" t="inlineStr">
        <is>
          <t>ENOM+</t>
        </is>
      </c>
      <c r="D607" s="19" t="inlineStr">
        <is>
          <t>UK</t>
        </is>
      </c>
      <c r="E607" s="20" t="n">
        <v>14500</v>
      </c>
      <c r="F607" s="20" t="n">
        <v>14500</v>
      </c>
      <c r="G607" s="20" t="n">
        <v>3624.99</v>
      </c>
      <c r="H607" s="20" t="n">
        <v>0</v>
      </c>
      <c r="I607" s="20" t="n">
        <v>0</v>
      </c>
      <c r="J607" s="20" t="n">
        <v>0</v>
      </c>
      <c r="K607" s="20" t="n">
        <v>0</v>
      </c>
      <c r="L607" s="20" t="n">
        <v>0</v>
      </c>
      <c r="M607" s="20" t="n">
        <v>0</v>
      </c>
      <c r="N607" s="20" t="n">
        <v>0</v>
      </c>
      <c r="O607" s="20" t="n">
        <v>0</v>
      </c>
      <c r="P607" s="20" t="n">
        <v>0</v>
      </c>
      <c r="Q607" s="20" t="n">
        <v>0</v>
      </c>
    </row>
    <row r="608">
      <c r="A608" s="19" t="inlineStr">
        <is>
          <t>Company 296</t>
        </is>
      </c>
      <c r="B608" s="19" t="inlineStr">
        <is>
          <t>Software</t>
        </is>
      </c>
      <c r="C608" s="19" t="inlineStr">
        <is>
          <t>Routing</t>
        </is>
      </c>
      <c r="D608" s="19" t="inlineStr">
        <is>
          <t>UK</t>
        </is>
      </c>
      <c r="E608" s="20" t="n">
        <v>5425</v>
      </c>
      <c r="F608" s="20" t="n">
        <v>4900</v>
      </c>
      <c r="G608" s="20" t="n">
        <v>1224.99</v>
      </c>
      <c r="H608" s="20" t="n">
        <v>0</v>
      </c>
      <c r="I608" s="20" t="n">
        <v>0</v>
      </c>
      <c r="J608" s="20" t="n">
        <v>0</v>
      </c>
      <c r="K608" s="20" t="n">
        <v>0</v>
      </c>
      <c r="L608" s="20" t="n">
        <v>0</v>
      </c>
      <c r="M608" s="20" t="n">
        <v>0</v>
      </c>
      <c r="N608" s="20" t="n">
        <v>0</v>
      </c>
      <c r="O608" s="20" t="n">
        <v>0</v>
      </c>
      <c r="P608" s="20" t="n">
        <v>0</v>
      </c>
      <c r="Q608" s="20" t="n">
        <v>0</v>
      </c>
    </row>
    <row r="609">
      <c r="A609" s="19" t="inlineStr">
        <is>
          <t>Company 296</t>
        </is>
      </c>
      <c r="B609" s="19" t="inlineStr">
        <is>
          <t>Power</t>
        </is>
      </c>
      <c r="C609" s="19" t="inlineStr">
        <is>
          <t>Shipper Power</t>
        </is>
      </c>
      <c r="D609" s="19" t="inlineStr">
        <is>
          <t>UK</t>
        </is>
      </c>
      <c r="E609" s="20" t="n">
        <v>0</v>
      </c>
      <c r="F609" s="20" t="n">
        <v>0</v>
      </c>
      <c r="G609" s="20" t="n">
        <v>0</v>
      </c>
      <c r="H609" s="20" t="n">
        <v>0</v>
      </c>
      <c r="I609" s="20" t="n">
        <v>0</v>
      </c>
      <c r="J609" s="20" t="n">
        <v>0</v>
      </c>
      <c r="K609" s="20" t="n">
        <v>0</v>
      </c>
      <c r="L609" s="20" t="n">
        <v>0</v>
      </c>
      <c r="M609" s="20" t="n">
        <v>0</v>
      </c>
      <c r="N609" s="20" t="n">
        <v>0</v>
      </c>
      <c r="O609" s="20" t="n">
        <v>0</v>
      </c>
      <c r="P609" s="20" t="n">
        <v>5250</v>
      </c>
      <c r="Q609" s="20" t="n">
        <v>0</v>
      </c>
    </row>
    <row r="610">
      <c r="A610" s="19" t="inlineStr">
        <is>
          <t>Company 297</t>
        </is>
      </c>
      <c r="B610" s="19" t="inlineStr">
        <is>
          <t>Software</t>
        </is>
      </c>
      <c r="C610" s="19" t="inlineStr">
        <is>
          <t>Hosting</t>
        </is>
      </c>
      <c r="D610" s="19" t="inlineStr">
        <is>
          <t>UK</t>
        </is>
      </c>
      <c r="E610" s="20" t="n">
        <v>2.03</v>
      </c>
      <c r="F610" s="20" t="n">
        <v>0</v>
      </c>
      <c r="G610" s="20" t="n">
        <v>0</v>
      </c>
      <c r="H610" s="20" t="n">
        <v>0</v>
      </c>
      <c r="I610" s="20" t="n">
        <v>0</v>
      </c>
      <c r="J610" s="20" t="n">
        <v>0</v>
      </c>
      <c r="K610" s="20" t="n">
        <v>0</v>
      </c>
      <c r="L610" s="20" t="n">
        <v>0</v>
      </c>
      <c r="M610" s="20" t="n">
        <v>0</v>
      </c>
      <c r="N610" s="20" t="n">
        <v>0</v>
      </c>
      <c r="O610" s="20" t="n">
        <v>0</v>
      </c>
      <c r="P610" s="20" t="n">
        <v>0</v>
      </c>
      <c r="Q610" s="20" t="n">
        <v>0</v>
      </c>
    </row>
    <row r="611">
      <c r="A611" s="19" t="inlineStr">
        <is>
          <t>Company 298</t>
        </is>
      </c>
      <c r="B611" s="19" t="inlineStr">
        <is>
          <t>Software</t>
        </is>
      </c>
      <c r="C611" s="19" t="inlineStr">
        <is>
          <t>ENOM+</t>
        </is>
      </c>
      <c r="D611" s="19" t="inlineStr">
        <is>
          <t>UK</t>
        </is>
      </c>
      <c r="E611" s="20" t="n">
        <v>17850</v>
      </c>
      <c r="F611" s="20" t="n">
        <v>17850</v>
      </c>
      <c r="G611" s="20" t="n">
        <v>17850</v>
      </c>
      <c r="H611" s="20" t="n">
        <v>17850</v>
      </c>
      <c r="I611" s="20" t="n">
        <v>13982.5</v>
      </c>
      <c r="J611" s="20" t="n">
        <v>10710</v>
      </c>
      <c r="K611" s="20" t="n">
        <v>10710</v>
      </c>
      <c r="L611" s="20" t="n">
        <v>10710</v>
      </c>
      <c r="M611" s="20" t="n">
        <v>10710</v>
      </c>
      <c r="N611" s="20" t="n">
        <v>3570</v>
      </c>
      <c r="O611" s="20" t="n">
        <v>0</v>
      </c>
      <c r="P611" s="20" t="n">
        <v>0</v>
      </c>
      <c r="Q611" s="20" t="n">
        <v>0</v>
      </c>
    </row>
    <row r="612">
      <c r="A612" s="19" t="inlineStr">
        <is>
          <t>Company 298</t>
        </is>
      </c>
      <c r="B612" s="19" t="inlineStr">
        <is>
          <t>Software</t>
        </is>
      </c>
      <c r="C612" s="19" t="inlineStr">
        <is>
          <t>PowerTrak</t>
        </is>
      </c>
      <c r="D612" s="19" t="inlineStr">
        <is>
          <t>UK</t>
        </is>
      </c>
      <c r="E612" s="20" t="n">
        <v>0</v>
      </c>
      <c r="F612" s="20" t="n">
        <v>31200</v>
      </c>
      <c r="G612" s="20" t="n">
        <v>28800</v>
      </c>
      <c r="H612" s="20" t="n">
        <v>28800</v>
      </c>
      <c r="I612" s="20" t="n">
        <v>28800</v>
      </c>
      <c r="J612" s="20" t="n">
        <v>28800</v>
      </c>
      <c r="K612" s="20" t="n">
        <v>28800</v>
      </c>
      <c r="L612" s="20" t="n">
        <v>26400</v>
      </c>
      <c r="M612" s="20" t="n">
        <v>0</v>
      </c>
      <c r="N612" s="20" t="n">
        <v>0</v>
      </c>
      <c r="O612" s="20" t="n">
        <v>0</v>
      </c>
      <c r="P612" s="20" t="n">
        <v>0</v>
      </c>
      <c r="Q612" s="20" t="n">
        <v>0</v>
      </c>
    </row>
    <row r="613">
      <c r="A613" s="19" t="inlineStr">
        <is>
          <t>Company 298</t>
        </is>
      </c>
      <c r="B613" s="19" t="inlineStr">
        <is>
          <t>Software</t>
        </is>
      </c>
      <c r="C613" s="19" t="inlineStr">
        <is>
          <t>Routing</t>
        </is>
      </c>
      <c r="D613" s="19" t="inlineStr">
        <is>
          <t>UK</t>
        </is>
      </c>
      <c r="E613" s="20" t="n">
        <v>35466.68</v>
      </c>
      <c r="F613" s="20" t="n">
        <v>40533.31999999999</v>
      </c>
      <c r="G613" s="20" t="n">
        <v>44016.68</v>
      </c>
      <c r="H613" s="20" t="n">
        <v>39900</v>
      </c>
      <c r="I613" s="20" t="n">
        <v>24177.5</v>
      </c>
      <c r="J613" s="20" t="n">
        <v>19950</v>
      </c>
      <c r="K613" s="20" t="n">
        <v>21925</v>
      </c>
      <c r="L613" s="20" t="n">
        <v>22230</v>
      </c>
      <c r="M613" s="20" t="n">
        <v>7790</v>
      </c>
      <c r="N613" s="20" t="n">
        <v>190</v>
      </c>
      <c r="O613" s="20" t="n">
        <v>0</v>
      </c>
      <c r="P613" s="20" t="n">
        <v>0</v>
      </c>
      <c r="Q613" s="20" t="n">
        <v>0</v>
      </c>
    </row>
    <row r="614">
      <c r="A614" s="19" t="inlineStr">
        <is>
          <t>Company 299</t>
        </is>
      </c>
      <c r="B614" s="19" t="inlineStr">
        <is>
          <t>Operations</t>
        </is>
      </c>
      <c r="C614" s="19" t="inlineStr">
        <is>
          <t>Shipper Gas</t>
        </is>
      </c>
      <c r="D614" s="19" t="inlineStr">
        <is>
          <t>UK</t>
        </is>
      </c>
      <c r="E614" s="20" t="n">
        <v>0</v>
      </c>
      <c r="F614" s="20" t="n">
        <v>0</v>
      </c>
      <c r="G614" s="20" t="n">
        <v>0</v>
      </c>
      <c r="H614" s="20" t="n">
        <v>0</v>
      </c>
      <c r="I614" s="20" t="n">
        <v>11000</v>
      </c>
      <c r="J614" s="20" t="n">
        <v>26400</v>
      </c>
      <c r="K614" s="20" t="n">
        <v>26400</v>
      </c>
      <c r="L614" s="20" t="n">
        <v>26400</v>
      </c>
      <c r="M614" s="20" t="n">
        <v>0</v>
      </c>
      <c r="N614" s="20" t="n">
        <v>0</v>
      </c>
      <c r="O614" s="20" t="n">
        <v>0</v>
      </c>
      <c r="P614" s="20" t="n">
        <v>0</v>
      </c>
      <c r="Q614" s="20" t="n">
        <v>0</v>
      </c>
    </row>
    <row r="615">
      <c r="A615" s="19" t="inlineStr">
        <is>
          <t>Company 300</t>
        </is>
      </c>
      <c r="B615" s="19" t="inlineStr">
        <is>
          <t>Software</t>
        </is>
      </c>
      <c r="C615" s="19" t="inlineStr">
        <is>
          <t>EuroRunner</t>
        </is>
      </c>
      <c r="D615" s="19" t="inlineStr">
        <is>
          <t>UK</t>
        </is>
      </c>
      <c r="E615" s="20" t="n">
        <v>0</v>
      </c>
      <c r="F615" s="20" t="n">
        <v>0</v>
      </c>
      <c r="G615" s="20" t="n">
        <v>0</v>
      </c>
      <c r="H615" s="20" t="n">
        <v>0</v>
      </c>
      <c r="I615" s="20" t="n">
        <v>0</v>
      </c>
      <c r="J615" s="20" t="n">
        <v>0</v>
      </c>
      <c r="K615" s="20" t="n">
        <v>0</v>
      </c>
      <c r="L615" s="20" t="n">
        <v>0</v>
      </c>
      <c r="M615" s="20" t="n">
        <v>0</v>
      </c>
      <c r="N615" s="20" t="n">
        <v>0</v>
      </c>
      <c r="O615" s="20" t="n">
        <v>0</v>
      </c>
      <c r="P615" s="20" t="n">
        <v>0</v>
      </c>
      <c r="Q615" s="20" t="n">
        <v>56439.46666666666</v>
      </c>
    </row>
    <row r="616">
      <c r="A616" s="19" t="inlineStr">
        <is>
          <t>Company 300</t>
        </is>
      </c>
      <c r="B616" s="19" t="inlineStr">
        <is>
          <t>Software</t>
        </is>
      </c>
      <c r="C616" s="19" t="inlineStr">
        <is>
          <t>PowerTrak</t>
        </is>
      </c>
      <c r="D616" s="19" t="inlineStr">
        <is>
          <t>UK</t>
        </is>
      </c>
      <c r="E616" s="20" t="n">
        <v>0</v>
      </c>
      <c r="F616" s="20" t="n">
        <v>0</v>
      </c>
      <c r="G616" s="20" t="n">
        <v>0</v>
      </c>
      <c r="H616" s="20" t="n">
        <v>0</v>
      </c>
      <c r="I616" s="20" t="n">
        <v>0</v>
      </c>
      <c r="J616" s="20" t="n">
        <v>0</v>
      </c>
      <c r="K616" s="20" t="n">
        <v>0</v>
      </c>
      <c r="L616" s="20" t="n">
        <v>0</v>
      </c>
      <c r="M616" s="20" t="n">
        <v>0</v>
      </c>
      <c r="N616" s="20" t="n">
        <v>0</v>
      </c>
      <c r="O616" s="20" t="n">
        <v>0</v>
      </c>
      <c r="P616" s="20" t="n">
        <v>0</v>
      </c>
      <c r="Q616" s="20" t="n">
        <v>62210</v>
      </c>
    </row>
    <row r="617">
      <c r="A617" s="19" t="inlineStr">
        <is>
          <t>Company 301</t>
        </is>
      </c>
      <c r="B617" s="19" t="inlineStr">
        <is>
          <t>Power</t>
        </is>
      </c>
      <c r="C617" s="19" t="inlineStr">
        <is>
          <t>Operations Other</t>
        </is>
      </c>
      <c r="D617" s="19" t="inlineStr">
        <is>
          <t>UK</t>
        </is>
      </c>
      <c r="E617" s="20" t="n">
        <v>1050</v>
      </c>
      <c r="F617" s="20" t="n">
        <v>0</v>
      </c>
      <c r="G617" s="20" t="n">
        <v>0</v>
      </c>
      <c r="H617" s="20" t="n">
        <v>0</v>
      </c>
      <c r="I617" s="20" t="n">
        <v>0</v>
      </c>
      <c r="J617" s="20" t="n">
        <v>0</v>
      </c>
      <c r="K617" s="20" t="n">
        <v>0</v>
      </c>
      <c r="L617" s="20" t="n">
        <v>0</v>
      </c>
      <c r="M617" s="20" t="n">
        <v>0</v>
      </c>
      <c r="N617" s="20" t="n">
        <v>0</v>
      </c>
      <c r="O617" s="20" t="n">
        <v>0</v>
      </c>
      <c r="P617" s="20" t="n">
        <v>0</v>
      </c>
      <c r="Q617" s="20" t="n">
        <v>0</v>
      </c>
    </row>
    <row r="618">
      <c r="A618" s="19" t="inlineStr">
        <is>
          <t>Company 302</t>
        </is>
      </c>
      <c r="B618" s="19" t="inlineStr">
        <is>
          <t>Software</t>
        </is>
      </c>
      <c r="C618" s="19" t="inlineStr">
        <is>
          <t>Routing</t>
        </is>
      </c>
      <c r="D618" s="19" t="inlineStr">
        <is>
          <t>Denmark</t>
        </is>
      </c>
      <c r="E618" s="20" t="n">
        <v>2236.199999999999</v>
      </c>
      <c r="F618" s="20" t="n">
        <v>2717.070000000001</v>
      </c>
      <c r="G618" s="20" t="n">
        <v>2757.76</v>
      </c>
      <c r="H618" s="20" t="n">
        <v>5216.35</v>
      </c>
      <c r="I618" s="20" t="n">
        <v>7029.41</v>
      </c>
      <c r="J618" s="20" t="n">
        <v>7117.200000000001</v>
      </c>
      <c r="K618" s="20" t="n">
        <v>1162.71</v>
      </c>
      <c r="L618" s="20" t="n">
        <v>0</v>
      </c>
      <c r="M618" s="20" t="n">
        <v>0</v>
      </c>
      <c r="N618" s="20" t="n">
        <v>0</v>
      </c>
      <c r="O618" s="20" t="n">
        <v>0</v>
      </c>
      <c r="P618" s="20" t="n">
        <v>0</v>
      </c>
      <c r="Q618" s="20" t="n">
        <v>0</v>
      </c>
    </row>
    <row r="619">
      <c r="A619" s="19" t="inlineStr">
        <is>
          <t>Company 302</t>
        </is>
      </c>
      <c r="B619" s="19" t="inlineStr">
        <is>
          <t>Operations</t>
        </is>
      </c>
      <c r="C619" s="19" t="inlineStr">
        <is>
          <t>Shipper Gas</t>
        </is>
      </c>
      <c r="D619" s="19" t="inlineStr">
        <is>
          <t>Denmark</t>
        </is>
      </c>
      <c r="E619" s="20" t="n">
        <v>0</v>
      </c>
      <c r="F619" s="20" t="n">
        <v>0</v>
      </c>
      <c r="G619" s="20" t="n">
        <v>0</v>
      </c>
      <c r="H619" s="20" t="n">
        <v>12366.67</v>
      </c>
      <c r="I619" s="20" t="n">
        <v>33850</v>
      </c>
      <c r="J619" s="20" t="n">
        <v>0</v>
      </c>
      <c r="K619" s="20" t="n">
        <v>0</v>
      </c>
      <c r="L619" s="20" t="n">
        <v>0</v>
      </c>
      <c r="M619" s="20" t="n">
        <v>0</v>
      </c>
      <c r="N619" s="20" t="n">
        <v>0</v>
      </c>
      <c r="O619" s="20" t="n">
        <v>0</v>
      </c>
      <c r="P619" s="20" t="n">
        <v>0</v>
      </c>
      <c r="Q619" s="20" t="n">
        <v>0</v>
      </c>
    </row>
    <row r="620">
      <c r="A620" s="19" t="inlineStr">
        <is>
          <t>Company 303</t>
        </is>
      </c>
      <c r="B620" s="19" t="inlineStr">
        <is>
          <t>Operations</t>
        </is>
      </c>
      <c r="C620" s="19" t="inlineStr">
        <is>
          <t>Shipper Gas</t>
        </is>
      </c>
      <c r="D620" s="19" t="inlineStr">
        <is>
          <t>UK</t>
        </is>
      </c>
      <c r="E620" s="20" t="n">
        <v>84975</v>
      </c>
      <c r="F620" s="20" t="n">
        <v>0</v>
      </c>
      <c r="G620" s="20" t="n">
        <v>0</v>
      </c>
      <c r="H620" s="20" t="n">
        <v>0</v>
      </c>
      <c r="I620" s="20" t="n">
        <v>0</v>
      </c>
      <c r="J620" s="20" t="n">
        <v>0</v>
      </c>
      <c r="K620" s="20" t="n">
        <v>0</v>
      </c>
      <c r="L620" s="20" t="n">
        <v>0</v>
      </c>
      <c r="M620" s="20" t="n">
        <v>0</v>
      </c>
      <c r="N620" s="20" t="n">
        <v>0</v>
      </c>
      <c r="O620" s="20" t="n">
        <v>0</v>
      </c>
      <c r="P620" s="20" t="n">
        <v>0</v>
      </c>
      <c r="Q620" s="20" t="n">
        <v>0</v>
      </c>
    </row>
    <row r="621">
      <c r="A621" s="19" t="inlineStr">
        <is>
          <t>Company 304</t>
        </is>
      </c>
      <c r="B621" s="19" t="inlineStr">
        <is>
          <t>Operations</t>
        </is>
      </c>
      <c r="C621" s="19" t="inlineStr">
        <is>
          <t>Shipper Gas</t>
        </is>
      </c>
      <c r="D621" s="19" t="inlineStr">
        <is>
          <t>Norway</t>
        </is>
      </c>
      <c r="E621" s="20" t="n">
        <v>96050</v>
      </c>
      <c r="F621" s="20" t="n">
        <v>33225</v>
      </c>
      <c r="G621" s="20" t="n">
        <v>0</v>
      </c>
      <c r="H621" s="20" t="n">
        <v>0</v>
      </c>
      <c r="I621" s="20" t="n">
        <v>0</v>
      </c>
      <c r="J621" s="20" t="n">
        <v>0</v>
      </c>
      <c r="K621" s="20" t="n">
        <v>0</v>
      </c>
      <c r="L621" s="20" t="n">
        <v>0</v>
      </c>
      <c r="M621" s="20" t="n">
        <v>0</v>
      </c>
      <c r="N621" s="20" t="n">
        <v>0</v>
      </c>
      <c r="O621" s="20" t="n">
        <v>0</v>
      </c>
      <c r="P621" s="20" t="n">
        <v>0</v>
      </c>
      <c r="Q621" s="20" t="n">
        <v>0</v>
      </c>
    </row>
    <row r="622">
      <c r="A622" s="19" t="inlineStr">
        <is>
          <t>Company 305</t>
        </is>
      </c>
      <c r="B622" s="19" t="inlineStr">
        <is>
          <t>Operations</t>
        </is>
      </c>
      <c r="C622" s="19" t="inlineStr">
        <is>
          <t>Demand Text</t>
        </is>
      </c>
      <c r="D622" s="19" t="inlineStr">
        <is>
          <t>France</t>
        </is>
      </c>
      <c r="E622" s="20" t="n">
        <v>796</v>
      </c>
      <c r="F622" s="20" t="n">
        <v>0</v>
      </c>
      <c r="G622" s="20" t="n">
        <v>0</v>
      </c>
      <c r="H622" s="20" t="n">
        <v>0</v>
      </c>
      <c r="I622" s="20" t="n">
        <v>0</v>
      </c>
      <c r="J622" s="20" t="n">
        <v>0</v>
      </c>
      <c r="K622" s="20" t="n">
        <v>0</v>
      </c>
      <c r="L622" s="20" t="n">
        <v>0</v>
      </c>
      <c r="M622" s="20" t="n">
        <v>0</v>
      </c>
      <c r="N622" s="20" t="n">
        <v>0</v>
      </c>
      <c r="O622" s="20" t="n">
        <v>0</v>
      </c>
      <c r="P622" s="20" t="n">
        <v>0</v>
      </c>
      <c r="Q622" s="20" t="n">
        <v>0</v>
      </c>
    </row>
    <row r="623">
      <c r="A623" s="19" t="inlineStr">
        <is>
          <t>Company 306</t>
        </is>
      </c>
      <c r="B623" s="19" t="inlineStr">
        <is>
          <t>Software</t>
        </is>
      </c>
      <c r="C623" s="19" t="inlineStr">
        <is>
          <t>CodeRunner</t>
        </is>
      </c>
      <c r="D623" s="19" t="inlineStr">
        <is>
          <t>UK</t>
        </is>
      </c>
      <c r="E623" s="20" t="n">
        <v>15000</v>
      </c>
      <c r="F623" s="20" t="n">
        <v>13750</v>
      </c>
      <c r="G623" s="20" t="n">
        <v>0</v>
      </c>
      <c r="H623" s="20" t="n">
        <v>0</v>
      </c>
      <c r="I623" s="20" t="n">
        <v>0</v>
      </c>
      <c r="J623" s="20" t="n">
        <v>0</v>
      </c>
      <c r="K623" s="20" t="n">
        <v>0</v>
      </c>
      <c r="L623" s="20" t="n">
        <v>0</v>
      </c>
      <c r="M623" s="20" t="n">
        <v>0</v>
      </c>
      <c r="N623" s="20" t="n">
        <v>0</v>
      </c>
      <c r="O623" s="20" t="n">
        <v>0</v>
      </c>
      <c r="P623" s="20" t="n">
        <v>0</v>
      </c>
      <c r="Q623" s="20" t="n">
        <v>0</v>
      </c>
    </row>
    <row r="624">
      <c r="A624" s="19" t="inlineStr">
        <is>
          <t>Company 306</t>
        </is>
      </c>
      <c r="B624" s="19" t="inlineStr">
        <is>
          <t>Operations</t>
        </is>
      </c>
      <c r="C624" s="19" t="inlineStr">
        <is>
          <t>Demand Text</t>
        </is>
      </c>
      <c r="D624" s="19" t="inlineStr">
        <is>
          <t>UK</t>
        </is>
      </c>
      <c r="E624" s="20" t="n">
        <v>3600</v>
      </c>
      <c r="F624" s="20" t="n">
        <v>0</v>
      </c>
      <c r="G624" s="20" t="n">
        <v>0</v>
      </c>
      <c r="H624" s="20" t="n">
        <v>0</v>
      </c>
      <c r="I624" s="20" t="n">
        <v>0</v>
      </c>
      <c r="J624" s="20" t="n">
        <v>0</v>
      </c>
      <c r="K624" s="20" t="n">
        <v>0</v>
      </c>
      <c r="L624" s="20" t="n">
        <v>0</v>
      </c>
      <c r="M624" s="20" t="n">
        <v>0</v>
      </c>
      <c r="N624" s="20" t="n">
        <v>0</v>
      </c>
      <c r="O624" s="20" t="n">
        <v>0</v>
      </c>
      <c r="P624" s="20" t="n">
        <v>0</v>
      </c>
      <c r="Q624" s="20" t="n">
        <v>0</v>
      </c>
    </row>
    <row r="625">
      <c r="A625" s="19" t="inlineStr">
        <is>
          <t>Company 306</t>
        </is>
      </c>
      <c r="B625" s="19" t="inlineStr">
        <is>
          <t>Software</t>
        </is>
      </c>
      <c r="C625" s="19" t="inlineStr">
        <is>
          <t>EuroRunner</t>
        </is>
      </c>
      <c r="D625" s="19" t="inlineStr">
        <is>
          <t>UK</t>
        </is>
      </c>
      <c r="E625" s="20" t="n">
        <v>52636.80000000001</v>
      </c>
      <c r="F625" s="20" t="n">
        <v>48250.40000000001</v>
      </c>
      <c r="G625" s="20" t="n">
        <v>0</v>
      </c>
      <c r="H625" s="20" t="n">
        <v>0</v>
      </c>
      <c r="I625" s="20" t="n">
        <v>0</v>
      </c>
      <c r="J625" s="20" t="n">
        <v>0</v>
      </c>
      <c r="K625" s="20" t="n">
        <v>0</v>
      </c>
      <c r="L625" s="20" t="n">
        <v>0</v>
      </c>
      <c r="M625" s="20" t="n">
        <v>0</v>
      </c>
      <c r="N625" s="20" t="n">
        <v>0</v>
      </c>
      <c r="O625" s="20" t="n">
        <v>0</v>
      </c>
      <c r="P625" s="20" t="n">
        <v>0</v>
      </c>
      <c r="Q625" s="20" t="n">
        <v>0</v>
      </c>
    </row>
    <row r="626">
      <c r="A626" s="19" t="inlineStr">
        <is>
          <t>Company 307</t>
        </is>
      </c>
      <c r="B626" s="19" t="inlineStr">
        <is>
          <t>Operations</t>
        </is>
      </c>
      <c r="C626" s="19" t="inlineStr">
        <is>
          <t>Shipper Gas</t>
        </is>
      </c>
      <c r="D626" s="19" t="inlineStr">
        <is>
          <t>Hungary</t>
        </is>
      </c>
      <c r="E626" s="20" t="n">
        <v>0</v>
      </c>
      <c r="F626" s="20" t="n">
        <v>0</v>
      </c>
      <c r="G626" s="20" t="n">
        <v>0</v>
      </c>
      <c r="H626" s="20" t="n">
        <v>0</v>
      </c>
      <c r="I626" s="20" t="n">
        <v>10742</v>
      </c>
      <c r="J626" s="20" t="n">
        <v>12940.33</v>
      </c>
      <c r="K626" s="20" t="n">
        <v>0</v>
      </c>
      <c r="L626" s="20" t="n">
        <v>0</v>
      </c>
      <c r="M626" s="20" t="n">
        <v>0</v>
      </c>
      <c r="N626" s="20" t="n">
        <v>0</v>
      </c>
      <c r="O626" s="20" t="n">
        <v>0</v>
      </c>
      <c r="P626" s="20" t="n">
        <v>0</v>
      </c>
      <c r="Q626" s="20" t="n">
        <v>0</v>
      </c>
    </row>
    <row r="627">
      <c r="A627" s="19" t="inlineStr">
        <is>
          <t>Company 308</t>
        </is>
      </c>
      <c r="B627" s="19" t="inlineStr">
        <is>
          <t>Software</t>
        </is>
      </c>
      <c r="C627" s="19" t="inlineStr">
        <is>
          <t>ENOM</t>
        </is>
      </c>
      <c r="D627" s="19" t="inlineStr">
        <is>
          <t>Hungary</t>
        </is>
      </c>
      <c r="E627" s="20" t="n">
        <v>0</v>
      </c>
      <c r="F627" s="20" t="n">
        <v>0</v>
      </c>
      <c r="G627" s="20" t="n">
        <v>0</v>
      </c>
      <c r="H627" s="20" t="n">
        <v>918.8299999999999</v>
      </c>
      <c r="I627" s="20" t="n">
        <v>5498.97</v>
      </c>
      <c r="J627" s="20" t="n">
        <v>5412.410000000002</v>
      </c>
      <c r="K627" s="20" t="n">
        <v>5378.75</v>
      </c>
      <c r="L627" s="20" t="n">
        <v>5531.590000000002</v>
      </c>
      <c r="M627" s="20" t="n">
        <v>4419.8</v>
      </c>
      <c r="N627" s="20" t="n">
        <v>0</v>
      </c>
      <c r="O627" s="20" t="n">
        <v>0</v>
      </c>
      <c r="P627" s="20" t="n">
        <v>0</v>
      </c>
      <c r="Q627" s="20" t="n">
        <v>0</v>
      </c>
    </row>
    <row r="628">
      <c r="A628" s="19" t="inlineStr">
        <is>
          <t>Company 308</t>
        </is>
      </c>
      <c r="B628" s="19" t="inlineStr">
        <is>
          <t>Software</t>
        </is>
      </c>
      <c r="C628" s="19" t="inlineStr">
        <is>
          <t>Routing</t>
        </is>
      </c>
      <c r="D628" s="19" t="inlineStr">
        <is>
          <t>Hungary</t>
        </is>
      </c>
      <c r="E628" s="20" t="n">
        <v>0</v>
      </c>
      <c r="F628" s="20" t="n">
        <v>0</v>
      </c>
      <c r="G628" s="20" t="n">
        <v>0</v>
      </c>
      <c r="H628" s="20" t="n">
        <v>140.77</v>
      </c>
      <c r="I628" s="20" t="n">
        <v>842.5799999999998</v>
      </c>
      <c r="J628" s="20" t="n">
        <v>965.65</v>
      </c>
      <c r="K628" s="20" t="n">
        <v>1648.33</v>
      </c>
      <c r="L628" s="20" t="n">
        <v>1695.160000000001</v>
      </c>
      <c r="M628" s="20" t="n">
        <v>1354.5</v>
      </c>
      <c r="N628" s="20" t="n">
        <v>0</v>
      </c>
      <c r="O628" s="20" t="n">
        <v>0</v>
      </c>
      <c r="P628" s="20" t="n">
        <v>0</v>
      </c>
      <c r="Q628" s="20" t="n">
        <v>0</v>
      </c>
    </row>
    <row r="629">
      <c r="A629" s="19" t="inlineStr">
        <is>
          <t>Company 309</t>
        </is>
      </c>
      <c r="B629" s="19" t="inlineStr">
        <is>
          <t>Software</t>
        </is>
      </c>
      <c r="C629" s="19" t="inlineStr">
        <is>
          <t>ENOM+</t>
        </is>
      </c>
      <c r="D629" s="19" t="inlineStr">
        <is>
          <t>Hungary</t>
        </is>
      </c>
      <c r="E629" s="20" t="n">
        <v>0</v>
      </c>
      <c r="F629" s="20" t="n">
        <v>0</v>
      </c>
      <c r="G629" s="20" t="n">
        <v>1489.74</v>
      </c>
      <c r="H629" s="20" t="n">
        <v>17930.35</v>
      </c>
      <c r="I629" s="20" t="n">
        <v>0</v>
      </c>
      <c r="J629" s="20" t="n">
        <v>0</v>
      </c>
      <c r="K629" s="20" t="n">
        <v>0</v>
      </c>
      <c r="L629" s="20" t="n">
        <v>0</v>
      </c>
      <c r="M629" s="20" t="n">
        <v>0</v>
      </c>
      <c r="N629" s="20" t="n">
        <v>0</v>
      </c>
      <c r="O629" s="20" t="n">
        <v>0</v>
      </c>
      <c r="P629" s="20" t="n">
        <v>0</v>
      </c>
      <c r="Q629" s="20" t="n">
        <v>0</v>
      </c>
    </row>
    <row r="630">
      <c r="A630" s="19" t="inlineStr">
        <is>
          <t>Company 309</t>
        </is>
      </c>
      <c r="B630" s="19" t="inlineStr">
        <is>
          <t>Software</t>
        </is>
      </c>
      <c r="C630" s="19" t="inlineStr">
        <is>
          <t>Routing</t>
        </is>
      </c>
      <c r="D630" s="19" t="inlineStr">
        <is>
          <t>Hungary</t>
        </is>
      </c>
      <c r="E630" s="20" t="n">
        <v>0</v>
      </c>
      <c r="F630" s="20" t="n">
        <v>0</v>
      </c>
      <c r="G630" s="20" t="n">
        <v>539.1900000000001</v>
      </c>
      <c r="H630" s="20" t="n">
        <v>6698.460000000001</v>
      </c>
      <c r="I630" s="20" t="n">
        <v>0</v>
      </c>
      <c r="J630" s="20" t="n">
        <v>0</v>
      </c>
      <c r="K630" s="20" t="n">
        <v>0</v>
      </c>
      <c r="L630" s="20" t="n">
        <v>0</v>
      </c>
      <c r="M630" s="20" t="n">
        <v>0</v>
      </c>
      <c r="N630" s="20" t="n">
        <v>0</v>
      </c>
      <c r="O630" s="20" t="n">
        <v>0</v>
      </c>
      <c r="P630" s="20" t="n">
        <v>0</v>
      </c>
      <c r="Q630" s="20" t="n">
        <v>0</v>
      </c>
    </row>
    <row r="631">
      <c r="A631" s="19" t="inlineStr">
        <is>
          <t>Company 310</t>
        </is>
      </c>
      <c r="B631" s="19" t="inlineStr">
        <is>
          <t>Software</t>
        </is>
      </c>
      <c r="C631" s="19" t="inlineStr">
        <is>
          <t>ENOM</t>
        </is>
      </c>
      <c r="D631" s="19" t="inlineStr">
        <is>
          <t>Hungary</t>
        </is>
      </c>
      <c r="E631" s="20" t="n">
        <v>13199.07</v>
      </c>
      <c r="F631" s="20" t="n">
        <v>12031.15</v>
      </c>
      <c r="G631" s="20" t="n">
        <v>12343.11</v>
      </c>
      <c r="H631" s="20" t="n">
        <v>13340.89</v>
      </c>
      <c r="I631" s="20" t="n">
        <v>14034.08</v>
      </c>
      <c r="J631" s="20" t="n">
        <v>4741.16</v>
      </c>
      <c r="K631" s="20" t="n">
        <v>0</v>
      </c>
      <c r="L631" s="20" t="n">
        <v>0</v>
      </c>
      <c r="M631" s="20" t="n">
        <v>0</v>
      </c>
      <c r="N631" s="20" t="n">
        <v>0</v>
      </c>
      <c r="O631" s="20" t="n">
        <v>0</v>
      </c>
      <c r="P631" s="20" t="n">
        <v>0</v>
      </c>
      <c r="Q631" s="20" t="n">
        <v>0</v>
      </c>
    </row>
    <row r="632">
      <c r="A632" s="19" t="inlineStr">
        <is>
          <t>Company 310</t>
        </is>
      </c>
      <c r="B632" s="19" t="inlineStr">
        <is>
          <t>Software</t>
        </is>
      </c>
      <c r="C632" s="19" t="inlineStr">
        <is>
          <t>Routing</t>
        </is>
      </c>
      <c r="D632" s="19" t="inlineStr">
        <is>
          <t>Hungary</t>
        </is>
      </c>
      <c r="E632" s="20" t="n">
        <v>2296.43</v>
      </c>
      <c r="F632" s="20" t="n">
        <v>2836.139999999999</v>
      </c>
      <c r="G632" s="20" t="n">
        <v>4407.99</v>
      </c>
      <c r="H632" s="20" t="n">
        <v>6576.549999999997</v>
      </c>
      <c r="I632" s="20" t="n">
        <v>11914.19</v>
      </c>
      <c r="J632" s="20" t="n">
        <v>4750</v>
      </c>
      <c r="K632" s="20" t="n">
        <v>0</v>
      </c>
      <c r="L632" s="20" t="n">
        <v>0</v>
      </c>
      <c r="M632" s="20" t="n">
        <v>0</v>
      </c>
      <c r="N632" s="20" t="n">
        <v>0</v>
      </c>
      <c r="O632" s="20" t="n">
        <v>0</v>
      </c>
      <c r="P632" s="20" t="n">
        <v>0</v>
      </c>
      <c r="Q632" s="20" t="n">
        <v>0</v>
      </c>
    </row>
    <row r="633">
      <c r="A633" s="19" t="inlineStr">
        <is>
          <t>Company 311</t>
        </is>
      </c>
      <c r="B633" s="19" t="inlineStr">
        <is>
          <t>Software</t>
        </is>
      </c>
      <c r="C633" s="19" t="inlineStr">
        <is>
          <t>ENOM</t>
        </is>
      </c>
      <c r="D633" s="19" t="inlineStr">
        <is>
          <t>UK</t>
        </is>
      </c>
      <c r="E633" s="20" t="n">
        <v>8000</v>
      </c>
      <c r="F633" s="20" t="n">
        <v>8000</v>
      </c>
      <c r="G633" s="20" t="n">
        <v>8000</v>
      </c>
      <c r="H633" s="20" t="n">
        <v>0</v>
      </c>
      <c r="I633" s="20" t="n">
        <v>0</v>
      </c>
      <c r="J633" s="20" t="n">
        <v>0</v>
      </c>
      <c r="K633" s="20" t="n">
        <v>0</v>
      </c>
      <c r="L633" s="20" t="n">
        <v>0</v>
      </c>
      <c r="M633" s="20" t="n">
        <v>0</v>
      </c>
      <c r="N633" s="20" t="n">
        <v>0</v>
      </c>
      <c r="O633" s="20" t="n">
        <v>0</v>
      </c>
      <c r="P633" s="20" t="n">
        <v>0</v>
      </c>
      <c r="Q633" s="20" t="n">
        <v>0</v>
      </c>
    </row>
    <row r="634">
      <c r="A634" s="19" t="inlineStr">
        <is>
          <t>Company 311</t>
        </is>
      </c>
      <c r="B634" s="19" t="inlineStr">
        <is>
          <t>Software</t>
        </is>
      </c>
      <c r="C634" s="19" t="inlineStr">
        <is>
          <t>Routing</t>
        </is>
      </c>
      <c r="D634" s="19" t="inlineStr">
        <is>
          <t>UK</t>
        </is>
      </c>
      <c r="E634" s="20" t="n">
        <v>14400</v>
      </c>
      <c r="F634" s="20" t="n">
        <v>12480</v>
      </c>
      <c r="G634" s="20" t="n">
        <v>12480</v>
      </c>
      <c r="H634" s="20" t="n">
        <v>0</v>
      </c>
      <c r="I634" s="20" t="n">
        <v>0</v>
      </c>
      <c r="J634" s="20" t="n">
        <v>0</v>
      </c>
      <c r="K634" s="20" t="n">
        <v>0</v>
      </c>
      <c r="L634" s="20" t="n">
        <v>0</v>
      </c>
      <c r="M634" s="20" t="n">
        <v>0</v>
      </c>
      <c r="N634" s="20" t="n">
        <v>0</v>
      </c>
      <c r="O634" s="20" t="n">
        <v>0</v>
      </c>
      <c r="P634" s="20" t="n">
        <v>0</v>
      </c>
      <c r="Q634" s="20" t="n">
        <v>0</v>
      </c>
    </row>
    <row r="635">
      <c r="A635" s="19" t="inlineStr">
        <is>
          <t>Company 311</t>
        </is>
      </c>
      <c r="B635" s="19" t="inlineStr">
        <is>
          <t>Operations</t>
        </is>
      </c>
      <c r="C635" s="19" t="inlineStr">
        <is>
          <t>Demand Text</t>
        </is>
      </c>
      <c r="D635" s="19" t="inlineStr">
        <is>
          <t>UK</t>
        </is>
      </c>
      <c r="E635" s="20" t="n">
        <v>7000</v>
      </c>
      <c r="F635" s="20" t="n">
        <v>5000</v>
      </c>
      <c r="G635" s="20" t="n">
        <v>0</v>
      </c>
      <c r="H635" s="20" t="n">
        <v>0</v>
      </c>
      <c r="I635" s="20" t="n">
        <v>0</v>
      </c>
      <c r="J635" s="20" t="n">
        <v>0</v>
      </c>
      <c r="K635" s="20" t="n">
        <v>0</v>
      </c>
      <c r="L635" s="20" t="n">
        <v>0</v>
      </c>
      <c r="M635" s="20" t="n">
        <v>0</v>
      </c>
      <c r="N635" s="20" t="n">
        <v>0</v>
      </c>
      <c r="O635" s="20" t="n">
        <v>0</v>
      </c>
      <c r="P635" s="20" t="n">
        <v>0</v>
      </c>
      <c r="Q635" s="20" t="n">
        <v>0</v>
      </c>
    </row>
    <row r="636">
      <c r="A636" s="19" t="inlineStr">
        <is>
          <t>Company 312</t>
        </is>
      </c>
      <c r="B636" s="19" t="inlineStr">
        <is>
          <t>Operations</t>
        </is>
      </c>
      <c r="C636" s="19" t="inlineStr">
        <is>
          <t>Shipper Gas</t>
        </is>
      </c>
      <c r="D636" s="19" t="inlineStr">
        <is>
          <t>UK</t>
        </is>
      </c>
      <c r="E636" s="20" t="n">
        <v>167052</v>
      </c>
      <c r="F636" s="20" t="n">
        <v>169552</v>
      </c>
      <c r="G636" s="20" t="n">
        <v>83526</v>
      </c>
      <c r="H636" s="20" t="n">
        <v>0</v>
      </c>
      <c r="I636" s="20" t="n">
        <v>0</v>
      </c>
      <c r="J636" s="20" t="n">
        <v>0</v>
      </c>
      <c r="K636" s="20" t="n">
        <v>0</v>
      </c>
      <c r="L636" s="20" t="n">
        <v>0</v>
      </c>
      <c r="M636" s="20" t="n">
        <v>0</v>
      </c>
      <c r="N636" s="20" t="n">
        <v>0</v>
      </c>
      <c r="O636" s="20" t="n">
        <v>0</v>
      </c>
      <c r="P636" s="20" t="n">
        <v>0</v>
      </c>
      <c r="Q636" s="20" t="n">
        <v>0</v>
      </c>
    </row>
    <row r="637">
      <c r="A637" s="19" t="inlineStr">
        <is>
          <t>Company 314</t>
        </is>
      </c>
      <c r="B637" s="19" t="inlineStr">
        <is>
          <t>Software</t>
        </is>
      </c>
      <c r="C637" s="19" t="inlineStr">
        <is>
          <t>ENOM+</t>
        </is>
      </c>
      <c r="D637" s="19" t="inlineStr">
        <is>
          <t>Denmark</t>
        </is>
      </c>
      <c r="E637" s="20" t="n">
        <v>11345.6</v>
      </c>
      <c r="F637" s="20" t="n">
        <v>15653.38</v>
      </c>
      <c r="G637" s="20" t="n">
        <v>16030.72</v>
      </c>
      <c r="H637" s="20" t="n">
        <v>17379.58</v>
      </c>
      <c r="I637" s="20" t="n">
        <v>18282.63</v>
      </c>
      <c r="J637" s="20" t="n">
        <v>7677.65</v>
      </c>
      <c r="K637" s="20" t="n">
        <v>12215.41</v>
      </c>
      <c r="L637" s="20" t="n">
        <v>18186.06</v>
      </c>
      <c r="M637" s="20" t="n">
        <v>18026.69</v>
      </c>
      <c r="N637" s="20" t="n">
        <v>5993.76</v>
      </c>
      <c r="O637" s="20" t="n">
        <v>0</v>
      </c>
      <c r="P637" s="20" t="n">
        <v>1799.24</v>
      </c>
      <c r="Q637" s="20" t="n">
        <v>0</v>
      </c>
    </row>
    <row r="638">
      <c r="A638" s="19" t="inlineStr">
        <is>
          <t>Company 314</t>
        </is>
      </c>
      <c r="B638" s="19" t="inlineStr">
        <is>
          <t>Software</t>
        </is>
      </c>
      <c r="C638" s="19" t="inlineStr">
        <is>
          <t>Routing</t>
        </is>
      </c>
      <c r="D638" s="19" t="inlineStr">
        <is>
          <t>Denmark</t>
        </is>
      </c>
      <c r="E638" s="20" t="n">
        <v>4534.38</v>
      </c>
      <c r="F638" s="20" t="n">
        <v>0</v>
      </c>
      <c r="G638" s="20" t="n">
        <v>0</v>
      </c>
      <c r="H638" s="20" t="n">
        <v>0</v>
      </c>
      <c r="I638" s="20" t="n">
        <v>0</v>
      </c>
      <c r="J638" s="20" t="n">
        <v>0</v>
      </c>
      <c r="K638" s="20" t="n">
        <v>0</v>
      </c>
      <c r="L638" s="20" t="n">
        <v>0</v>
      </c>
      <c r="M638" s="20" t="n">
        <v>0</v>
      </c>
      <c r="N638" s="20" t="n">
        <v>0</v>
      </c>
      <c r="O638" s="20" t="n">
        <v>0</v>
      </c>
      <c r="P638" s="20" t="n">
        <v>0</v>
      </c>
      <c r="Q638" s="20" t="n">
        <v>0</v>
      </c>
    </row>
    <row r="639">
      <c r="A639" s="19" t="inlineStr">
        <is>
          <t>Company 314</t>
        </is>
      </c>
      <c r="B639" s="19" t="inlineStr">
        <is>
          <t>Software</t>
        </is>
      </c>
      <c r="C639" s="19" t="inlineStr">
        <is>
          <t>ENOM</t>
        </is>
      </c>
      <c r="D639" s="19" t="inlineStr">
        <is>
          <t>Denmark</t>
        </is>
      </c>
      <c r="E639" s="20" t="n">
        <v>-4052</v>
      </c>
      <c r="F639" s="20" t="n">
        <v>0</v>
      </c>
      <c r="G639" s="20" t="n">
        <v>0</v>
      </c>
      <c r="H639" s="20" t="n">
        <v>0</v>
      </c>
      <c r="I639" s="20" t="n">
        <v>0</v>
      </c>
      <c r="J639" s="20" t="n">
        <v>0</v>
      </c>
      <c r="K639" s="20" t="n">
        <v>0</v>
      </c>
      <c r="L639" s="20" t="n">
        <v>0</v>
      </c>
      <c r="M639" s="20" t="n">
        <v>0</v>
      </c>
      <c r="N639" s="20" t="n">
        <v>0</v>
      </c>
      <c r="O639" s="20" t="n">
        <v>0</v>
      </c>
      <c r="P639" s="20" t="n">
        <v>0</v>
      </c>
      <c r="Q639" s="20" t="n">
        <v>0</v>
      </c>
    </row>
    <row r="640">
      <c r="A640" s="19" t="inlineStr">
        <is>
          <t>Company 314</t>
        </is>
      </c>
      <c r="B640" s="19" t="inlineStr">
        <is>
          <t>Software</t>
        </is>
      </c>
      <c r="C640" s="19" t="inlineStr">
        <is>
          <t>Routing</t>
        </is>
      </c>
      <c r="D640" s="19" t="inlineStr">
        <is>
          <t>Denmark</t>
        </is>
      </c>
      <c r="E640" s="20" t="n">
        <v>4376.16</v>
      </c>
      <c r="F640" s="20" t="n">
        <v>13669.44</v>
      </c>
      <c r="G640" s="20" t="n">
        <v>18854.5</v>
      </c>
      <c r="H640" s="20" t="n">
        <v>24141.66</v>
      </c>
      <c r="I640" s="20" t="n">
        <v>29816.84</v>
      </c>
      <c r="J640" s="20" t="n">
        <v>13354.73</v>
      </c>
      <c r="K640" s="20" t="n">
        <v>24081.82</v>
      </c>
      <c r="L640" s="20" t="n">
        <v>37923.1</v>
      </c>
      <c r="M640" s="20" t="n">
        <v>39656.1</v>
      </c>
      <c r="N640" s="20" t="n">
        <v>13357.52</v>
      </c>
      <c r="O640" s="20" t="n">
        <v>0</v>
      </c>
      <c r="P640" s="20" t="n">
        <v>4005.51</v>
      </c>
      <c r="Q640" s="20" t="n">
        <v>0</v>
      </c>
    </row>
    <row r="641">
      <c r="A641" s="19" t="inlineStr">
        <is>
          <t>Company 315</t>
        </is>
      </c>
      <c r="B641" s="19" t="inlineStr">
        <is>
          <t>Software</t>
        </is>
      </c>
      <c r="C641" s="19" t="inlineStr">
        <is>
          <t>ENOM</t>
        </is>
      </c>
      <c r="D641" s="19" t="inlineStr">
        <is>
          <t>Denmark</t>
        </is>
      </c>
      <c r="E641" s="20" t="n">
        <v>7557.299999999999</v>
      </c>
      <c r="F641" s="20" t="n">
        <v>0</v>
      </c>
      <c r="G641" s="20" t="n">
        <v>0</v>
      </c>
      <c r="H641" s="20" t="n">
        <v>0</v>
      </c>
      <c r="I641" s="20" t="n">
        <v>0</v>
      </c>
      <c r="J641" s="20" t="n">
        <v>0</v>
      </c>
      <c r="K641" s="20" t="n">
        <v>0</v>
      </c>
      <c r="L641" s="20" t="n">
        <v>0</v>
      </c>
      <c r="M641" s="20" t="n">
        <v>0</v>
      </c>
      <c r="N641" s="20" t="n">
        <v>0</v>
      </c>
      <c r="O641" s="20" t="n">
        <v>0</v>
      </c>
      <c r="P641" s="20" t="n">
        <v>0</v>
      </c>
      <c r="Q641" s="20" t="n">
        <v>0</v>
      </c>
    </row>
    <row r="642">
      <c r="A642" s="19" t="inlineStr">
        <is>
          <t>Company 316</t>
        </is>
      </c>
      <c r="B642" s="19" t="inlineStr">
        <is>
          <t>Software</t>
        </is>
      </c>
      <c r="C642" s="19" t="inlineStr">
        <is>
          <t>ENOM</t>
        </is>
      </c>
      <c r="D642" s="19" t="inlineStr">
        <is>
          <t>UK</t>
        </is>
      </c>
      <c r="E642" s="20" t="n">
        <v>6083.209999999999</v>
      </c>
      <c r="F642" s="20" t="n">
        <v>0</v>
      </c>
      <c r="G642" s="20" t="n">
        <v>0</v>
      </c>
      <c r="H642" s="20" t="n">
        <v>0</v>
      </c>
      <c r="I642" s="20" t="n">
        <v>0</v>
      </c>
      <c r="J642" s="20" t="n">
        <v>0</v>
      </c>
      <c r="K642" s="20" t="n">
        <v>0</v>
      </c>
      <c r="L642" s="20" t="n">
        <v>0</v>
      </c>
      <c r="M642" s="20" t="n">
        <v>0</v>
      </c>
      <c r="N642" s="20" t="n">
        <v>0</v>
      </c>
      <c r="O642" s="20" t="n">
        <v>0</v>
      </c>
      <c r="P642" s="20" t="n">
        <v>0</v>
      </c>
      <c r="Q642" s="20" t="n">
        <v>0</v>
      </c>
    </row>
    <row r="643">
      <c r="A643" s="19" t="inlineStr">
        <is>
          <t>Company 316</t>
        </is>
      </c>
      <c r="B643" s="19" t="inlineStr">
        <is>
          <t>Software</t>
        </is>
      </c>
      <c r="C643" s="19" t="inlineStr">
        <is>
          <t>Routing</t>
        </is>
      </c>
      <c r="D643" s="19" t="inlineStr">
        <is>
          <t>UK</t>
        </is>
      </c>
      <c r="E643" s="20" t="n">
        <v>466.0599999999999</v>
      </c>
      <c r="F643" s="20" t="n">
        <v>0</v>
      </c>
      <c r="G643" s="20" t="n">
        <v>0</v>
      </c>
      <c r="H643" s="20" t="n">
        <v>0</v>
      </c>
      <c r="I643" s="20" t="n">
        <v>0</v>
      </c>
      <c r="J643" s="20" t="n">
        <v>0</v>
      </c>
      <c r="K643" s="20" t="n">
        <v>0</v>
      </c>
      <c r="L643" s="20" t="n">
        <v>0</v>
      </c>
      <c r="M643" s="20" t="n">
        <v>0</v>
      </c>
      <c r="N643" s="20" t="n">
        <v>0</v>
      </c>
      <c r="O643" s="20" t="n">
        <v>0</v>
      </c>
      <c r="P643" s="20" t="n">
        <v>0</v>
      </c>
      <c r="Q643" s="20" t="n">
        <v>0</v>
      </c>
    </row>
    <row r="644">
      <c r="A644" s="19" t="inlineStr">
        <is>
          <t>Company 317</t>
        </is>
      </c>
      <c r="B644" s="19" t="inlineStr">
        <is>
          <t>Software</t>
        </is>
      </c>
      <c r="C644" s="19" t="inlineStr">
        <is>
          <t>ENOM</t>
        </is>
      </c>
      <c r="D644" s="19" t="inlineStr">
        <is>
          <t>Singapore</t>
        </is>
      </c>
      <c r="E644" s="20" t="n">
        <v>0</v>
      </c>
      <c r="F644" s="20" t="n">
        <v>0</v>
      </c>
      <c r="G644" s="20" t="n">
        <v>0</v>
      </c>
      <c r="H644" s="20" t="n">
        <v>0</v>
      </c>
      <c r="I644" s="20" t="n">
        <v>0</v>
      </c>
      <c r="J644" s="20" t="n">
        <v>0</v>
      </c>
      <c r="K644" s="20" t="n">
        <v>0</v>
      </c>
      <c r="L644" s="20" t="n">
        <v>0</v>
      </c>
      <c r="M644" s="20" t="n">
        <v>0</v>
      </c>
      <c r="N644" s="20" t="n">
        <v>0</v>
      </c>
      <c r="O644" s="20" t="n">
        <v>0</v>
      </c>
      <c r="P644" s="20" t="n">
        <v>11408.69</v>
      </c>
      <c r="Q644" s="20" t="n">
        <v>0</v>
      </c>
    </row>
    <row r="645">
      <c r="A645" s="19" t="inlineStr">
        <is>
          <t>Company 317</t>
        </is>
      </c>
      <c r="B645" s="19" t="inlineStr">
        <is>
          <t>Software</t>
        </is>
      </c>
      <c r="C645" s="19" t="inlineStr">
        <is>
          <t>Routing</t>
        </is>
      </c>
      <c r="D645" s="19" t="inlineStr">
        <is>
          <t>Singapore</t>
        </is>
      </c>
      <c r="E645" s="20" t="n">
        <v>0</v>
      </c>
      <c r="F645" s="20" t="n">
        <v>0</v>
      </c>
      <c r="G645" s="20" t="n">
        <v>0</v>
      </c>
      <c r="H645" s="20" t="n">
        <v>0</v>
      </c>
      <c r="I645" s="20" t="n">
        <v>0</v>
      </c>
      <c r="J645" s="20" t="n">
        <v>0</v>
      </c>
      <c r="K645" s="20" t="n">
        <v>0</v>
      </c>
      <c r="L645" s="20" t="n">
        <v>0</v>
      </c>
      <c r="M645" s="20" t="n">
        <v>0</v>
      </c>
      <c r="N645" s="20" t="n">
        <v>0</v>
      </c>
      <c r="O645" s="20" t="n">
        <v>0</v>
      </c>
      <c r="P645" s="20" t="n">
        <v>873.39</v>
      </c>
      <c r="Q645" s="20" t="n">
        <v>0</v>
      </c>
    </row>
    <row r="646">
      <c r="A646" s="19" t="inlineStr">
        <is>
          <t>Company 318</t>
        </is>
      </c>
      <c r="B646" s="19" t="inlineStr">
        <is>
          <t>Software</t>
        </is>
      </c>
      <c r="C646" s="19" t="inlineStr">
        <is>
          <t>Routing</t>
        </is>
      </c>
      <c r="D646" s="19" t="inlineStr">
        <is>
          <t>Switzerland</t>
        </is>
      </c>
      <c r="E646" s="20" t="n">
        <v>0</v>
      </c>
      <c r="F646" s="20" t="n">
        <v>0</v>
      </c>
      <c r="G646" s="20" t="n">
        <v>0</v>
      </c>
      <c r="H646" s="20" t="n">
        <v>0</v>
      </c>
      <c r="I646" s="20" t="n">
        <v>0</v>
      </c>
      <c r="J646" s="20" t="n">
        <v>0</v>
      </c>
      <c r="K646" s="20" t="n">
        <v>141.54</v>
      </c>
      <c r="L646" s="20" t="n">
        <v>842.98</v>
      </c>
      <c r="M646" s="20" t="n">
        <v>815.0700000000002</v>
      </c>
      <c r="N646" s="20" t="n">
        <v>689.3000000000002</v>
      </c>
      <c r="O646" s="20" t="n">
        <v>0</v>
      </c>
      <c r="P646" s="20" t="n">
        <v>0</v>
      </c>
      <c r="Q646" s="20" t="n">
        <v>0</v>
      </c>
    </row>
    <row r="647">
      <c r="A647" s="19" t="inlineStr">
        <is>
          <t>Company 318</t>
        </is>
      </c>
      <c r="B647" s="19" t="inlineStr">
        <is>
          <t>Software</t>
        </is>
      </c>
      <c r="C647" s="19" t="inlineStr">
        <is>
          <t>ENOM</t>
        </is>
      </c>
      <c r="D647" s="19" t="inlineStr">
        <is>
          <t>Switzerland</t>
        </is>
      </c>
      <c r="E647" s="20" t="n">
        <v>0</v>
      </c>
      <c r="F647" s="20" t="n">
        <v>0</v>
      </c>
      <c r="G647" s="20" t="n">
        <v>0</v>
      </c>
      <c r="H647" s="20" t="n">
        <v>0</v>
      </c>
      <c r="I647" s="20" t="n">
        <v>0</v>
      </c>
      <c r="J647" s="20" t="n">
        <v>0</v>
      </c>
      <c r="K647" s="20" t="n">
        <v>1847.06</v>
      </c>
      <c r="L647" s="20" t="n">
        <v>11003.08</v>
      </c>
      <c r="M647" s="20" t="n">
        <v>10639.18</v>
      </c>
      <c r="N647" s="20" t="n">
        <v>8997.200000000001</v>
      </c>
      <c r="O647" s="20" t="n">
        <v>0</v>
      </c>
      <c r="P647" s="20" t="n">
        <v>0</v>
      </c>
      <c r="Q647" s="20" t="n">
        <v>0</v>
      </c>
    </row>
    <row r="648">
      <c r="A648" s="19" t="inlineStr">
        <is>
          <t>Company 319</t>
        </is>
      </c>
      <c r="B648" s="19" t="inlineStr">
        <is>
          <t>Software</t>
        </is>
      </c>
      <c r="C648" s="19" t="inlineStr">
        <is>
          <t>IT Other</t>
        </is>
      </c>
      <c r="D648" s="19" t="inlineStr">
        <is>
          <t>UK</t>
        </is>
      </c>
      <c r="E648" s="20" t="n">
        <v>0</v>
      </c>
      <c r="F648" s="20" t="n">
        <v>278585</v>
      </c>
      <c r="G648" s="20" t="n">
        <v>0</v>
      </c>
      <c r="H648" s="20" t="n">
        <v>0</v>
      </c>
      <c r="I648" s="20" t="n">
        <v>0</v>
      </c>
      <c r="J648" s="20" t="n">
        <v>0</v>
      </c>
      <c r="K648" s="20" t="n">
        <v>0</v>
      </c>
      <c r="L648" s="20" t="n">
        <v>0</v>
      </c>
      <c r="M648" s="20" t="n">
        <v>0</v>
      </c>
      <c r="N648" s="20" t="n">
        <v>0</v>
      </c>
      <c r="O648" s="20" t="n">
        <v>0</v>
      </c>
      <c r="P648" s="20" t="n">
        <v>0</v>
      </c>
      <c r="Q648" s="20" t="n">
        <v>0</v>
      </c>
    </row>
    <row r="649">
      <c r="A649" s="19" t="inlineStr">
        <is>
          <t>Company 320</t>
        </is>
      </c>
      <c r="B649" s="19" t="inlineStr">
        <is>
          <t>Operations</t>
        </is>
      </c>
      <c r="C649" s="19" t="inlineStr">
        <is>
          <t>Shipper Gas</t>
        </is>
      </c>
      <c r="D649" s="19" t="inlineStr">
        <is>
          <t>Austria</t>
        </is>
      </c>
      <c r="E649" s="20" t="n">
        <v>139800</v>
      </c>
      <c r="F649" s="20" t="n">
        <v>150600</v>
      </c>
      <c r="G649" s="20" t="n">
        <v>158660</v>
      </c>
      <c r="H649" s="20" t="n">
        <v>160920</v>
      </c>
      <c r="I649" s="20" t="n">
        <v>162720</v>
      </c>
      <c r="J649" s="20" t="n">
        <v>56040</v>
      </c>
      <c r="K649" s="20" t="n">
        <v>0</v>
      </c>
      <c r="L649" s="20" t="n">
        <v>0</v>
      </c>
      <c r="M649" s="20" t="n">
        <v>0</v>
      </c>
      <c r="N649" s="20" t="n">
        <v>0</v>
      </c>
      <c r="O649" s="20" t="n">
        <v>0</v>
      </c>
      <c r="P649" s="20" t="n">
        <v>0</v>
      </c>
      <c r="Q649" s="20" t="n">
        <v>0</v>
      </c>
    </row>
    <row r="650">
      <c r="A650" s="19" t="inlineStr">
        <is>
          <t>Company 321</t>
        </is>
      </c>
      <c r="B650" s="19" t="inlineStr">
        <is>
          <t>Software</t>
        </is>
      </c>
      <c r="C650" s="19" t="inlineStr">
        <is>
          <t>Routing</t>
        </is>
      </c>
      <c r="D650" s="19" t="inlineStr">
        <is>
          <t>Germany</t>
        </is>
      </c>
      <c r="E650" s="20" t="n">
        <v>0</v>
      </c>
      <c r="F650" s="20" t="n">
        <v>0</v>
      </c>
      <c r="G650" s="20" t="n">
        <v>0</v>
      </c>
      <c r="H650" s="20" t="n">
        <v>0</v>
      </c>
      <c r="I650" s="20" t="n">
        <v>0</v>
      </c>
      <c r="J650" s="20" t="n">
        <v>0</v>
      </c>
      <c r="K650" s="20" t="n">
        <v>0</v>
      </c>
      <c r="L650" s="20" t="n">
        <v>0</v>
      </c>
      <c r="M650" s="20" t="n">
        <v>0</v>
      </c>
      <c r="N650" s="20" t="n">
        <v>0</v>
      </c>
      <c r="O650" s="20" t="n">
        <v>0</v>
      </c>
      <c r="P650" s="20" t="n">
        <v>1000</v>
      </c>
      <c r="Q650" s="20" t="n">
        <v>0</v>
      </c>
    </row>
    <row r="651">
      <c r="A651" s="19" t="inlineStr">
        <is>
          <t>Company 322</t>
        </is>
      </c>
      <c r="B651" s="19" t="inlineStr">
        <is>
          <t>Operations</t>
        </is>
      </c>
      <c r="C651" s="19" t="inlineStr">
        <is>
          <t>Demand Text</t>
        </is>
      </c>
      <c r="D651" s="19" t="inlineStr">
        <is>
          <t>UK</t>
        </is>
      </c>
      <c r="E651" s="20" t="n">
        <v>2400</v>
      </c>
      <c r="F651" s="20" t="n">
        <v>1200</v>
      </c>
      <c r="G651" s="20" t="n">
        <v>0</v>
      </c>
      <c r="H651" s="20" t="n">
        <v>0</v>
      </c>
      <c r="I651" s="20" t="n">
        <v>0</v>
      </c>
      <c r="J651" s="20" t="n">
        <v>0</v>
      </c>
      <c r="K651" s="20" t="n">
        <v>0</v>
      </c>
      <c r="L651" s="20" t="n">
        <v>0</v>
      </c>
      <c r="M651" s="20" t="n">
        <v>0</v>
      </c>
      <c r="N651" s="20" t="n">
        <v>0</v>
      </c>
      <c r="O651" s="20" t="n">
        <v>0</v>
      </c>
      <c r="P651" s="20" t="n">
        <v>0</v>
      </c>
      <c r="Q651" s="20" t="n">
        <v>0</v>
      </c>
    </row>
    <row r="652">
      <c r="A652" s="19" t="inlineStr">
        <is>
          <t>Company 322</t>
        </is>
      </c>
      <c r="B652" s="19" t="inlineStr">
        <is>
          <t>Software</t>
        </is>
      </c>
      <c r="C652" s="19" t="inlineStr">
        <is>
          <t>PowerTrak</t>
        </is>
      </c>
      <c r="D652" s="19" t="inlineStr">
        <is>
          <t>UK</t>
        </is>
      </c>
      <c r="E652" s="20" t="n">
        <v>0</v>
      </c>
      <c r="F652" s="20" t="n">
        <v>0</v>
      </c>
      <c r="G652" s="20" t="n">
        <v>5916.7</v>
      </c>
      <c r="H652" s="20" t="n">
        <v>35500</v>
      </c>
      <c r="I652" s="20" t="n">
        <v>29583.3</v>
      </c>
      <c r="J652" s="20" t="n">
        <v>0</v>
      </c>
      <c r="K652" s="20" t="n">
        <v>0</v>
      </c>
      <c r="L652" s="20" t="n">
        <v>0</v>
      </c>
      <c r="M652" s="20" t="n">
        <v>0</v>
      </c>
      <c r="N652" s="20" t="n">
        <v>0</v>
      </c>
      <c r="O652" s="20" t="n">
        <v>0</v>
      </c>
      <c r="P652" s="20" t="n">
        <v>0</v>
      </c>
      <c r="Q652" s="20" t="n">
        <v>0</v>
      </c>
    </row>
    <row r="653">
      <c r="A653" s="19" t="inlineStr">
        <is>
          <t>Company 322</t>
        </is>
      </c>
      <c r="B653" s="19" t="inlineStr">
        <is>
          <t>Software</t>
        </is>
      </c>
      <c r="C653" s="19" t="inlineStr">
        <is>
          <t>Routing</t>
        </is>
      </c>
      <c r="D653" s="19" t="inlineStr">
        <is>
          <t>UK</t>
        </is>
      </c>
      <c r="E653" s="20" t="n">
        <v>0</v>
      </c>
      <c r="F653" s="20" t="n">
        <v>0</v>
      </c>
      <c r="G653" s="20" t="n">
        <v>395</v>
      </c>
      <c r="H653" s="20" t="n">
        <v>1975</v>
      </c>
      <c r="I653" s="20" t="n">
        <v>0</v>
      </c>
      <c r="J653" s="20" t="n">
        <v>0</v>
      </c>
      <c r="K653" s="20" t="n">
        <v>0</v>
      </c>
      <c r="L653" s="20" t="n">
        <v>0</v>
      </c>
      <c r="M653" s="20" t="n">
        <v>0</v>
      </c>
      <c r="N653" s="20" t="n">
        <v>0</v>
      </c>
      <c r="O653" s="20" t="n">
        <v>0</v>
      </c>
      <c r="P653" s="20" t="n">
        <v>0</v>
      </c>
      <c r="Q653" s="20" t="n">
        <v>0</v>
      </c>
    </row>
    <row r="654">
      <c r="A654" s="19" t="inlineStr">
        <is>
          <t>Company 323</t>
        </is>
      </c>
      <c r="B654" s="19" t="inlineStr">
        <is>
          <t>Software</t>
        </is>
      </c>
      <c r="C654" s="19" t="inlineStr">
        <is>
          <t>PowerTrak</t>
        </is>
      </c>
      <c r="D654" s="19" t="inlineStr">
        <is>
          <t>UK</t>
        </is>
      </c>
      <c r="E654" s="20" t="n">
        <v>37870.00000000001</v>
      </c>
      <c r="F654" s="20" t="n">
        <v>37475.00000000001</v>
      </c>
      <c r="G654" s="20" t="n">
        <v>35500</v>
      </c>
      <c r="H654" s="20" t="n">
        <v>35500</v>
      </c>
      <c r="I654" s="20" t="n">
        <v>35500</v>
      </c>
      <c r="J654" s="20" t="n">
        <v>35500</v>
      </c>
      <c r="K654" s="20" t="n">
        <v>35500.00000000001</v>
      </c>
      <c r="L654" s="20" t="n">
        <v>35500.00000000001</v>
      </c>
      <c r="M654" s="20" t="n">
        <v>35500.00000000001</v>
      </c>
      <c r="N654" s="20" t="n">
        <v>35500.00000000001</v>
      </c>
      <c r="O654" s="20" t="n">
        <v>29583.3</v>
      </c>
      <c r="P654" s="20" t="n">
        <v>0</v>
      </c>
      <c r="Q654" s="20" t="n">
        <v>0</v>
      </c>
    </row>
    <row r="655">
      <c r="A655" s="19" t="inlineStr">
        <is>
          <t>Company 323</t>
        </is>
      </c>
      <c r="B655" s="19" t="inlineStr">
        <is>
          <t>Software</t>
        </is>
      </c>
      <c r="C655" s="19" t="inlineStr">
        <is>
          <t>Routing</t>
        </is>
      </c>
      <c r="D655" s="19" t="inlineStr">
        <is>
          <t>UK</t>
        </is>
      </c>
      <c r="E655" s="20" t="n">
        <v>0</v>
      </c>
      <c r="F655" s="20" t="n">
        <v>395</v>
      </c>
      <c r="G655" s="20" t="n">
        <v>2370</v>
      </c>
      <c r="H655" s="20" t="n">
        <v>2501.7</v>
      </c>
      <c r="I655" s="20" t="n">
        <v>3423.3</v>
      </c>
      <c r="J655" s="20" t="n">
        <v>4740</v>
      </c>
      <c r="K655" s="20" t="n">
        <v>4740</v>
      </c>
      <c r="L655" s="20" t="n">
        <v>4608.3</v>
      </c>
      <c r="M655" s="20" t="n">
        <v>3950</v>
      </c>
      <c r="N655" s="20" t="n">
        <v>3950</v>
      </c>
      <c r="O655" s="20" t="n">
        <v>3291.36</v>
      </c>
      <c r="P655" s="20" t="n">
        <v>0</v>
      </c>
      <c r="Q655" s="20" t="n">
        <v>0</v>
      </c>
    </row>
    <row r="656">
      <c r="A656" s="19" t="inlineStr">
        <is>
          <t>Company 324</t>
        </is>
      </c>
      <c r="B656" s="19" t="inlineStr">
        <is>
          <t>Power</t>
        </is>
      </c>
      <c r="C656" s="19" t="inlineStr">
        <is>
          <t>Shipper Power</t>
        </is>
      </c>
      <c r="D656" s="19" t="inlineStr">
        <is>
          <t>UK</t>
        </is>
      </c>
      <c r="E656" s="20" t="n">
        <v>56500</v>
      </c>
      <c r="F656" s="20" t="n">
        <v>32320</v>
      </c>
      <c r="G656" s="20" t="n">
        <v>0</v>
      </c>
      <c r="H656" s="20" t="n">
        <v>0</v>
      </c>
      <c r="I656" s="20" t="n">
        <v>0</v>
      </c>
      <c r="J656" s="20" t="n">
        <v>0</v>
      </c>
      <c r="K656" s="20" t="n">
        <v>0</v>
      </c>
      <c r="L656" s="20" t="n">
        <v>0</v>
      </c>
      <c r="M656" s="20" t="n">
        <v>0</v>
      </c>
      <c r="N656" s="20" t="n">
        <v>0</v>
      </c>
      <c r="O656" s="20" t="n">
        <v>0</v>
      </c>
      <c r="P656" s="20" t="n">
        <v>0</v>
      </c>
      <c r="Q656" s="20" t="n">
        <v>0</v>
      </c>
    </row>
    <row r="657">
      <c r="A657" s="19" t="inlineStr">
        <is>
          <t>Company 325</t>
        </is>
      </c>
      <c r="B657" s="19" t="inlineStr">
        <is>
          <t>Software</t>
        </is>
      </c>
      <c r="C657" s="19" t="inlineStr">
        <is>
          <t>PowerTrak</t>
        </is>
      </c>
      <c r="D657" s="19" t="inlineStr">
        <is>
          <t>UK</t>
        </is>
      </c>
      <c r="E657" s="20" t="n">
        <v>25750.00000000001</v>
      </c>
      <c r="F657" s="20" t="n">
        <v>4228.83</v>
      </c>
      <c r="G657" s="20" t="n">
        <v>0</v>
      </c>
      <c r="H657" s="20" t="n">
        <v>0</v>
      </c>
      <c r="I657" s="20" t="n">
        <v>0</v>
      </c>
      <c r="J657" s="20" t="n">
        <v>0</v>
      </c>
      <c r="K657" s="20" t="n">
        <v>0</v>
      </c>
      <c r="L657" s="20" t="n">
        <v>0</v>
      </c>
      <c r="M657" s="20" t="n">
        <v>0</v>
      </c>
      <c r="N657" s="20" t="n">
        <v>0</v>
      </c>
      <c r="O657" s="20" t="n">
        <v>0</v>
      </c>
      <c r="P657" s="20" t="n">
        <v>0</v>
      </c>
      <c r="Q657" s="20" t="n">
        <v>0</v>
      </c>
    </row>
    <row r="658">
      <c r="A658" s="19" t="inlineStr">
        <is>
          <t>Company 325</t>
        </is>
      </c>
      <c r="B658" s="19" t="inlineStr">
        <is>
          <t>Operations</t>
        </is>
      </c>
      <c r="C658" s="19" t="inlineStr">
        <is>
          <t>Demand Text</t>
        </is>
      </c>
      <c r="D658" s="19" t="inlineStr">
        <is>
          <t>UK</t>
        </is>
      </c>
      <c r="E658" s="20" t="n">
        <v>0</v>
      </c>
      <c r="F658" s="20" t="n">
        <v>0</v>
      </c>
      <c r="G658" s="20" t="n">
        <v>0</v>
      </c>
      <c r="H658" s="20" t="n">
        <v>3750</v>
      </c>
      <c r="I658" s="20" t="n">
        <v>6000</v>
      </c>
      <c r="J658" s="20" t="n">
        <v>6000</v>
      </c>
      <c r="K658" s="20" t="n">
        <v>6000</v>
      </c>
      <c r="L658" s="20" t="n">
        <v>5000</v>
      </c>
      <c r="M658" s="20" t="n">
        <v>0</v>
      </c>
      <c r="N658" s="20" t="n">
        <v>0</v>
      </c>
      <c r="O658" s="20" t="n">
        <v>0</v>
      </c>
      <c r="P658" s="20" t="n">
        <v>0</v>
      </c>
      <c r="Q658" s="20" t="n">
        <v>0</v>
      </c>
    </row>
    <row r="659">
      <c r="A659" s="19" t="inlineStr">
        <is>
          <t>Company 326</t>
        </is>
      </c>
      <c r="B659" s="19" t="inlineStr">
        <is>
          <t>Software</t>
        </is>
      </c>
      <c r="C659" s="19" t="inlineStr">
        <is>
          <t>CodeRunner</t>
        </is>
      </c>
      <c r="D659" s="19" t="inlineStr">
        <is>
          <t>UK</t>
        </is>
      </c>
      <c r="E659" s="20" t="n">
        <v>7875</v>
      </c>
      <c r="F659" s="20" t="n">
        <v>0</v>
      </c>
      <c r="G659" s="20" t="n">
        <v>0</v>
      </c>
      <c r="H659" s="20" t="n">
        <v>0</v>
      </c>
      <c r="I659" s="20" t="n">
        <v>0</v>
      </c>
      <c r="J659" s="20" t="n">
        <v>0</v>
      </c>
      <c r="K659" s="20" t="n">
        <v>0</v>
      </c>
      <c r="L659" s="20" t="n">
        <v>0</v>
      </c>
      <c r="M659" s="20" t="n">
        <v>0</v>
      </c>
      <c r="N659" s="20" t="n">
        <v>0</v>
      </c>
      <c r="O659" s="20" t="n">
        <v>0</v>
      </c>
      <c r="P659" s="20" t="n">
        <v>0</v>
      </c>
      <c r="Q659" s="20" t="n">
        <v>0</v>
      </c>
    </row>
    <row r="660">
      <c r="A660" s="19" t="inlineStr">
        <is>
          <t>Company 326</t>
        </is>
      </c>
      <c r="B660" s="19" t="inlineStr">
        <is>
          <t>Operations</t>
        </is>
      </c>
      <c r="C660" s="19" t="inlineStr">
        <is>
          <t>Shipper Gas</t>
        </is>
      </c>
      <c r="D660" s="19" t="inlineStr">
        <is>
          <t>UK</t>
        </is>
      </c>
      <c r="E660" s="20" t="n">
        <v>8200</v>
      </c>
      <c r="F660" s="20" t="n">
        <v>0</v>
      </c>
      <c r="G660" s="20" t="n">
        <v>0</v>
      </c>
      <c r="H660" s="20" t="n">
        <v>0</v>
      </c>
      <c r="I660" s="20" t="n">
        <v>0</v>
      </c>
      <c r="J660" s="20" t="n">
        <v>0</v>
      </c>
      <c r="K660" s="20" t="n">
        <v>0</v>
      </c>
      <c r="L660" s="20" t="n">
        <v>0</v>
      </c>
      <c r="M660" s="20" t="n">
        <v>0</v>
      </c>
      <c r="N660" s="20" t="n">
        <v>0</v>
      </c>
      <c r="O660" s="20" t="n">
        <v>0</v>
      </c>
      <c r="P660" s="20" t="n">
        <v>0</v>
      </c>
      <c r="Q660" s="20" t="n">
        <v>0</v>
      </c>
    </row>
    <row r="661">
      <c r="A661" s="19" t="inlineStr">
        <is>
          <t>Company 326</t>
        </is>
      </c>
      <c r="B661" s="19" t="inlineStr">
        <is>
          <t>Power</t>
        </is>
      </c>
      <c r="C661" s="19" t="inlineStr">
        <is>
          <t>Shipper Power</t>
        </is>
      </c>
      <c r="D661" s="19" t="inlineStr">
        <is>
          <t>UK</t>
        </is>
      </c>
      <c r="E661" s="20" t="n">
        <v>7800</v>
      </c>
      <c r="F661" s="20" t="n">
        <v>0</v>
      </c>
      <c r="G661" s="20" t="n">
        <v>0</v>
      </c>
      <c r="H661" s="20" t="n">
        <v>0</v>
      </c>
      <c r="I661" s="20" t="n">
        <v>0</v>
      </c>
      <c r="J661" s="20" t="n">
        <v>0</v>
      </c>
      <c r="K661" s="20" t="n">
        <v>0</v>
      </c>
      <c r="L661" s="20" t="n">
        <v>0</v>
      </c>
      <c r="M661" s="20" t="n">
        <v>0</v>
      </c>
      <c r="N661" s="20" t="n">
        <v>0</v>
      </c>
      <c r="O661" s="20" t="n">
        <v>0</v>
      </c>
      <c r="P661" s="20" t="n">
        <v>0</v>
      </c>
      <c r="Q661" s="20" t="n">
        <v>0</v>
      </c>
    </row>
    <row r="662">
      <c r="A662" s="19" t="inlineStr">
        <is>
          <t>Company 327</t>
        </is>
      </c>
      <c r="B662" s="19" t="inlineStr">
        <is>
          <t>Operations</t>
        </is>
      </c>
      <c r="C662" s="19" t="inlineStr">
        <is>
          <t>Market Gas</t>
        </is>
      </c>
      <c r="D662" s="19" t="inlineStr">
        <is>
          <t>UK</t>
        </is>
      </c>
      <c r="E662" s="20" t="n">
        <v>12561.29</v>
      </c>
      <c r="F662" s="20" t="n">
        <v>20260.45</v>
      </c>
      <c r="G662" s="20" t="n">
        <v>53926.67</v>
      </c>
      <c r="H662" s="20" t="n">
        <v>82645.16</v>
      </c>
      <c r="I662" s="20" t="n">
        <v>0</v>
      </c>
      <c r="J662" s="20" t="n">
        <v>0</v>
      </c>
      <c r="K662" s="20" t="n">
        <v>0</v>
      </c>
      <c r="L662" s="20" t="n">
        <v>0</v>
      </c>
      <c r="M662" s="20" t="n">
        <v>0</v>
      </c>
      <c r="N662" s="20" t="n">
        <v>0</v>
      </c>
      <c r="O662" s="20" t="n">
        <v>0</v>
      </c>
      <c r="P662" s="20" t="n">
        <v>0</v>
      </c>
      <c r="Q662" s="20" t="n">
        <v>0</v>
      </c>
    </row>
    <row r="663">
      <c r="A663" s="19" t="inlineStr">
        <is>
          <t>Company 328</t>
        </is>
      </c>
      <c r="B663" s="19" t="inlineStr">
        <is>
          <t>Software</t>
        </is>
      </c>
      <c r="C663" s="19" t="inlineStr">
        <is>
          <t>ENOM+</t>
        </is>
      </c>
      <c r="D663" s="19" t="inlineStr">
        <is>
          <t>UK</t>
        </is>
      </c>
      <c r="E663" s="20" t="n">
        <v>17439.96</v>
      </c>
      <c r="F663" s="20" t="n">
        <v>15784.14</v>
      </c>
      <c r="G663" s="20" t="n">
        <v>16028.73</v>
      </c>
      <c r="H663" s="20" t="n">
        <v>17535.66</v>
      </c>
      <c r="I663" s="20" t="n">
        <v>18254.01</v>
      </c>
      <c r="J663" s="20" t="n">
        <v>18041.55</v>
      </c>
      <c r="K663" s="20" t="n">
        <v>18312.96</v>
      </c>
      <c r="L663" s="20" t="n">
        <v>18053.37</v>
      </c>
      <c r="M663" s="20" t="n">
        <v>17628.3</v>
      </c>
      <c r="N663" s="20" t="n">
        <v>18244.71</v>
      </c>
      <c r="O663" s="20" t="n">
        <v>4620.78</v>
      </c>
      <c r="P663" s="20" t="n">
        <v>0</v>
      </c>
      <c r="Q663" s="20" t="n">
        <v>0</v>
      </c>
    </row>
    <row r="664">
      <c r="A664" s="19" t="inlineStr">
        <is>
          <t>Company 328</t>
        </is>
      </c>
      <c r="B664" s="19" t="inlineStr">
        <is>
          <t>Software</t>
        </is>
      </c>
      <c r="C664" s="19" t="inlineStr">
        <is>
          <t>Routing</t>
        </is>
      </c>
      <c r="D664" s="19" t="inlineStr">
        <is>
          <t>UK</t>
        </is>
      </c>
      <c r="E664" s="20" t="n">
        <v>2989.71</v>
      </c>
      <c r="F664" s="20" t="n">
        <v>2705.849999999999</v>
      </c>
      <c r="G664" s="20" t="n">
        <v>2747.78</v>
      </c>
      <c r="H664" s="20" t="n">
        <v>3006.119999999999</v>
      </c>
      <c r="I664" s="20" t="n">
        <v>3129.24</v>
      </c>
      <c r="J664" s="20" t="n">
        <v>3092.87</v>
      </c>
      <c r="K664" s="20" t="n">
        <v>3139.350000000001</v>
      </c>
      <c r="L664" s="20" t="n">
        <v>3094.880000000001</v>
      </c>
      <c r="M664" s="20" t="n">
        <v>3021.98</v>
      </c>
      <c r="N664" s="20" t="n">
        <v>3127.650000000001</v>
      </c>
      <c r="O664" s="20" t="n">
        <v>1315.226923076923</v>
      </c>
      <c r="P664" s="20" t="n">
        <v>0</v>
      </c>
      <c r="Q664" s="20" t="n">
        <v>0</v>
      </c>
    </row>
    <row r="665">
      <c r="A665" s="19" t="inlineStr">
        <is>
          <t>Company 329</t>
        </is>
      </c>
      <c r="B665" s="19" t="inlineStr">
        <is>
          <t>Software</t>
        </is>
      </c>
      <c r="C665" s="19" t="inlineStr">
        <is>
          <t>ENOM+</t>
        </is>
      </c>
      <c r="D665" s="19" t="inlineStr">
        <is>
          <t>Netherlands</t>
        </is>
      </c>
      <c r="E665" s="20" t="n">
        <v>17650.86</v>
      </c>
      <c r="F665" s="20" t="n">
        <v>16510.79</v>
      </c>
      <c r="G665" s="20" t="n">
        <v>16168.97</v>
      </c>
      <c r="H665" s="20" t="n">
        <v>18064.82</v>
      </c>
      <c r="I665" s="20" t="n">
        <v>19292.66</v>
      </c>
      <c r="J665" s="20" t="n">
        <v>19233.22</v>
      </c>
      <c r="K665" s="20" t="n">
        <v>19492.41</v>
      </c>
      <c r="L665" s="20" t="n">
        <v>19052.78</v>
      </c>
      <c r="M665" s="20" t="n">
        <v>18635.64</v>
      </c>
      <c r="N665" s="20" t="n">
        <v>18637.83</v>
      </c>
      <c r="O665" s="20" t="n">
        <v>9266.82</v>
      </c>
      <c r="P665" s="20" t="n">
        <v>0</v>
      </c>
      <c r="Q665" s="20" t="n">
        <v>0</v>
      </c>
    </row>
    <row r="666">
      <c r="A666" s="19" t="inlineStr">
        <is>
          <t>Company 330</t>
        </is>
      </c>
      <c r="B666" s="19" t="inlineStr">
        <is>
          <t>Operations</t>
        </is>
      </c>
      <c r="C666" s="19" t="inlineStr">
        <is>
          <t>Shipper Gas</t>
        </is>
      </c>
      <c r="D666" s="19" t="inlineStr">
        <is>
          <t>Qatar</t>
        </is>
      </c>
      <c r="E666" s="20" t="n">
        <v>0</v>
      </c>
      <c r="F666" s="20" t="n">
        <v>0</v>
      </c>
      <c r="G666" s="20" t="n">
        <v>0</v>
      </c>
      <c r="H666" s="20" t="n">
        <v>0</v>
      </c>
      <c r="I666" s="20" t="n">
        <v>0</v>
      </c>
      <c r="J666" s="20" t="n">
        <v>0</v>
      </c>
      <c r="K666" s="20" t="n">
        <v>0</v>
      </c>
      <c r="L666" s="20" t="n">
        <v>0</v>
      </c>
      <c r="M666" s="20" t="n">
        <v>6250</v>
      </c>
      <c r="N666" s="20" t="n">
        <v>0</v>
      </c>
      <c r="O666" s="20" t="n">
        <v>0</v>
      </c>
      <c r="P666" s="20" t="n">
        <v>0</v>
      </c>
      <c r="Q666" s="20" t="n">
        <v>0</v>
      </c>
    </row>
    <row r="667">
      <c r="A667" s="19" t="inlineStr">
        <is>
          <t>Company 331</t>
        </is>
      </c>
      <c r="B667" s="19" t="inlineStr">
        <is>
          <t>Software</t>
        </is>
      </c>
      <c r="C667" s="19" t="inlineStr">
        <is>
          <t>ENOM+</t>
        </is>
      </c>
      <c r="D667" s="19" t="inlineStr">
        <is>
          <t>Switzerland</t>
        </is>
      </c>
      <c r="E667" s="20" t="n">
        <v>17391.5</v>
      </c>
      <c r="F667" s="20" t="n">
        <v>15725.5</v>
      </c>
      <c r="G667" s="20" t="n">
        <v>4990.32</v>
      </c>
      <c r="H667" s="20" t="n">
        <v>0</v>
      </c>
      <c r="I667" s="20" t="n">
        <v>0</v>
      </c>
      <c r="J667" s="20" t="n">
        <v>0</v>
      </c>
      <c r="K667" s="20" t="n">
        <v>0</v>
      </c>
      <c r="L667" s="20" t="n">
        <v>0</v>
      </c>
      <c r="M667" s="20" t="n">
        <v>0</v>
      </c>
      <c r="N667" s="20" t="n">
        <v>0</v>
      </c>
      <c r="O667" s="20" t="n">
        <v>0</v>
      </c>
      <c r="P667" s="20" t="n">
        <v>0</v>
      </c>
      <c r="Q667" s="20" t="n">
        <v>0</v>
      </c>
    </row>
    <row r="668">
      <c r="A668" s="19" t="inlineStr">
        <is>
          <t>Company 332</t>
        </is>
      </c>
      <c r="B668" s="19" t="inlineStr">
        <is>
          <t>Software</t>
        </is>
      </c>
      <c r="C668" s="19" t="inlineStr">
        <is>
          <t>ENOM+</t>
        </is>
      </c>
      <c r="D668" s="19" t="inlineStr">
        <is>
          <t>UK</t>
        </is>
      </c>
      <c r="E668" s="20" t="n">
        <v>14500</v>
      </c>
      <c r="F668" s="20" t="n">
        <v>13291.63</v>
      </c>
      <c r="G668" s="20" t="n">
        <v>14500</v>
      </c>
      <c r="H668" s="20" t="n">
        <v>0</v>
      </c>
      <c r="I668" s="20" t="n">
        <v>0</v>
      </c>
      <c r="J668" s="20" t="n">
        <v>0</v>
      </c>
      <c r="K668" s="20" t="n">
        <v>0</v>
      </c>
      <c r="L668" s="20" t="n">
        <v>0</v>
      </c>
      <c r="M668" s="20" t="n">
        <v>0</v>
      </c>
      <c r="N668" s="20" t="n">
        <v>0</v>
      </c>
      <c r="O668" s="20" t="n">
        <v>0</v>
      </c>
      <c r="P668" s="20" t="n">
        <v>0</v>
      </c>
      <c r="Q668" s="20" t="n">
        <v>0</v>
      </c>
    </row>
    <row r="669">
      <c r="A669" s="19" t="inlineStr">
        <is>
          <t>Company 332</t>
        </is>
      </c>
      <c r="B669" s="19" t="inlineStr">
        <is>
          <t>Software</t>
        </is>
      </c>
      <c r="C669" s="19" t="inlineStr">
        <is>
          <t>Routing</t>
        </is>
      </c>
      <c r="D669" s="19" t="inlineStr">
        <is>
          <t>UK</t>
        </is>
      </c>
      <c r="E669" s="20" t="n">
        <v>18150</v>
      </c>
      <c r="F669" s="20" t="n">
        <v>15600</v>
      </c>
      <c r="G669" s="20" t="n">
        <v>19950</v>
      </c>
      <c r="H669" s="20" t="n">
        <v>0</v>
      </c>
      <c r="I669" s="20" t="n">
        <v>0</v>
      </c>
      <c r="J669" s="20" t="n">
        <v>0</v>
      </c>
      <c r="K669" s="20" t="n">
        <v>0</v>
      </c>
      <c r="L669" s="20" t="n">
        <v>0</v>
      </c>
      <c r="M669" s="20" t="n">
        <v>0</v>
      </c>
      <c r="N669" s="20" t="n">
        <v>0</v>
      </c>
      <c r="O669" s="20" t="n">
        <v>0</v>
      </c>
      <c r="P669" s="20" t="n">
        <v>0</v>
      </c>
      <c r="Q669" s="20" t="n">
        <v>0</v>
      </c>
    </row>
    <row r="670">
      <c r="A670" s="19" t="inlineStr">
        <is>
          <t>Company 333</t>
        </is>
      </c>
      <c r="B670" s="19" t="inlineStr">
        <is>
          <t>Software</t>
        </is>
      </c>
      <c r="C670" s="19" t="inlineStr">
        <is>
          <t>ENOM</t>
        </is>
      </c>
      <c r="D670" s="19" t="inlineStr">
        <is>
          <t>UK</t>
        </is>
      </c>
      <c r="E670" s="20" t="n">
        <v>6800</v>
      </c>
      <c r="F670" s="20" t="n">
        <v>6800</v>
      </c>
      <c r="G670" s="20" t="n">
        <v>1700.01</v>
      </c>
      <c r="H670" s="20" t="n">
        <v>0</v>
      </c>
      <c r="I670" s="20" t="n">
        <v>0</v>
      </c>
      <c r="J670" s="20" t="n">
        <v>0</v>
      </c>
      <c r="K670" s="20" t="n">
        <v>0</v>
      </c>
      <c r="L670" s="20" t="n">
        <v>0</v>
      </c>
      <c r="M670" s="20" t="n">
        <v>0</v>
      </c>
      <c r="N670" s="20" t="n">
        <v>0</v>
      </c>
      <c r="O670" s="20" t="n">
        <v>0</v>
      </c>
      <c r="P670" s="20" t="n">
        <v>0</v>
      </c>
      <c r="Q670" s="20" t="n">
        <v>0</v>
      </c>
    </row>
    <row r="671">
      <c r="A671" s="19" t="inlineStr">
        <is>
          <t>Company 334</t>
        </is>
      </c>
      <c r="B671" s="19" t="inlineStr">
        <is>
          <t>Software</t>
        </is>
      </c>
      <c r="C671" s="19" t="inlineStr">
        <is>
          <t>Routing</t>
        </is>
      </c>
      <c r="D671" s="19" t="inlineStr">
        <is>
          <t>UK</t>
        </is>
      </c>
      <c r="E671" s="20" t="n">
        <v>150</v>
      </c>
      <c r="F671" s="20" t="n">
        <v>0</v>
      </c>
      <c r="G671" s="20" t="n">
        <v>0</v>
      </c>
      <c r="H671" s="20" t="n">
        <v>0</v>
      </c>
      <c r="I671" s="20" t="n">
        <v>0</v>
      </c>
      <c r="J671" s="20" t="n">
        <v>0</v>
      </c>
      <c r="K671" s="20" t="n">
        <v>0</v>
      </c>
      <c r="L671" s="20" t="n">
        <v>0</v>
      </c>
      <c r="M671" s="20" t="n">
        <v>0</v>
      </c>
      <c r="N671" s="20" t="n">
        <v>0</v>
      </c>
      <c r="O671" s="20" t="n">
        <v>0</v>
      </c>
      <c r="P671" s="20" t="n">
        <v>0</v>
      </c>
      <c r="Q671" s="20" t="n">
        <v>0</v>
      </c>
    </row>
    <row r="672">
      <c r="A672" s="19" t="inlineStr">
        <is>
          <t>Company 336</t>
        </is>
      </c>
      <c r="B672" s="19" t="inlineStr">
        <is>
          <t>Software</t>
        </is>
      </c>
      <c r="C672" s="19" t="inlineStr">
        <is>
          <t>ENOM</t>
        </is>
      </c>
      <c r="D672" s="19" t="inlineStr">
        <is>
          <t>UK</t>
        </is>
      </c>
      <c r="E672" s="20" t="n">
        <v>9956.700000000001</v>
      </c>
      <c r="F672" s="20" t="n">
        <v>9074.700000000001</v>
      </c>
      <c r="G672" s="20" t="n">
        <v>9349.800000000001</v>
      </c>
      <c r="H672" s="20" t="n">
        <v>10397.7</v>
      </c>
      <c r="I672" s="20" t="n">
        <v>10595.58</v>
      </c>
      <c r="J672" s="20" t="n">
        <v>5286.48</v>
      </c>
      <c r="K672" s="20" t="n">
        <v>0</v>
      </c>
      <c r="L672" s="20" t="n">
        <v>0</v>
      </c>
      <c r="M672" s="20" t="n">
        <v>0</v>
      </c>
      <c r="N672" s="20" t="n">
        <v>0</v>
      </c>
      <c r="O672" s="20" t="n">
        <v>0</v>
      </c>
      <c r="P672" s="20" t="n">
        <v>0</v>
      </c>
      <c r="Q672" s="20" t="n">
        <v>0</v>
      </c>
    </row>
    <row r="673">
      <c r="A673" s="19" t="inlineStr">
        <is>
          <t>Company 336</t>
        </is>
      </c>
      <c r="B673" s="19" t="inlineStr">
        <is>
          <t>Software</t>
        </is>
      </c>
      <c r="C673" s="19" t="inlineStr">
        <is>
          <t>Routing</t>
        </is>
      </c>
      <c r="D673" s="19" t="inlineStr">
        <is>
          <t>UK</t>
        </is>
      </c>
      <c r="E673" s="20" t="n">
        <v>746.75</v>
      </c>
      <c r="F673" s="20" t="n">
        <v>680.5799999999999</v>
      </c>
      <c r="G673" s="20" t="n">
        <v>701.25</v>
      </c>
      <c r="H673" s="20" t="n">
        <v>779.8700000000001</v>
      </c>
      <c r="I673" s="20" t="n">
        <v>794.6500000000002</v>
      </c>
      <c r="J673" s="20" t="n">
        <v>396.48</v>
      </c>
      <c r="K673" s="20" t="n">
        <v>0</v>
      </c>
      <c r="L673" s="20" t="n">
        <v>0</v>
      </c>
      <c r="M673" s="20" t="n">
        <v>0</v>
      </c>
      <c r="N673" s="20" t="n">
        <v>0</v>
      </c>
      <c r="O673" s="20" t="n">
        <v>0</v>
      </c>
      <c r="P673" s="20" t="n">
        <v>0</v>
      </c>
      <c r="Q673" s="20" t="n">
        <v>0</v>
      </c>
    </row>
    <row r="674">
      <c r="A674" s="19" t="inlineStr">
        <is>
          <t>Company 337</t>
        </is>
      </c>
      <c r="B674" s="19" t="inlineStr">
        <is>
          <t>Operations</t>
        </is>
      </c>
      <c r="C674" s="19" t="inlineStr">
        <is>
          <t>Shipper Gas</t>
        </is>
      </c>
      <c r="D674" s="19" t="inlineStr">
        <is>
          <t>UK</t>
        </is>
      </c>
      <c r="E674" s="20" t="n">
        <v>0</v>
      </c>
      <c r="F674" s="20" t="n">
        <v>0</v>
      </c>
      <c r="G674" s="20" t="n">
        <v>0</v>
      </c>
      <c r="H674" s="20" t="n">
        <v>0</v>
      </c>
      <c r="I674" s="20" t="n">
        <v>0</v>
      </c>
      <c r="J674" s="20" t="n">
        <v>0</v>
      </c>
      <c r="K674" s="20" t="n">
        <v>0</v>
      </c>
      <c r="L674" s="20" t="n">
        <v>0</v>
      </c>
      <c r="M674" s="20" t="n">
        <v>51500</v>
      </c>
      <c r="N674" s="20" t="n">
        <v>176700</v>
      </c>
      <c r="O674" s="20" t="n">
        <v>0</v>
      </c>
      <c r="P674" s="20" t="n">
        <v>0</v>
      </c>
      <c r="Q674" s="20" t="n">
        <v>0</v>
      </c>
    </row>
    <row r="675">
      <c r="A675" s="19" t="inlineStr">
        <is>
          <t>Company 338</t>
        </is>
      </c>
      <c r="B675" s="19" t="inlineStr">
        <is>
          <t>Software</t>
        </is>
      </c>
      <c r="C675" s="19" t="inlineStr">
        <is>
          <t>Routing</t>
        </is>
      </c>
      <c r="D675" s="19" t="inlineStr">
        <is>
          <t>UK</t>
        </is>
      </c>
      <c r="E675" s="20" t="n">
        <v>0</v>
      </c>
      <c r="F675" s="20" t="n">
        <v>0</v>
      </c>
      <c r="G675" s="20" t="n">
        <v>0</v>
      </c>
      <c r="H675" s="20" t="n">
        <v>0</v>
      </c>
      <c r="I675" s="20" t="n">
        <v>0</v>
      </c>
      <c r="J675" s="20" t="n">
        <v>0</v>
      </c>
      <c r="K675" s="20" t="n">
        <v>0</v>
      </c>
      <c r="L675" s="20" t="n">
        <v>0</v>
      </c>
      <c r="M675" s="20" t="n">
        <v>0</v>
      </c>
      <c r="N675" s="20" t="n">
        <v>0</v>
      </c>
      <c r="O675" s="20" t="n">
        <v>8830</v>
      </c>
      <c r="P675" s="20" t="n">
        <v>0</v>
      </c>
      <c r="Q675" s="20" t="n">
        <v>0</v>
      </c>
    </row>
    <row r="676">
      <c r="A676" s="19" t="inlineStr">
        <is>
          <t>Company 339</t>
        </is>
      </c>
      <c r="B676" s="19" t="inlineStr">
        <is>
          <t>Software</t>
        </is>
      </c>
      <c r="C676" s="19" t="inlineStr">
        <is>
          <t>ENOM</t>
        </is>
      </c>
      <c r="D676" s="19" t="inlineStr">
        <is>
          <t>UK</t>
        </is>
      </c>
      <c r="E676" s="20" t="n">
        <v>31901</v>
      </c>
      <c r="F676" s="20" t="n">
        <v>10175</v>
      </c>
      <c r="G676" s="20" t="n">
        <v>9000</v>
      </c>
      <c r="H676" s="20" t="n">
        <v>9087.469999999999</v>
      </c>
      <c r="I676" s="20" t="n">
        <v>9428.749999999998</v>
      </c>
      <c r="J676" s="20" t="n">
        <v>21066.73</v>
      </c>
      <c r="K676" s="20" t="n">
        <v>20674.57999999999</v>
      </c>
      <c r="L676" s="20" t="n">
        <v>19993.75</v>
      </c>
      <c r="M676" s="20" t="n">
        <v>20873.69</v>
      </c>
      <c r="N676" s="20" t="n">
        <v>16800.03</v>
      </c>
      <c r="O676" s="20" t="n">
        <v>0</v>
      </c>
      <c r="P676" s="20" t="n">
        <v>0</v>
      </c>
      <c r="Q676" s="20" t="n">
        <v>0</v>
      </c>
    </row>
    <row r="677">
      <c r="A677" s="19" t="inlineStr">
        <is>
          <t>Company 339</t>
        </is>
      </c>
      <c r="B677" s="19" t="inlineStr">
        <is>
          <t>Software</t>
        </is>
      </c>
      <c r="C677" s="19" t="inlineStr">
        <is>
          <t>EuroRunner</t>
        </is>
      </c>
      <c r="D677" s="19" t="inlineStr">
        <is>
          <t>UK</t>
        </is>
      </c>
      <c r="E677" s="20" t="n">
        <v>179127.51</v>
      </c>
      <c r="F677" s="20" t="n">
        <v>119802.1</v>
      </c>
      <c r="G677" s="20" t="n">
        <v>100725.97</v>
      </c>
      <c r="H677" s="20" t="n">
        <v>105922.5</v>
      </c>
      <c r="I677" s="20" t="n">
        <v>128616.76</v>
      </c>
      <c r="J677" s="20" t="n">
        <v>161678.81</v>
      </c>
      <c r="K677" s="20" t="n">
        <v>130570</v>
      </c>
      <c r="L677" s="20" t="n">
        <v>131384.97</v>
      </c>
      <c r="M677" s="20" t="n">
        <v>160253.75</v>
      </c>
      <c r="N677" s="20" t="n">
        <v>114018.75</v>
      </c>
      <c r="O677" s="20" t="n">
        <v>0</v>
      </c>
      <c r="P677" s="20" t="n">
        <v>0</v>
      </c>
      <c r="Q677" s="20" t="n">
        <v>0</v>
      </c>
    </row>
    <row r="678">
      <c r="A678" s="19" t="inlineStr">
        <is>
          <t>Company 339</t>
        </is>
      </c>
      <c r="B678" s="19" t="inlineStr">
        <is>
          <t>Power</t>
        </is>
      </c>
      <c r="C678" s="19" t="inlineStr">
        <is>
          <t>Shipper Power</t>
        </is>
      </c>
      <c r="D678" s="19" t="inlineStr">
        <is>
          <t>UK</t>
        </is>
      </c>
      <c r="E678" s="20" t="n">
        <v>0</v>
      </c>
      <c r="F678" s="20" t="n">
        <v>0</v>
      </c>
      <c r="G678" s="20" t="n">
        <v>0</v>
      </c>
      <c r="H678" s="20" t="n">
        <v>28890</v>
      </c>
      <c r="I678" s="20" t="n">
        <v>47340</v>
      </c>
      <c r="J678" s="20" t="n">
        <v>48850</v>
      </c>
      <c r="K678" s="20" t="n">
        <v>48990</v>
      </c>
      <c r="L678" s="20" t="n">
        <v>45155</v>
      </c>
      <c r="M678" s="20" t="n">
        <v>0</v>
      </c>
      <c r="N678" s="20" t="n">
        <v>0</v>
      </c>
      <c r="O678" s="20" t="n">
        <v>0</v>
      </c>
      <c r="P678" s="20" t="n">
        <v>0</v>
      </c>
      <c r="Q678" s="20" t="n">
        <v>0</v>
      </c>
    </row>
    <row r="679">
      <c r="A679" s="19" t="inlineStr">
        <is>
          <t>Company 340</t>
        </is>
      </c>
      <c r="B679" s="19" t="inlineStr">
        <is>
          <t>Software</t>
        </is>
      </c>
      <c r="C679" s="19" t="inlineStr">
        <is>
          <t>ENOM</t>
        </is>
      </c>
      <c r="D679" s="19" t="inlineStr">
        <is>
          <t>UK</t>
        </is>
      </c>
      <c r="E679" s="20" t="n">
        <v>0</v>
      </c>
      <c r="F679" s="20" t="n">
        <v>0</v>
      </c>
      <c r="G679" s="20" t="n">
        <v>0</v>
      </c>
      <c r="H679" s="20" t="n">
        <v>0</v>
      </c>
      <c r="I679" s="20" t="n">
        <v>0</v>
      </c>
      <c r="J679" s="20" t="n">
        <v>2625</v>
      </c>
      <c r="K679" s="20" t="n">
        <v>10500</v>
      </c>
      <c r="L679" s="20" t="n">
        <v>10500</v>
      </c>
      <c r="M679" s="20" t="n">
        <v>10500</v>
      </c>
      <c r="N679" s="20" t="n">
        <v>10500</v>
      </c>
      <c r="O679" s="20" t="n">
        <v>8750</v>
      </c>
      <c r="P679" s="20" t="n">
        <v>0</v>
      </c>
      <c r="Q679" s="20" t="n">
        <v>0</v>
      </c>
    </row>
    <row r="680">
      <c r="A680" s="19" t="inlineStr">
        <is>
          <t>Company 340</t>
        </is>
      </c>
      <c r="B680" s="19" t="inlineStr">
        <is>
          <t>Software</t>
        </is>
      </c>
      <c r="C680" s="19" t="inlineStr">
        <is>
          <t>Routing</t>
        </is>
      </c>
      <c r="D680" s="19" t="inlineStr">
        <is>
          <t>UK</t>
        </is>
      </c>
      <c r="E680" s="20" t="n">
        <v>0</v>
      </c>
      <c r="F680" s="20" t="n">
        <v>0</v>
      </c>
      <c r="G680" s="20" t="n">
        <v>0</v>
      </c>
      <c r="H680" s="20" t="n">
        <v>0</v>
      </c>
      <c r="I680" s="20" t="n">
        <v>0</v>
      </c>
      <c r="J680" s="20" t="n">
        <v>0</v>
      </c>
      <c r="K680" s="20" t="n">
        <v>225</v>
      </c>
      <c r="L680" s="20" t="n">
        <v>900</v>
      </c>
      <c r="M680" s="20" t="n">
        <v>900</v>
      </c>
      <c r="N680" s="20" t="n">
        <v>900</v>
      </c>
      <c r="O680" s="20" t="n">
        <v>750</v>
      </c>
      <c r="P680" s="20" t="n">
        <v>0</v>
      </c>
      <c r="Q680" s="20" t="n">
        <v>0</v>
      </c>
    </row>
    <row r="681">
      <c r="A681" s="19" t="inlineStr">
        <is>
          <t>Company 341</t>
        </is>
      </c>
      <c r="B681" s="19" t="inlineStr">
        <is>
          <t>Operations</t>
        </is>
      </c>
      <c r="C681" s="19" t="inlineStr">
        <is>
          <t>Shipper Gas</t>
        </is>
      </c>
      <c r="D681" s="19" t="inlineStr">
        <is>
          <t>France</t>
        </is>
      </c>
      <c r="E681" s="20" t="n">
        <v>161730</v>
      </c>
      <c r="F681" s="20" t="n">
        <v>161340</v>
      </c>
      <c r="G681" s="20" t="n">
        <v>161340</v>
      </c>
      <c r="H681" s="20" t="n">
        <v>161340</v>
      </c>
      <c r="I681" s="20" t="n">
        <v>161340</v>
      </c>
      <c r="J681" s="20" t="n">
        <v>161340</v>
      </c>
      <c r="K681" s="20" t="n">
        <v>161340</v>
      </c>
      <c r="L681" s="20" t="n">
        <v>20166</v>
      </c>
      <c r="M681" s="20" t="n">
        <v>0</v>
      </c>
      <c r="N681" s="20" t="n">
        <v>0</v>
      </c>
      <c r="O681" s="20" t="n">
        <v>0</v>
      </c>
      <c r="P681" s="20" t="n">
        <v>0</v>
      </c>
      <c r="Q681" s="20" t="n">
        <v>0</v>
      </c>
    </row>
    <row r="682">
      <c r="A682" s="19" t="inlineStr">
        <is>
          <t>Company 341</t>
        </is>
      </c>
      <c r="B682" s="19" t="inlineStr">
        <is>
          <t>Power</t>
        </is>
      </c>
      <c r="C682" s="19" t="inlineStr">
        <is>
          <t>Shipper Power</t>
        </is>
      </c>
      <c r="D682" s="19" t="inlineStr">
        <is>
          <t>France</t>
        </is>
      </c>
      <c r="E682" s="20" t="n">
        <v>155760</v>
      </c>
      <c r="F682" s="20" t="n">
        <v>155760</v>
      </c>
      <c r="G682" s="20" t="n">
        <v>155760</v>
      </c>
      <c r="H682" s="20" t="n">
        <v>155760</v>
      </c>
      <c r="I682" s="20" t="n">
        <v>155760</v>
      </c>
      <c r="J682" s="20" t="n">
        <v>155760</v>
      </c>
      <c r="K682" s="20" t="n">
        <v>155760</v>
      </c>
      <c r="L682" s="20" t="n">
        <v>0</v>
      </c>
      <c r="M682" s="20" t="n">
        <v>0</v>
      </c>
      <c r="N682" s="20" t="n">
        <v>0</v>
      </c>
      <c r="O682" s="20" t="n">
        <v>0</v>
      </c>
      <c r="P682" s="20" t="n">
        <v>0</v>
      </c>
      <c r="Q682" s="20" t="n">
        <v>0</v>
      </c>
    </row>
    <row r="683">
      <c r="A683" s="19" t="inlineStr">
        <is>
          <t>Company 341</t>
        </is>
      </c>
      <c r="B683" s="19" t="inlineStr">
        <is>
          <t>Software</t>
        </is>
      </c>
      <c r="C683" s="19" t="inlineStr">
        <is>
          <t>ENOM+</t>
        </is>
      </c>
      <c r="D683" s="19" t="inlineStr">
        <is>
          <t>France</t>
        </is>
      </c>
      <c r="E683" s="20" t="n">
        <v>17417.73</v>
      </c>
      <c r="F683" s="20" t="n">
        <v>16440.09</v>
      </c>
      <c r="G683" s="20" t="n">
        <v>16041.33</v>
      </c>
      <c r="H683" s="20" t="n">
        <v>18076.17</v>
      </c>
      <c r="I683" s="20" t="n">
        <v>18883.83</v>
      </c>
      <c r="J683" s="20" t="n">
        <v>23220.96</v>
      </c>
      <c r="K683" s="20" t="n">
        <v>27110.52</v>
      </c>
      <c r="L683" s="20" t="n">
        <v>0</v>
      </c>
      <c r="M683" s="20" t="n">
        <v>0</v>
      </c>
      <c r="N683" s="20" t="n">
        <v>0</v>
      </c>
      <c r="O683" s="20" t="n">
        <v>0</v>
      </c>
      <c r="P683" s="20" t="n">
        <v>0</v>
      </c>
      <c r="Q683" s="20" t="n">
        <v>0</v>
      </c>
    </row>
    <row r="684">
      <c r="A684" s="19" t="inlineStr">
        <is>
          <t>Company 341</t>
        </is>
      </c>
      <c r="B684" s="19" t="inlineStr">
        <is>
          <t>Software</t>
        </is>
      </c>
      <c r="C684" s="19" t="inlineStr">
        <is>
          <t>PowerTrak</t>
        </is>
      </c>
      <c r="D684" s="19" t="inlineStr">
        <is>
          <t>France</t>
        </is>
      </c>
      <c r="E684" s="20" t="n">
        <v>26533.97</v>
      </c>
      <c r="F684" s="20" t="n">
        <v>25051.66</v>
      </c>
      <c r="G684" s="20" t="n">
        <v>24443.97</v>
      </c>
      <c r="H684" s="20" t="n">
        <v>27544.61</v>
      </c>
      <c r="I684" s="20" t="n">
        <v>28775.36</v>
      </c>
      <c r="J684" s="20" t="n">
        <v>21613.95</v>
      </c>
      <c r="K684" s="20" t="n">
        <v>0</v>
      </c>
      <c r="L684" s="20" t="n">
        <v>0</v>
      </c>
      <c r="M684" s="20" t="n">
        <v>0</v>
      </c>
      <c r="N684" s="20" t="n">
        <v>0</v>
      </c>
      <c r="O684" s="20" t="n">
        <v>0</v>
      </c>
      <c r="P684" s="20" t="n">
        <v>0</v>
      </c>
      <c r="Q684" s="20" t="n">
        <v>0</v>
      </c>
    </row>
    <row r="685">
      <c r="A685" s="19" t="inlineStr">
        <is>
          <t>Company 341</t>
        </is>
      </c>
      <c r="B685" s="19" t="inlineStr">
        <is>
          <t>Software</t>
        </is>
      </c>
      <c r="C685" s="19" t="inlineStr">
        <is>
          <t>Routing</t>
        </is>
      </c>
      <c r="D685" s="19" t="inlineStr">
        <is>
          <t>France</t>
        </is>
      </c>
      <c r="E685" s="20" t="n">
        <v>4478.85</v>
      </c>
      <c r="F685" s="20" t="n">
        <v>4227.48</v>
      </c>
      <c r="G685" s="20" t="n">
        <v>4124.880000000001</v>
      </c>
      <c r="H685" s="20" t="n">
        <v>4648.21</v>
      </c>
      <c r="I685" s="20" t="n">
        <v>5261.08</v>
      </c>
      <c r="J685" s="20" t="n">
        <v>8736.030000000001</v>
      </c>
      <c r="K685" s="20" t="n">
        <v>11618.82</v>
      </c>
      <c r="L685" s="20" t="n">
        <v>0</v>
      </c>
      <c r="M685" s="20" t="n">
        <v>0</v>
      </c>
      <c r="N685" s="20" t="n">
        <v>0</v>
      </c>
      <c r="O685" s="20" t="n">
        <v>0</v>
      </c>
      <c r="P685" s="20" t="n">
        <v>0</v>
      </c>
      <c r="Q685" s="20" t="n">
        <v>0</v>
      </c>
    </row>
    <row r="686">
      <c r="A686" s="19" t="inlineStr">
        <is>
          <t>Company 342</t>
        </is>
      </c>
      <c r="B686" s="19" t="inlineStr">
        <is>
          <t>Software</t>
        </is>
      </c>
      <c r="C686" s="19" t="inlineStr">
        <is>
          <t>Routing</t>
        </is>
      </c>
      <c r="D686" s="19" t="inlineStr">
        <is>
          <t>France</t>
        </is>
      </c>
      <c r="E686" s="20" t="n">
        <v>0</v>
      </c>
      <c r="F686" s="20" t="n">
        <v>0</v>
      </c>
      <c r="G686" s="20" t="n">
        <v>463.2799999999999</v>
      </c>
      <c r="H686" s="20" t="n">
        <v>0</v>
      </c>
      <c r="I686" s="20" t="n">
        <v>0</v>
      </c>
      <c r="J686" s="20" t="n">
        <v>0</v>
      </c>
      <c r="K686" s="20" t="n">
        <v>0</v>
      </c>
      <c r="L686" s="20" t="n">
        <v>0</v>
      </c>
      <c r="M686" s="20" t="n">
        <v>0</v>
      </c>
      <c r="N686" s="20" t="n">
        <v>0</v>
      </c>
      <c r="O686" s="20" t="n">
        <v>0</v>
      </c>
      <c r="P686" s="20" t="n">
        <v>0</v>
      </c>
      <c r="Q686" s="20" t="n">
        <v>0</v>
      </c>
    </row>
    <row r="687">
      <c r="A687" s="19" t="inlineStr">
        <is>
          <t>Company 343</t>
        </is>
      </c>
      <c r="B687" s="19" t="inlineStr">
        <is>
          <t>Operations</t>
        </is>
      </c>
      <c r="C687" s="19" t="inlineStr">
        <is>
          <t>Shipper Gas</t>
        </is>
      </c>
      <c r="D687" s="19" t="inlineStr">
        <is>
          <t>UK</t>
        </is>
      </c>
      <c r="E687" s="20" t="n">
        <v>70200</v>
      </c>
      <c r="F687" s="20" t="n">
        <v>70200</v>
      </c>
      <c r="G687" s="20" t="n">
        <v>52650</v>
      </c>
      <c r="H687" s="20" t="n">
        <v>0</v>
      </c>
      <c r="I687" s="20" t="n">
        <v>0</v>
      </c>
      <c r="J687" s="20" t="n">
        <v>0</v>
      </c>
      <c r="K687" s="20" t="n">
        <v>0</v>
      </c>
      <c r="L687" s="20" t="n">
        <v>0</v>
      </c>
      <c r="M687" s="20" t="n">
        <v>0</v>
      </c>
      <c r="N687" s="20" t="n">
        <v>0</v>
      </c>
      <c r="O687" s="20" t="n">
        <v>0</v>
      </c>
      <c r="P687" s="20" t="n">
        <v>0</v>
      </c>
      <c r="Q687" s="20" t="n">
        <v>0</v>
      </c>
    </row>
    <row r="688">
      <c r="A688" s="19" t="inlineStr">
        <is>
          <t>Company 344</t>
        </is>
      </c>
      <c r="B688" s="19" t="inlineStr">
        <is>
          <t>Software</t>
        </is>
      </c>
      <c r="C688" s="19" t="inlineStr">
        <is>
          <t>Routing</t>
        </is>
      </c>
      <c r="D688" s="19" t="inlineStr">
        <is>
          <t>Ireland</t>
        </is>
      </c>
      <c r="E688" s="20" t="n">
        <v>0</v>
      </c>
      <c r="F688" s="20" t="n">
        <v>0</v>
      </c>
      <c r="G688" s="20" t="n">
        <v>0</v>
      </c>
      <c r="H688" s="20" t="n">
        <v>0</v>
      </c>
      <c r="I688" s="20" t="n">
        <v>799.98</v>
      </c>
      <c r="J688" s="20" t="n">
        <v>3399.97</v>
      </c>
      <c r="K688" s="20" t="n">
        <v>2999.97</v>
      </c>
      <c r="L688" s="20" t="n">
        <v>0</v>
      </c>
      <c r="M688" s="20" t="n">
        <v>0</v>
      </c>
      <c r="N688" s="20" t="n">
        <v>0</v>
      </c>
      <c r="O688" s="20" t="n">
        <v>0</v>
      </c>
      <c r="P688" s="20" t="n">
        <v>0</v>
      </c>
      <c r="Q688" s="20" t="n">
        <v>0</v>
      </c>
    </row>
    <row r="689">
      <c r="A689" s="19" t="inlineStr">
        <is>
          <t>Company 344</t>
        </is>
      </c>
      <c r="B689" s="19" t="inlineStr">
        <is>
          <t>Software</t>
        </is>
      </c>
      <c r="C689" s="19" t="inlineStr">
        <is>
          <t>ENOM</t>
        </is>
      </c>
      <c r="D689" s="19" t="inlineStr">
        <is>
          <t>Ireland</t>
        </is>
      </c>
      <c r="E689" s="20" t="n">
        <v>0</v>
      </c>
      <c r="F689" s="20" t="n">
        <v>0</v>
      </c>
      <c r="G689" s="20" t="n">
        <v>0</v>
      </c>
      <c r="H689" s="20" t="n">
        <v>0</v>
      </c>
      <c r="I689" s="20" t="n">
        <v>2625</v>
      </c>
      <c r="J689" s="20" t="n">
        <v>10500</v>
      </c>
      <c r="K689" s="20" t="n">
        <v>7875</v>
      </c>
      <c r="L689" s="20" t="n">
        <v>0</v>
      </c>
      <c r="M689" s="20" t="n">
        <v>0</v>
      </c>
      <c r="N689" s="20" t="n">
        <v>0</v>
      </c>
      <c r="O689" s="20" t="n">
        <v>0</v>
      </c>
      <c r="P689" s="20" t="n">
        <v>0</v>
      </c>
      <c r="Q689" s="20" t="n">
        <v>0</v>
      </c>
    </row>
    <row r="690">
      <c r="A690" s="19" t="inlineStr">
        <is>
          <t>Company 345</t>
        </is>
      </c>
      <c r="B690" s="19" t="inlineStr">
        <is>
          <t>Operations</t>
        </is>
      </c>
      <c r="C690" s="19" t="inlineStr">
        <is>
          <t>Shipper Gas</t>
        </is>
      </c>
      <c r="D690" s="19" t="inlineStr">
        <is>
          <t>Italy</t>
        </is>
      </c>
      <c r="E690" s="20" t="n">
        <v>40385.31</v>
      </c>
      <c r="F690" s="20" t="n">
        <v>0</v>
      </c>
      <c r="G690" s="20" t="n">
        <v>0</v>
      </c>
      <c r="H690" s="20" t="n">
        <v>0</v>
      </c>
      <c r="I690" s="20" t="n">
        <v>0</v>
      </c>
      <c r="J690" s="20" t="n">
        <v>0</v>
      </c>
      <c r="K690" s="20" t="n">
        <v>0</v>
      </c>
      <c r="L690" s="20" t="n">
        <v>0</v>
      </c>
      <c r="M690" s="20" t="n">
        <v>0</v>
      </c>
      <c r="N690" s="20" t="n">
        <v>0</v>
      </c>
      <c r="O690" s="20" t="n">
        <v>0</v>
      </c>
      <c r="P690" s="20" t="n">
        <v>0</v>
      </c>
      <c r="Q690" s="20" t="n">
        <v>0</v>
      </c>
    </row>
    <row r="691">
      <c r="A691" s="19" t="inlineStr">
        <is>
          <t>Company 346</t>
        </is>
      </c>
      <c r="B691" s="19" t="inlineStr">
        <is>
          <t>Software</t>
        </is>
      </c>
      <c r="C691" s="19" t="inlineStr">
        <is>
          <t>ENOM</t>
        </is>
      </c>
      <c r="D691" s="19" t="inlineStr">
        <is>
          <t>Norway</t>
        </is>
      </c>
      <c r="E691" s="20" t="n">
        <v>0</v>
      </c>
      <c r="F691" s="20" t="n">
        <v>0</v>
      </c>
      <c r="G691" s="20" t="n">
        <v>0</v>
      </c>
      <c r="H691" s="20" t="n">
        <v>0</v>
      </c>
      <c r="I691" s="20" t="n">
        <v>0</v>
      </c>
      <c r="J691" s="20" t="n">
        <v>8421.52</v>
      </c>
      <c r="K691" s="20" t="n">
        <v>19734.73</v>
      </c>
      <c r="L691" s="20" t="n">
        <v>22021.3</v>
      </c>
      <c r="M691" s="20" t="n">
        <v>10708.08</v>
      </c>
      <c r="N691" s="20" t="n">
        <v>0</v>
      </c>
      <c r="O691" s="20" t="n">
        <v>0</v>
      </c>
      <c r="P691" s="20" t="n">
        <v>0</v>
      </c>
      <c r="Q691" s="20" t="n">
        <v>0</v>
      </c>
    </row>
    <row r="692">
      <c r="A692" s="19" t="inlineStr">
        <is>
          <t>Company 346</t>
        </is>
      </c>
      <c r="B692" s="19" t="inlineStr">
        <is>
          <t>Software</t>
        </is>
      </c>
      <c r="C692" s="19" t="inlineStr">
        <is>
          <t>Routing</t>
        </is>
      </c>
      <c r="D692" s="19" t="inlineStr">
        <is>
          <t>Norway</t>
        </is>
      </c>
      <c r="E692" s="20" t="n">
        <v>0</v>
      </c>
      <c r="F692" s="20" t="n">
        <v>0</v>
      </c>
      <c r="G692" s="20" t="n">
        <v>0</v>
      </c>
      <c r="H692" s="20" t="n">
        <v>0</v>
      </c>
      <c r="I692" s="20" t="n">
        <v>0</v>
      </c>
      <c r="J692" s="20" t="n">
        <v>808.5</v>
      </c>
      <c r="K692" s="20" t="n">
        <v>2030.24</v>
      </c>
      <c r="L692" s="20" t="n">
        <v>2378.3</v>
      </c>
      <c r="M692" s="20" t="n">
        <v>1156.5</v>
      </c>
      <c r="N692" s="20" t="n">
        <v>0</v>
      </c>
      <c r="O692" s="20" t="n">
        <v>0</v>
      </c>
      <c r="P692" s="20" t="n">
        <v>0</v>
      </c>
      <c r="Q692" s="20" t="n">
        <v>0</v>
      </c>
    </row>
    <row r="693">
      <c r="A693" s="19" t="inlineStr">
        <is>
          <t>Company 347</t>
        </is>
      </c>
      <c r="B693" s="19" t="inlineStr">
        <is>
          <t>Software</t>
        </is>
      </c>
      <c r="C693" s="19" t="inlineStr">
        <is>
          <t>ENOM</t>
        </is>
      </c>
      <c r="D693" s="19" t="inlineStr">
        <is>
          <t>UK</t>
        </is>
      </c>
      <c r="E693" s="20" t="n">
        <v>11091.85</v>
      </c>
      <c r="F693" s="20" t="n">
        <v>11535.57</v>
      </c>
      <c r="G693" s="20" t="n">
        <v>10960.62</v>
      </c>
      <c r="H693" s="20" t="n">
        <v>0</v>
      </c>
      <c r="I693" s="20" t="n">
        <v>0</v>
      </c>
      <c r="J693" s="20" t="n">
        <v>0</v>
      </c>
      <c r="K693" s="20" t="n">
        <v>0</v>
      </c>
      <c r="L693" s="20" t="n">
        <v>0</v>
      </c>
      <c r="M693" s="20" t="n">
        <v>0</v>
      </c>
      <c r="N693" s="20" t="n">
        <v>0</v>
      </c>
      <c r="O693" s="20" t="n">
        <v>0</v>
      </c>
      <c r="P693" s="20" t="n">
        <v>0</v>
      </c>
      <c r="Q693" s="20" t="n">
        <v>0</v>
      </c>
    </row>
    <row r="694">
      <c r="A694" s="19" t="inlineStr">
        <is>
          <t>Company 347</t>
        </is>
      </c>
      <c r="B694" s="19" t="inlineStr">
        <is>
          <t>Software</t>
        </is>
      </c>
      <c r="C694" s="19" t="inlineStr">
        <is>
          <t>Routing</t>
        </is>
      </c>
      <c r="D694" s="19" t="inlineStr">
        <is>
          <t>UK</t>
        </is>
      </c>
      <c r="E694" s="20" t="n">
        <v>586.95</v>
      </c>
      <c r="F694" s="20" t="n">
        <v>610.41</v>
      </c>
      <c r="G694" s="20" t="n">
        <v>580.0300000000001</v>
      </c>
      <c r="H694" s="20" t="n">
        <v>0</v>
      </c>
      <c r="I694" s="20" t="n">
        <v>0</v>
      </c>
      <c r="J694" s="20" t="n">
        <v>0</v>
      </c>
      <c r="K694" s="20" t="n">
        <v>0</v>
      </c>
      <c r="L694" s="20" t="n">
        <v>0</v>
      </c>
      <c r="M694" s="20" t="n">
        <v>0</v>
      </c>
      <c r="N694" s="20" t="n">
        <v>0</v>
      </c>
      <c r="O694" s="20" t="n">
        <v>0</v>
      </c>
      <c r="P694" s="20" t="n">
        <v>0</v>
      </c>
      <c r="Q694" s="20" t="n">
        <v>0</v>
      </c>
    </row>
    <row r="695">
      <c r="A695" s="19" t="inlineStr">
        <is>
          <t>Company 347</t>
        </is>
      </c>
      <c r="B695" s="19" t="inlineStr">
        <is>
          <t>Software</t>
        </is>
      </c>
      <c r="C695" s="19" t="inlineStr">
        <is>
          <t>Inform</t>
        </is>
      </c>
      <c r="D695" s="19" t="inlineStr">
        <is>
          <t>UK</t>
        </is>
      </c>
      <c r="E695" s="20" t="n">
        <v>7000</v>
      </c>
      <c r="F695" s="20" t="n">
        <v>7000</v>
      </c>
      <c r="G695" s="20" t="n">
        <v>4083.31</v>
      </c>
      <c r="H695" s="20" t="n">
        <v>0</v>
      </c>
      <c r="I695" s="20" t="n">
        <v>0</v>
      </c>
      <c r="J695" s="20" t="n">
        <v>0</v>
      </c>
      <c r="K695" s="20" t="n">
        <v>0</v>
      </c>
      <c r="L695" s="20" t="n">
        <v>0</v>
      </c>
      <c r="M695" s="20" t="n">
        <v>0</v>
      </c>
      <c r="N695" s="20" t="n">
        <v>0</v>
      </c>
      <c r="O695" s="20" t="n">
        <v>0</v>
      </c>
      <c r="P695" s="20" t="n">
        <v>0</v>
      </c>
      <c r="Q695" s="20" t="n">
        <v>0</v>
      </c>
    </row>
    <row r="696">
      <c r="A696" s="19" t="inlineStr">
        <is>
          <t>Company 349</t>
        </is>
      </c>
      <c r="B696" s="19" t="inlineStr">
        <is>
          <t>Operations</t>
        </is>
      </c>
      <c r="C696" s="19" t="inlineStr">
        <is>
          <t>Demand Text</t>
        </is>
      </c>
      <c r="D696" s="19" t="inlineStr">
        <is>
          <t>UK</t>
        </is>
      </c>
      <c r="E696" s="20" t="n">
        <v>19200</v>
      </c>
      <c r="F696" s="20" t="n">
        <v>15150</v>
      </c>
      <c r="G696" s="20" t="n">
        <v>13500</v>
      </c>
      <c r="H696" s="20" t="n">
        <v>12450</v>
      </c>
      <c r="I696" s="20" t="n">
        <v>13350</v>
      </c>
      <c r="J696" s="20" t="n">
        <v>12000</v>
      </c>
      <c r="K696" s="20" t="n">
        <v>13650</v>
      </c>
      <c r="L696" s="20" t="n">
        <v>13350</v>
      </c>
      <c r="M696" s="20" t="n">
        <v>10950</v>
      </c>
      <c r="N696" s="20" t="n">
        <v>-850</v>
      </c>
      <c r="O696" s="20" t="n">
        <v>850</v>
      </c>
      <c r="P696" s="20" t="n">
        <v>0</v>
      </c>
      <c r="Q696" s="20" t="n">
        <v>0</v>
      </c>
    </row>
    <row r="697">
      <c r="A697" s="19" t="inlineStr">
        <is>
          <t>Company 350</t>
        </is>
      </c>
      <c r="B697" s="19" t="inlineStr">
        <is>
          <t>Operations</t>
        </is>
      </c>
      <c r="C697" s="19" t="inlineStr">
        <is>
          <t>Shipper Gas</t>
        </is>
      </c>
      <c r="D697" s="19" t="inlineStr">
        <is>
          <t>UK</t>
        </is>
      </c>
      <c r="E697" s="20" t="n">
        <v>12020</v>
      </c>
      <c r="F697" s="20" t="n">
        <v>0</v>
      </c>
      <c r="G697" s="20" t="n">
        <v>0</v>
      </c>
      <c r="H697" s="20" t="n">
        <v>0</v>
      </c>
      <c r="I697" s="20" t="n">
        <v>0</v>
      </c>
      <c r="J697" s="20" t="n">
        <v>0</v>
      </c>
      <c r="K697" s="20" t="n">
        <v>0</v>
      </c>
      <c r="L697" s="20" t="n">
        <v>0</v>
      </c>
      <c r="M697" s="20" t="n">
        <v>0</v>
      </c>
      <c r="N697" s="20" t="n">
        <v>0</v>
      </c>
      <c r="O697" s="20" t="n">
        <v>0</v>
      </c>
      <c r="P697" s="20" t="n">
        <v>0</v>
      </c>
      <c r="Q697" s="20" t="n">
        <v>0</v>
      </c>
    </row>
    <row r="698">
      <c r="A698" s="19" t="inlineStr">
        <is>
          <t>Company 351</t>
        </is>
      </c>
      <c r="B698" s="19" t="inlineStr">
        <is>
          <t>Software</t>
        </is>
      </c>
      <c r="C698" s="19" t="inlineStr">
        <is>
          <t>Chorus</t>
        </is>
      </c>
      <c r="D698" s="19" t="inlineStr">
        <is>
          <t>Netherlands</t>
        </is>
      </c>
      <c r="E698" s="20" t="n">
        <v>0</v>
      </c>
      <c r="F698" s="20" t="n">
        <v>0</v>
      </c>
      <c r="G698" s="20" t="n">
        <v>0</v>
      </c>
      <c r="H698" s="20" t="n">
        <v>0</v>
      </c>
      <c r="I698" s="20" t="n">
        <v>0</v>
      </c>
      <c r="J698" s="20" t="n">
        <v>0</v>
      </c>
      <c r="K698" s="20" t="n">
        <v>0</v>
      </c>
      <c r="L698" s="20" t="n">
        <v>0</v>
      </c>
      <c r="M698" s="20" t="n">
        <v>0</v>
      </c>
      <c r="N698" s="20" t="n">
        <v>1354.69</v>
      </c>
      <c r="O698" s="20" t="n">
        <v>2450.930036923077</v>
      </c>
      <c r="P698" s="20" t="n">
        <v>0</v>
      </c>
      <c r="Q698" s="20" t="n">
        <v>0</v>
      </c>
    </row>
    <row r="699">
      <c r="A699" s="19" t="inlineStr">
        <is>
          <t>Company 352</t>
        </is>
      </c>
      <c r="B699" s="19" t="inlineStr">
        <is>
          <t>Software</t>
        </is>
      </c>
      <c r="C699" s="19" t="inlineStr">
        <is>
          <t>ENOM</t>
        </is>
      </c>
      <c r="D699" s="19" t="inlineStr">
        <is>
          <t>Norway</t>
        </is>
      </c>
      <c r="E699" s="20" t="n">
        <v>8000</v>
      </c>
      <c r="F699" s="20" t="n">
        <v>8000</v>
      </c>
      <c r="G699" s="20" t="n">
        <v>8000</v>
      </c>
      <c r="H699" s="20" t="n">
        <v>8000</v>
      </c>
      <c r="I699" s="20" t="n">
        <v>8000</v>
      </c>
      <c r="J699" s="20" t="n">
        <v>8000</v>
      </c>
      <c r="K699" s="20" t="n">
        <v>8000</v>
      </c>
      <c r="L699" s="20" t="n">
        <v>8000</v>
      </c>
      <c r="M699" s="20" t="n">
        <v>8400.040000000001</v>
      </c>
      <c r="N699" s="20" t="n">
        <v>4399.98</v>
      </c>
      <c r="O699" s="20" t="n">
        <v>0</v>
      </c>
      <c r="P699" s="20" t="n">
        <v>0</v>
      </c>
      <c r="Q699" s="20" t="n">
        <v>0</v>
      </c>
    </row>
    <row r="700">
      <c r="A700" s="19" t="inlineStr">
        <is>
          <t>Company 353</t>
        </is>
      </c>
      <c r="B700" s="19" t="inlineStr">
        <is>
          <t>Operations</t>
        </is>
      </c>
      <c r="C700" s="19" t="inlineStr">
        <is>
          <t>Market Gas</t>
        </is>
      </c>
      <c r="D700" s="19" t="inlineStr">
        <is>
          <t>France</t>
        </is>
      </c>
      <c r="E700" s="20" t="n">
        <v>0</v>
      </c>
      <c r="F700" s="20" t="n">
        <v>10599.36</v>
      </c>
      <c r="G700" s="20" t="n">
        <v>0</v>
      </c>
      <c r="H700" s="20" t="n">
        <v>0</v>
      </c>
      <c r="I700" s="20" t="n">
        <v>0</v>
      </c>
      <c r="J700" s="20" t="n">
        <v>0</v>
      </c>
      <c r="K700" s="20" t="n">
        <v>0</v>
      </c>
      <c r="L700" s="20" t="n">
        <v>0</v>
      </c>
      <c r="M700" s="20" t="n">
        <v>0</v>
      </c>
      <c r="N700" s="20" t="n">
        <v>0</v>
      </c>
      <c r="O700" s="20" t="n">
        <v>0</v>
      </c>
      <c r="P700" s="20" t="n">
        <v>0</v>
      </c>
      <c r="Q700" s="20" t="n">
        <v>0</v>
      </c>
    </row>
    <row r="701">
      <c r="A701" s="19" t="inlineStr">
        <is>
          <t>Company 354</t>
        </is>
      </c>
      <c r="B701" s="19" t="inlineStr">
        <is>
          <t>CVA</t>
        </is>
      </c>
      <c r="C701" s="19" t="inlineStr">
        <is>
          <t>CVA</t>
        </is>
      </c>
      <c r="D701" s="19" t="inlineStr">
        <is>
          <t>UK</t>
        </is>
      </c>
      <c r="E701" s="20" t="n">
        <v>1500</v>
      </c>
      <c r="F701" s="20" t="n">
        <v>1500</v>
      </c>
      <c r="G701" s="20" t="n">
        <v>1500</v>
      </c>
      <c r="H701" s="20" t="n">
        <v>2875</v>
      </c>
      <c r="I701" s="20" t="n">
        <v>1500</v>
      </c>
      <c r="J701" s="20" t="n">
        <v>2875</v>
      </c>
      <c r="K701" s="20" t="n">
        <v>1500</v>
      </c>
      <c r="L701" s="20" t="n">
        <v>1375</v>
      </c>
      <c r="M701" s="20" t="n">
        <v>0</v>
      </c>
      <c r="N701" s="20" t="n">
        <v>0</v>
      </c>
      <c r="O701" s="20" t="n">
        <v>0</v>
      </c>
      <c r="P701" s="20" t="n">
        <v>0</v>
      </c>
      <c r="Q701" s="20" t="n">
        <v>0</v>
      </c>
    </row>
    <row r="702">
      <c r="A702" s="19" t="inlineStr">
        <is>
          <t>Company 354</t>
        </is>
      </c>
      <c r="B702" s="19" t="inlineStr">
        <is>
          <t>Operations</t>
        </is>
      </c>
      <c r="C702" s="19" t="inlineStr">
        <is>
          <t>Shipper Gas</t>
        </is>
      </c>
      <c r="D702" s="19" t="inlineStr">
        <is>
          <t>UK</t>
        </is>
      </c>
      <c r="E702" s="20" t="n">
        <v>28871</v>
      </c>
      <c r="F702" s="20" t="n">
        <v>0</v>
      </c>
      <c r="G702" s="20" t="n">
        <v>0</v>
      </c>
      <c r="H702" s="20" t="n">
        <v>0</v>
      </c>
      <c r="I702" s="20" t="n">
        <v>0</v>
      </c>
      <c r="J702" s="20" t="n">
        <v>0</v>
      </c>
      <c r="K702" s="20" t="n">
        <v>0</v>
      </c>
      <c r="L702" s="20" t="n">
        <v>0</v>
      </c>
      <c r="M702" s="20" t="n">
        <v>0</v>
      </c>
      <c r="N702" s="20" t="n">
        <v>11000</v>
      </c>
      <c r="O702" s="20" t="n">
        <v>0</v>
      </c>
      <c r="P702" s="20" t="n">
        <v>0</v>
      </c>
      <c r="Q702" s="20" t="n">
        <v>0</v>
      </c>
    </row>
    <row r="703">
      <c r="A703" s="19" t="inlineStr">
        <is>
          <t>Company 354</t>
        </is>
      </c>
      <c r="B703" s="19" t="inlineStr">
        <is>
          <t>Software</t>
        </is>
      </c>
      <c r="C703" s="19" t="inlineStr">
        <is>
          <t>IT Other</t>
        </is>
      </c>
      <c r="D703" s="19" t="inlineStr">
        <is>
          <t>UK</t>
        </is>
      </c>
      <c r="E703" s="20" t="n">
        <v>3000</v>
      </c>
      <c r="F703" s="20" t="n">
        <v>3000</v>
      </c>
      <c r="G703" s="20" t="n">
        <v>0</v>
      </c>
      <c r="H703" s="20" t="n">
        <v>0</v>
      </c>
      <c r="I703" s="20" t="n">
        <v>0</v>
      </c>
      <c r="J703" s="20" t="n">
        <v>0</v>
      </c>
      <c r="K703" s="20" t="n">
        <v>0</v>
      </c>
      <c r="L703" s="20" t="n">
        <v>0</v>
      </c>
      <c r="M703" s="20" t="n">
        <v>0</v>
      </c>
      <c r="N703" s="20" t="n">
        <v>0</v>
      </c>
      <c r="O703" s="20" t="n">
        <v>0</v>
      </c>
      <c r="P703" s="20" t="n">
        <v>0</v>
      </c>
      <c r="Q703" s="20" t="n">
        <v>0</v>
      </c>
    </row>
    <row r="704">
      <c r="A704" s="19" t="inlineStr">
        <is>
          <t>Company 355</t>
        </is>
      </c>
      <c r="B704" s="19" t="inlineStr">
        <is>
          <t>Operations</t>
        </is>
      </c>
      <c r="C704" s="19" t="inlineStr">
        <is>
          <t>Shipper Gas</t>
        </is>
      </c>
      <c r="D704" s="19" t="inlineStr">
        <is>
          <t>UK</t>
        </is>
      </c>
      <c r="E704" s="20" t="n">
        <v>0</v>
      </c>
      <c r="F704" s="20" t="n">
        <v>0</v>
      </c>
      <c r="G704" s="20" t="n">
        <v>7264</v>
      </c>
      <c r="H704" s="20" t="n">
        <v>10896</v>
      </c>
      <c r="I704" s="20" t="n">
        <v>11328</v>
      </c>
      <c r="J704" s="20" t="n">
        <v>11328</v>
      </c>
      <c r="K704" s="20" t="n">
        <v>5664</v>
      </c>
      <c r="L704" s="20" t="n">
        <v>0</v>
      </c>
      <c r="M704" s="20" t="n">
        <v>0</v>
      </c>
      <c r="N704" s="20" t="n">
        <v>0</v>
      </c>
      <c r="O704" s="20" t="n">
        <v>0</v>
      </c>
      <c r="P704" s="20" t="n">
        <v>0</v>
      </c>
      <c r="Q704" s="20" t="n">
        <v>0</v>
      </c>
    </row>
    <row r="705">
      <c r="A705" s="19" t="inlineStr">
        <is>
          <t>Company 356</t>
        </is>
      </c>
      <c r="B705" s="19" t="inlineStr">
        <is>
          <t>Software</t>
        </is>
      </c>
      <c r="C705" s="19" t="inlineStr">
        <is>
          <t>PowerTrak</t>
        </is>
      </c>
      <c r="D705" s="19" t="inlineStr">
        <is>
          <t>UK</t>
        </is>
      </c>
      <c r="E705" s="20" t="n">
        <v>0</v>
      </c>
      <c r="F705" s="20" t="n">
        <v>0</v>
      </c>
      <c r="G705" s="20" t="n">
        <v>0</v>
      </c>
      <c r="H705" s="20" t="n">
        <v>0</v>
      </c>
      <c r="I705" s="20" t="n">
        <v>0</v>
      </c>
      <c r="J705" s="20" t="n">
        <v>0</v>
      </c>
      <c r="K705" s="20" t="n">
        <v>0</v>
      </c>
      <c r="L705" s="20" t="n">
        <v>0</v>
      </c>
      <c r="M705" s="20" t="n">
        <v>0</v>
      </c>
      <c r="N705" s="20" t="n">
        <v>0</v>
      </c>
      <c r="O705" s="20" t="n">
        <v>0</v>
      </c>
      <c r="P705" s="20" t="n">
        <v>0</v>
      </c>
      <c r="Q705" s="20" t="n">
        <v>91230</v>
      </c>
    </row>
    <row r="706">
      <c r="A706" s="19" t="inlineStr">
        <is>
          <t>Company 356</t>
        </is>
      </c>
      <c r="B706" s="19" t="inlineStr">
        <is>
          <t>Software</t>
        </is>
      </c>
      <c r="C706" s="19" t="inlineStr">
        <is>
          <t>Routing</t>
        </is>
      </c>
      <c r="D706" s="19" t="inlineStr">
        <is>
          <t>UK</t>
        </is>
      </c>
      <c r="E706" s="20" t="n">
        <v>0</v>
      </c>
      <c r="F706" s="20" t="n">
        <v>0</v>
      </c>
      <c r="G706" s="20" t="n">
        <v>0</v>
      </c>
      <c r="H706" s="20" t="n">
        <v>0</v>
      </c>
      <c r="I706" s="20" t="n">
        <v>0</v>
      </c>
      <c r="J706" s="20" t="n">
        <v>0</v>
      </c>
      <c r="K706" s="20" t="n">
        <v>0</v>
      </c>
      <c r="L706" s="20" t="n">
        <v>0</v>
      </c>
      <c r="M706" s="20" t="n">
        <v>0</v>
      </c>
      <c r="N706" s="20" t="n">
        <v>0</v>
      </c>
      <c r="O706" s="20" t="n">
        <v>0</v>
      </c>
      <c r="P706" s="20" t="n">
        <v>0</v>
      </c>
      <c r="Q706" s="20" t="n">
        <v>17030</v>
      </c>
    </row>
    <row r="707">
      <c r="A707" s="19" t="inlineStr">
        <is>
          <t>Company 357</t>
        </is>
      </c>
      <c r="B707" s="19" t="inlineStr">
        <is>
          <t>Operations</t>
        </is>
      </c>
      <c r="C707" s="19" t="inlineStr">
        <is>
          <t>Shipper Gas</t>
        </is>
      </c>
      <c r="D707" s="19" t="inlineStr">
        <is>
          <t>Netherlands</t>
        </is>
      </c>
      <c r="E707" s="20" t="n">
        <v>496.89</v>
      </c>
      <c r="F707" s="20" t="n">
        <v>0</v>
      </c>
      <c r="G707" s="20" t="n">
        <v>0</v>
      </c>
      <c r="H707" s="20" t="n">
        <v>0</v>
      </c>
      <c r="I707" s="20" t="n">
        <v>0</v>
      </c>
      <c r="J707" s="20" t="n">
        <v>0</v>
      </c>
      <c r="K707" s="20" t="n">
        <v>0</v>
      </c>
      <c r="L707" s="20" t="n">
        <v>0</v>
      </c>
      <c r="M707" s="20" t="n">
        <v>0</v>
      </c>
      <c r="N707" s="20" t="n">
        <v>0</v>
      </c>
      <c r="O707" s="20" t="n">
        <v>0</v>
      </c>
      <c r="P707" s="20" t="n">
        <v>0</v>
      </c>
      <c r="Q707" s="20" t="n">
        <v>0</v>
      </c>
    </row>
    <row r="708">
      <c r="A708" s="19" t="inlineStr">
        <is>
          <t>Company 358</t>
        </is>
      </c>
      <c r="B708" s="19" t="inlineStr">
        <is>
          <t>Operations</t>
        </is>
      </c>
      <c r="C708" s="19" t="inlineStr">
        <is>
          <t>Shipper Gas</t>
        </is>
      </c>
      <c r="D708" s="19" t="inlineStr">
        <is>
          <t>UK</t>
        </is>
      </c>
      <c r="E708" s="20" t="n">
        <v>745.34</v>
      </c>
      <c r="F708" s="20" t="n">
        <v>0</v>
      </c>
      <c r="G708" s="20" t="n">
        <v>0</v>
      </c>
      <c r="H708" s="20" t="n">
        <v>0</v>
      </c>
      <c r="I708" s="20" t="n">
        <v>0</v>
      </c>
      <c r="J708" s="20" t="n">
        <v>0</v>
      </c>
      <c r="K708" s="20" t="n">
        <v>0</v>
      </c>
      <c r="L708" s="20" t="n">
        <v>0</v>
      </c>
      <c r="M708" s="20" t="n">
        <v>0</v>
      </c>
      <c r="N708" s="20" t="n">
        <v>0</v>
      </c>
      <c r="O708" s="20" t="n">
        <v>0</v>
      </c>
      <c r="P708" s="20" t="n">
        <v>0</v>
      </c>
      <c r="Q708" s="20" t="n">
        <v>0</v>
      </c>
    </row>
    <row r="709">
      <c r="A709" s="19" t="inlineStr">
        <is>
          <t>Company 359</t>
        </is>
      </c>
      <c r="B709" s="19" t="inlineStr">
        <is>
          <t>Operations</t>
        </is>
      </c>
      <c r="C709" s="19" t="inlineStr">
        <is>
          <t>Shipper Gas</t>
        </is>
      </c>
      <c r="D709" s="19" t="inlineStr">
        <is>
          <t>Switzerland</t>
        </is>
      </c>
      <c r="E709" s="20" t="n">
        <v>0</v>
      </c>
      <c r="F709" s="20" t="n">
        <v>0</v>
      </c>
      <c r="G709" s="20" t="n">
        <v>0</v>
      </c>
      <c r="H709" s="20" t="n">
        <v>0</v>
      </c>
      <c r="I709" s="20" t="n">
        <v>0</v>
      </c>
      <c r="J709" s="20" t="n">
        <v>0</v>
      </c>
      <c r="K709" s="20" t="n">
        <v>0</v>
      </c>
      <c r="L709" s="20" t="n">
        <v>0</v>
      </c>
      <c r="M709" s="20" t="n">
        <v>0</v>
      </c>
      <c r="N709" s="20" t="n">
        <v>0</v>
      </c>
      <c r="O709" s="20" t="n">
        <v>0</v>
      </c>
      <c r="P709" s="20" t="n">
        <v>0</v>
      </c>
      <c r="Q709" s="20" t="n">
        <v>6000</v>
      </c>
    </row>
    <row r="710">
      <c r="A710" s="19" t="inlineStr">
        <is>
          <t>Company 360</t>
        </is>
      </c>
      <c r="B710" s="19" t="inlineStr">
        <is>
          <t>Software</t>
        </is>
      </c>
      <c r="C710" s="19" t="inlineStr">
        <is>
          <t>Routing</t>
        </is>
      </c>
      <c r="D710" s="19" t="inlineStr">
        <is>
          <t>Germany</t>
        </is>
      </c>
      <c r="E710" s="20" t="n">
        <v>0</v>
      </c>
      <c r="F710" s="20" t="n">
        <v>0</v>
      </c>
      <c r="G710" s="20" t="n">
        <v>0</v>
      </c>
      <c r="H710" s="20" t="n">
        <v>0</v>
      </c>
      <c r="I710" s="20" t="n">
        <v>0</v>
      </c>
      <c r="J710" s="20" t="n">
        <v>0</v>
      </c>
      <c r="K710" s="20" t="n">
        <v>0</v>
      </c>
      <c r="L710" s="20" t="n">
        <v>0</v>
      </c>
      <c r="M710" s="20" t="n">
        <v>0</v>
      </c>
      <c r="N710" s="20" t="n">
        <v>0</v>
      </c>
      <c r="O710" s="20" t="n">
        <v>431.46</v>
      </c>
      <c r="P710" s="20" t="n">
        <v>0</v>
      </c>
      <c r="Q710" s="20" t="n">
        <v>0</v>
      </c>
    </row>
    <row r="711">
      <c r="A711" s="19" t="inlineStr">
        <is>
          <t>Company 361</t>
        </is>
      </c>
      <c r="B711" s="19" t="inlineStr">
        <is>
          <t>Software</t>
        </is>
      </c>
      <c r="C711" s="19" t="inlineStr">
        <is>
          <t>Routing</t>
        </is>
      </c>
      <c r="D711" s="19" t="inlineStr">
        <is>
          <t>Netherlands</t>
        </is>
      </c>
      <c r="E711" s="20" t="n">
        <v>123.81</v>
      </c>
      <c r="F711" s="20" t="n">
        <v>843.6599999999999</v>
      </c>
      <c r="G711" s="20" t="n">
        <v>1404.45</v>
      </c>
      <c r="H711" s="20" t="n">
        <v>1687.64</v>
      </c>
      <c r="I711" s="20" t="n">
        <v>1408</v>
      </c>
      <c r="J711" s="20" t="n">
        <v>0</v>
      </c>
      <c r="K711" s="20" t="n">
        <v>0</v>
      </c>
      <c r="L711" s="20" t="n">
        <v>0</v>
      </c>
      <c r="M711" s="20" t="n">
        <v>0</v>
      </c>
      <c r="N711" s="20" t="n">
        <v>0</v>
      </c>
      <c r="O711" s="20" t="n">
        <v>0</v>
      </c>
      <c r="P711" s="20" t="n">
        <v>0</v>
      </c>
      <c r="Q711" s="20" t="n">
        <v>0</v>
      </c>
    </row>
    <row r="712">
      <c r="A712" s="19" t="inlineStr">
        <is>
          <t>Company 362</t>
        </is>
      </c>
      <c r="B712" s="19" t="inlineStr">
        <is>
          <t>Software</t>
        </is>
      </c>
      <c r="C712" s="19" t="inlineStr">
        <is>
          <t>ENOM</t>
        </is>
      </c>
      <c r="D712" s="19" t="inlineStr">
        <is>
          <t>Netherlands</t>
        </is>
      </c>
      <c r="E712" s="20" t="n">
        <v>1615.96</v>
      </c>
      <c r="F712" s="20" t="n">
        <v>14132.06</v>
      </c>
      <c r="G712" s="20" t="n">
        <v>9165.890000000001</v>
      </c>
      <c r="H712" s="20" t="n">
        <v>11014.55</v>
      </c>
      <c r="I712" s="20" t="n">
        <v>9188.700000000001</v>
      </c>
      <c r="J712" s="20" t="n">
        <v>0</v>
      </c>
      <c r="K712" s="20" t="n">
        <v>0</v>
      </c>
      <c r="L712" s="20" t="n">
        <v>0</v>
      </c>
      <c r="M712" s="20" t="n">
        <v>0</v>
      </c>
      <c r="N712" s="20" t="n">
        <v>0</v>
      </c>
      <c r="O712" s="20" t="n">
        <v>0</v>
      </c>
      <c r="P712" s="20" t="n">
        <v>0</v>
      </c>
      <c r="Q712" s="20" t="n">
        <v>0</v>
      </c>
    </row>
    <row r="713">
      <c r="A713" s="19" t="inlineStr">
        <is>
          <t>Company 363</t>
        </is>
      </c>
      <c r="B713" s="19" t="inlineStr">
        <is>
          <t>Software</t>
        </is>
      </c>
      <c r="C713" s="19" t="inlineStr">
        <is>
          <t>Hosting</t>
        </is>
      </c>
      <c r="D713" s="19" t="inlineStr">
        <is>
          <t>UK</t>
        </is>
      </c>
      <c r="E713" s="20" t="n">
        <v>0</v>
      </c>
      <c r="F713" s="20" t="n">
        <v>0</v>
      </c>
      <c r="G713" s="20" t="n">
        <v>0</v>
      </c>
      <c r="H713" s="20" t="n">
        <v>0</v>
      </c>
      <c r="I713" s="20" t="n">
        <v>0</v>
      </c>
      <c r="J713" s="20" t="n">
        <v>0</v>
      </c>
      <c r="K713" s="20" t="n">
        <v>0</v>
      </c>
      <c r="L713" s="20" t="n">
        <v>0</v>
      </c>
      <c r="M713" s="20" t="n">
        <v>5646.360000000001</v>
      </c>
      <c r="N713" s="20" t="n">
        <v>6500</v>
      </c>
      <c r="O713" s="20" t="n">
        <v>5000</v>
      </c>
      <c r="P713" s="20" t="n">
        <v>0</v>
      </c>
      <c r="Q713" s="20" t="n">
        <v>0</v>
      </c>
    </row>
    <row r="714">
      <c r="A714" s="19" t="inlineStr">
        <is>
          <t>Company 364</t>
        </is>
      </c>
      <c r="B714" s="19" t="inlineStr">
        <is>
          <t>Operations</t>
        </is>
      </c>
      <c r="C714" s="19" t="inlineStr">
        <is>
          <t>Shipper Gas</t>
        </is>
      </c>
      <c r="D714" s="19" t="inlineStr">
        <is>
          <t>UK</t>
        </is>
      </c>
      <c r="E714" s="20" t="n">
        <v>0</v>
      </c>
      <c r="F714" s="20" t="n">
        <v>0</v>
      </c>
      <c r="G714" s="20" t="n">
        <v>0</v>
      </c>
      <c r="H714" s="20" t="n">
        <v>0</v>
      </c>
      <c r="I714" s="20" t="n">
        <v>0</v>
      </c>
      <c r="J714" s="20" t="n">
        <v>0</v>
      </c>
      <c r="K714" s="20" t="n">
        <v>0</v>
      </c>
      <c r="L714" s="20" t="n">
        <v>0</v>
      </c>
      <c r="M714" s="20" t="n">
        <v>0</v>
      </c>
      <c r="N714" s="20" t="n">
        <v>0</v>
      </c>
      <c r="O714" s="20" t="n">
        <v>0</v>
      </c>
      <c r="P714" s="20" t="n">
        <v>1125</v>
      </c>
      <c r="Q714" s="20" t="n">
        <v>0</v>
      </c>
    </row>
    <row r="715">
      <c r="A715" s="19" t="inlineStr">
        <is>
          <t>Company 365</t>
        </is>
      </c>
      <c r="B715" s="19" t="inlineStr">
        <is>
          <t>Power</t>
        </is>
      </c>
      <c r="C715" s="19" t="inlineStr">
        <is>
          <t>Shipper Power</t>
        </is>
      </c>
      <c r="D715" s="19" t="inlineStr">
        <is>
          <t>Sweden</t>
        </is>
      </c>
      <c r="E715" s="20" t="n">
        <v>0</v>
      </c>
      <c r="F715" s="20" t="n">
        <v>0</v>
      </c>
      <c r="G715" s="20" t="n">
        <v>12385.15</v>
      </c>
      <c r="H715" s="20" t="n">
        <v>893.95</v>
      </c>
      <c r="I715" s="20" t="n">
        <v>6639.55</v>
      </c>
      <c r="J715" s="20" t="n">
        <v>6639.55</v>
      </c>
      <c r="K715" s="20" t="n">
        <v>6639.55</v>
      </c>
      <c r="L715" s="20" t="n">
        <v>7303.54</v>
      </c>
      <c r="M715" s="20" t="n">
        <v>7303.54</v>
      </c>
      <c r="N715" s="20" t="n">
        <v>0</v>
      </c>
      <c r="O715" s="20" t="n">
        <v>0</v>
      </c>
      <c r="P715" s="20" t="n">
        <v>0</v>
      </c>
      <c r="Q715" s="20" t="n">
        <v>0</v>
      </c>
    </row>
    <row r="716">
      <c r="A716" s="19" t="inlineStr">
        <is>
          <t>Company 365</t>
        </is>
      </c>
      <c r="B716" s="19" t="inlineStr">
        <is>
          <t>Power</t>
        </is>
      </c>
      <c r="C716" s="19" t="inlineStr">
        <is>
          <t>Operations Other</t>
        </is>
      </c>
      <c r="D716" s="19" t="inlineStr">
        <is>
          <t>Sweden</t>
        </is>
      </c>
      <c r="E716" s="20" t="n">
        <v>894</v>
      </c>
      <c r="F716" s="20" t="n">
        <v>0</v>
      </c>
      <c r="G716" s="20" t="n">
        <v>0</v>
      </c>
      <c r="H716" s="20" t="n">
        <v>0</v>
      </c>
      <c r="I716" s="20" t="n">
        <v>0</v>
      </c>
      <c r="J716" s="20" t="n">
        <v>0</v>
      </c>
      <c r="K716" s="20" t="n">
        <v>0</v>
      </c>
      <c r="L716" s="20" t="n">
        <v>0</v>
      </c>
      <c r="M716" s="20" t="n">
        <v>0</v>
      </c>
      <c r="N716" s="20" t="n">
        <v>0</v>
      </c>
      <c r="O716" s="20" t="n">
        <v>0</v>
      </c>
      <c r="P716" s="20" t="n">
        <v>0</v>
      </c>
      <c r="Q716" s="20" t="n">
        <v>0</v>
      </c>
    </row>
    <row r="717">
      <c r="A717" s="19" t="inlineStr">
        <is>
          <t>Company 365</t>
        </is>
      </c>
      <c r="B717" s="19" t="inlineStr">
        <is>
          <t>Software</t>
        </is>
      </c>
      <c r="C717" s="19" t="inlineStr">
        <is>
          <t>IT Other</t>
        </is>
      </c>
      <c r="D717" s="19" t="inlineStr">
        <is>
          <t>Sweden</t>
        </is>
      </c>
      <c r="E717" s="20" t="n">
        <v>6639.55</v>
      </c>
      <c r="F717" s="20" t="n">
        <v>0</v>
      </c>
      <c r="G717" s="20" t="n">
        <v>0</v>
      </c>
      <c r="H717" s="20" t="n">
        <v>0</v>
      </c>
      <c r="I717" s="20" t="n">
        <v>0</v>
      </c>
      <c r="J717" s="20" t="n">
        <v>0</v>
      </c>
      <c r="K717" s="20" t="n">
        <v>0</v>
      </c>
      <c r="L717" s="20" t="n">
        <v>0</v>
      </c>
      <c r="M717" s="20" t="n">
        <v>0</v>
      </c>
      <c r="N717" s="20" t="n">
        <v>0</v>
      </c>
      <c r="O717" s="20" t="n">
        <v>0</v>
      </c>
      <c r="P717" s="20" t="n">
        <v>0</v>
      </c>
      <c r="Q717" s="20" t="n">
        <v>0</v>
      </c>
    </row>
    <row r="718">
      <c r="A718" s="19" t="inlineStr">
        <is>
          <t>Company 365</t>
        </is>
      </c>
      <c r="B718" s="19" t="inlineStr">
        <is>
          <t>Software</t>
        </is>
      </c>
      <c r="C718" s="19" t="inlineStr">
        <is>
          <t>Hosting</t>
        </is>
      </c>
      <c r="D718" s="19" t="inlineStr">
        <is>
          <t>Sweden</t>
        </is>
      </c>
      <c r="E718" s="20" t="n">
        <v>0</v>
      </c>
      <c r="F718" s="20" t="n">
        <v>0</v>
      </c>
      <c r="G718" s="20" t="n">
        <v>0</v>
      </c>
      <c r="H718" s="20" t="n">
        <v>4950</v>
      </c>
      <c r="I718" s="20" t="n">
        <v>5400</v>
      </c>
      <c r="J718" s="20" t="n">
        <v>5400</v>
      </c>
      <c r="K718" s="20" t="n">
        <v>5400</v>
      </c>
      <c r="L718" s="20" t="n">
        <v>5400</v>
      </c>
      <c r="M718" s="20" t="n">
        <v>5400</v>
      </c>
      <c r="N718" s="20" t="n">
        <v>5400</v>
      </c>
      <c r="O718" s="20" t="n">
        <v>1350</v>
      </c>
      <c r="P718" s="20" t="n">
        <v>0</v>
      </c>
      <c r="Q718" s="20" t="n">
        <v>0</v>
      </c>
    </row>
    <row r="719">
      <c r="A719" s="19" t="inlineStr">
        <is>
          <t>Company 366</t>
        </is>
      </c>
      <c r="B719" s="19" t="inlineStr">
        <is>
          <t>Software</t>
        </is>
      </c>
      <c r="C719" s="19" t="inlineStr">
        <is>
          <t>Hosting</t>
        </is>
      </c>
      <c r="D719" s="19" t="inlineStr">
        <is>
          <t>Netherlands</t>
        </is>
      </c>
      <c r="E719" s="20" t="n">
        <v>4200</v>
      </c>
      <c r="F719" s="20" t="n">
        <v>4200</v>
      </c>
      <c r="G719" s="20" t="n">
        <v>1400</v>
      </c>
      <c r="H719" s="20" t="n">
        <v>0</v>
      </c>
      <c r="I719" s="20" t="n">
        <v>0</v>
      </c>
      <c r="J719" s="20" t="n">
        <v>0</v>
      </c>
      <c r="K719" s="20" t="n">
        <v>0</v>
      </c>
      <c r="L719" s="20" t="n">
        <v>0</v>
      </c>
      <c r="M719" s="20" t="n">
        <v>0</v>
      </c>
      <c r="N719" s="20" t="n">
        <v>0</v>
      </c>
      <c r="O719" s="20" t="n">
        <v>0</v>
      </c>
      <c r="P719" s="20" t="n">
        <v>0</v>
      </c>
      <c r="Q719" s="20" t="n">
        <v>0</v>
      </c>
    </row>
    <row r="720">
      <c r="A720" s="19" t="inlineStr">
        <is>
          <t>Company 367</t>
        </is>
      </c>
      <c r="B720" s="19" t="inlineStr">
        <is>
          <t>Software</t>
        </is>
      </c>
      <c r="C720" s="19" t="inlineStr">
        <is>
          <t>ENOM</t>
        </is>
      </c>
      <c r="D720" s="19" t="inlineStr">
        <is>
          <t>Ireland</t>
        </is>
      </c>
      <c r="E720" s="20" t="n">
        <v>5417.650000000001</v>
      </c>
      <c r="F720" s="20" t="n">
        <v>414.05</v>
      </c>
      <c r="G720" s="20" t="n">
        <v>0</v>
      </c>
      <c r="H720" s="20" t="n">
        <v>0</v>
      </c>
      <c r="I720" s="20" t="n">
        <v>0</v>
      </c>
      <c r="J720" s="20" t="n">
        <v>0</v>
      </c>
      <c r="K720" s="20" t="n">
        <v>0</v>
      </c>
      <c r="L720" s="20" t="n">
        <v>0</v>
      </c>
      <c r="M720" s="20" t="n">
        <v>0</v>
      </c>
      <c r="N720" s="20" t="n">
        <v>0</v>
      </c>
      <c r="O720" s="20" t="n">
        <v>0</v>
      </c>
      <c r="P720" s="20" t="n">
        <v>0</v>
      </c>
      <c r="Q720" s="20" t="n">
        <v>0</v>
      </c>
    </row>
    <row r="721">
      <c r="A721" s="19" t="inlineStr">
        <is>
          <t>Company 367</t>
        </is>
      </c>
      <c r="B721" s="19" t="inlineStr">
        <is>
          <t>Software</t>
        </is>
      </c>
      <c r="C721" s="19" t="inlineStr">
        <is>
          <t>Routing</t>
        </is>
      </c>
      <c r="D721" s="19" t="inlineStr">
        <is>
          <t>Ireland</t>
        </is>
      </c>
      <c r="E721" s="20" t="n">
        <v>406.3300000000001</v>
      </c>
      <c r="F721" s="20" t="n">
        <v>31.05</v>
      </c>
      <c r="G721" s="20" t="n">
        <v>0</v>
      </c>
      <c r="H721" s="20" t="n">
        <v>0</v>
      </c>
      <c r="I721" s="20" t="n">
        <v>0</v>
      </c>
      <c r="J721" s="20" t="n">
        <v>0</v>
      </c>
      <c r="K721" s="20" t="n">
        <v>0</v>
      </c>
      <c r="L721" s="20" t="n">
        <v>0</v>
      </c>
      <c r="M721" s="20" t="n">
        <v>0</v>
      </c>
      <c r="N721" s="20" t="n">
        <v>0</v>
      </c>
      <c r="O721" s="20" t="n">
        <v>0</v>
      </c>
      <c r="P721" s="20" t="n">
        <v>0</v>
      </c>
      <c r="Q721" s="20" t="n">
        <v>0</v>
      </c>
    </row>
    <row r="722">
      <c r="A722" s="19" t="inlineStr">
        <is>
          <t>Company 368</t>
        </is>
      </c>
      <c r="B722" s="19" t="inlineStr">
        <is>
          <t>Operations</t>
        </is>
      </c>
      <c r="C722" s="19" t="inlineStr">
        <is>
          <t>Shipper Gas</t>
        </is>
      </c>
      <c r="D722" s="19" t="inlineStr">
        <is>
          <t>Germany</t>
        </is>
      </c>
      <c r="E722" s="20" t="n">
        <v>120191.15</v>
      </c>
      <c r="F722" s="20" t="n">
        <v>108581.9</v>
      </c>
      <c r="G722" s="20" t="n">
        <v>0</v>
      </c>
      <c r="H722" s="20" t="n">
        <v>0</v>
      </c>
      <c r="I722" s="20" t="n">
        <v>0</v>
      </c>
      <c r="J722" s="20" t="n">
        <v>0</v>
      </c>
      <c r="K722" s="20" t="n">
        <v>0</v>
      </c>
      <c r="L722" s="20" t="n">
        <v>0</v>
      </c>
      <c r="M722" s="20" t="n">
        <v>0</v>
      </c>
      <c r="N722" s="20" t="n">
        <v>0</v>
      </c>
      <c r="O722" s="20" t="n">
        <v>0</v>
      </c>
      <c r="P722" s="20" t="n">
        <v>0</v>
      </c>
      <c r="Q722" s="20" t="n">
        <v>0</v>
      </c>
    </row>
    <row r="723">
      <c r="A723" s="19" t="inlineStr">
        <is>
          <t>Company 369</t>
        </is>
      </c>
      <c r="B723" s="19" t="inlineStr">
        <is>
          <t>Operations</t>
        </is>
      </c>
      <c r="C723" s="19" t="inlineStr">
        <is>
          <t>Operations Other</t>
        </is>
      </c>
      <c r="D723" s="19" t="inlineStr">
        <is>
          <t>Ireland</t>
        </is>
      </c>
      <c r="E723" s="20" t="n">
        <v>4250</v>
      </c>
      <c r="F723" s="20" t="n">
        <v>0</v>
      </c>
      <c r="G723" s="20" t="n">
        <v>0</v>
      </c>
      <c r="H723" s="20" t="n">
        <v>0</v>
      </c>
      <c r="I723" s="20" t="n">
        <v>0</v>
      </c>
      <c r="J723" s="20" t="n">
        <v>0</v>
      </c>
      <c r="K723" s="20" t="n">
        <v>0</v>
      </c>
      <c r="L723" s="20" t="n">
        <v>0</v>
      </c>
      <c r="M723" s="20" t="n">
        <v>0</v>
      </c>
      <c r="N723" s="20" t="n">
        <v>0</v>
      </c>
      <c r="O723" s="20" t="n">
        <v>0</v>
      </c>
      <c r="P723" s="20" t="n">
        <v>0</v>
      </c>
      <c r="Q723" s="20" t="n">
        <v>0</v>
      </c>
    </row>
    <row r="724">
      <c r="A724" s="19" t="inlineStr">
        <is>
          <t>Company 370</t>
        </is>
      </c>
      <c r="B724" s="19" t="inlineStr">
        <is>
          <t>Operations</t>
        </is>
      </c>
      <c r="C724" s="19" t="inlineStr">
        <is>
          <t>Shipper Gas</t>
        </is>
      </c>
      <c r="D724" s="19" t="inlineStr">
        <is>
          <t>Ireland</t>
        </is>
      </c>
      <c r="E724" s="20" t="n">
        <v>0</v>
      </c>
      <c r="F724" s="20" t="n">
        <v>0</v>
      </c>
      <c r="G724" s="20" t="n">
        <v>0</v>
      </c>
      <c r="H724" s="20" t="n">
        <v>0</v>
      </c>
      <c r="I724" s="20" t="n">
        <v>0</v>
      </c>
      <c r="J724" s="20" t="n">
        <v>0</v>
      </c>
      <c r="K724" s="20" t="n">
        <v>0</v>
      </c>
      <c r="L724" s="20" t="n">
        <v>0</v>
      </c>
      <c r="M724" s="20" t="n">
        <v>0</v>
      </c>
      <c r="N724" s="20" t="n">
        <v>60728</v>
      </c>
      <c r="O724" s="20" t="n">
        <v>60728</v>
      </c>
      <c r="P724" s="20" t="n">
        <v>0</v>
      </c>
      <c r="Q724" s="20" t="n">
        <v>0</v>
      </c>
    </row>
    <row r="725">
      <c r="A725" s="19" t="inlineStr">
        <is>
          <t>Company 371</t>
        </is>
      </c>
      <c r="B725" s="19" t="inlineStr">
        <is>
          <t>Operations</t>
        </is>
      </c>
      <c r="C725" s="19" t="inlineStr">
        <is>
          <t>Operations Other</t>
        </is>
      </c>
      <c r="D725" s="19" t="inlineStr">
        <is>
          <t>Ireland</t>
        </is>
      </c>
      <c r="E725" s="20" t="n">
        <v>800</v>
      </c>
      <c r="F725" s="20" t="n">
        <v>0</v>
      </c>
      <c r="G725" s="20" t="n">
        <v>0</v>
      </c>
      <c r="H725" s="20" t="n">
        <v>0</v>
      </c>
      <c r="I725" s="20" t="n">
        <v>0</v>
      </c>
      <c r="J725" s="20" t="n">
        <v>0</v>
      </c>
      <c r="K725" s="20" t="n">
        <v>0</v>
      </c>
      <c r="L725" s="20" t="n">
        <v>0</v>
      </c>
      <c r="M725" s="20" t="n">
        <v>0</v>
      </c>
      <c r="N725" s="20" t="n">
        <v>0</v>
      </c>
      <c r="O725" s="20" t="n">
        <v>0</v>
      </c>
      <c r="P725" s="20" t="n">
        <v>0</v>
      </c>
      <c r="Q725" s="20" t="n">
        <v>0</v>
      </c>
    </row>
    <row r="726">
      <c r="A726" s="19" t="inlineStr">
        <is>
          <t>Company 372</t>
        </is>
      </c>
      <c r="B726" s="19" t="inlineStr">
        <is>
          <t>Software</t>
        </is>
      </c>
      <c r="C726" s="19" t="inlineStr">
        <is>
          <t>ENOM</t>
        </is>
      </c>
      <c r="D726" s="19" t="inlineStr">
        <is>
          <t>UK</t>
        </is>
      </c>
      <c r="E726" s="20" t="n">
        <v>7010.849999999999</v>
      </c>
      <c r="F726" s="20" t="n">
        <v>6098.399999999999</v>
      </c>
      <c r="G726" s="20" t="n">
        <v>0</v>
      </c>
      <c r="H726" s="20" t="n">
        <v>0</v>
      </c>
      <c r="I726" s="20" t="n">
        <v>0</v>
      </c>
      <c r="J726" s="20" t="n">
        <v>0</v>
      </c>
      <c r="K726" s="20" t="n">
        <v>0</v>
      </c>
      <c r="L726" s="20" t="n">
        <v>0</v>
      </c>
      <c r="M726" s="20" t="n">
        <v>0</v>
      </c>
      <c r="N726" s="20" t="n">
        <v>0</v>
      </c>
      <c r="O726" s="20" t="n">
        <v>0</v>
      </c>
      <c r="P726" s="20" t="n">
        <v>0</v>
      </c>
      <c r="Q726" s="20" t="n">
        <v>0</v>
      </c>
    </row>
    <row r="727">
      <c r="A727" s="19" t="inlineStr">
        <is>
          <t>Company 373</t>
        </is>
      </c>
      <c r="B727" s="19" t="inlineStr">
        <is>
          <t>Operations</t>
        </is>
      </c>
      <c r="C727" s="19" t="inlineStr">
        <is>
          <t>Shipper Gas</t>
        </is>
      </c>
      <c r="D727" s="19" t="inlineStr">
        <is>
          <t>Germany</t>
        </is>
      </c>
      <c r="E727" s="20" t="n">
        <v>43980</v>
      </c>
      <c r="F727" s="20" t="n">
        <v>44280</v>
      </c>
      <c r="G727" s="20" t="n">
        <v>44280</v>
      </c>
      <c r="H727" s="20" t="n">
        <v>44280</v>
      </c>
      <c r="I727" s="20" t="n">
        <v>44280</v>
      </c>
      <c r="J727" s="20" t="n">
        <v>44280</v>
      </c>
      <c r="K727" s="20" t="n">
        <v>44280</v>
      </c>
      <c r="L727" s="20" t="n">
        <v>3690</v>
      </c>
      <c r="M727" s="20" t="n">
        <v>0</v>
      </c>
      <c r="N727" s="20" t="n">
        <v>0</v>
      </c>
      <c r="O727" s="20" t="n">
        <v>0</v>
      </c>
      <c r="P727" s="20" t="n">
        <v>0</v>
      </c>
      <c r="Q727" s="20" t="n">
        <v>0</v>
      </c>
    </row>
    <row r="728">
      <c r="A728" s="19" t="inlineStr">
        <is>
          <t>Company 373</t>
        </is>
      </c>
      <c r="B728" s="19" t="inlineStr">
        <is>
          <t>Software</t>
        </is>
      </c>
      <c r="C728" s="19" t="inlineStr">
        <is>
          <t>Hosting</t>
        </is>
      </c>
      <c r="D728" s="19" t="inlineStr">
        <is>
          <t>Germany</t>
        </is>
      </c>
      <c r="E728" s="20" t="n">
        <v>0</v>
      </c>
      <c r="F728" s="20" t="n">
        <v>0</v>
      </c>
      <c r="G728" s="20" t="n">
        <v>0</v>
      </c>
      <c r="H728" s="20" t="n">
        <v>0</v>
      </c>
      <c r="I728" s="20" t="n">
        <v>0</v>
      </c>
      <c r="J728" s="20" t="n">
        <v>0</v>
      </c>
      <c r="K728" s="20" t="n">
        <v>0</v>
      </c>
      <c r="L728" s="20" t="n">
        <v>8250</v>
      </c>
      <c r="M728" s="20" t="n">
        <v>9000</v>
      </c>
      <c r="N728" s="20" t="n">
        <v>9000</v>
      </c>
      <c r="O728" s="20" t="n">
        <v>8250</v>
      </c>
      <c r="P728" s="20" t="n">
        <v>0</v>
      </c>
      <c r="Q728" s="20" t="n">
        <v>0</v>
      </c>
    </row>
    <row r="729">
      <c r="A729" s="19" t="inlineStr">
        <is>
          <t>Company 374</t>
        </is>
      </c>
      <c r="B729" s="19" t="inlineStr">
        <is>
          <t>Operations</t>
        </is>
      </c>
      <c r="C729" s="19" t="inlineStr">
        <is>
          <t>Shipper Gas</t>
        </is>
      </c>
      <c r="D729" s="19" t="inlineStr">
        <is>
          <t>Norway</t>
        </is>
      </c>
      <c r="E729" s="20" t="n">
        <v>0</v>
      </c>
      <c r="F729" s="20" t="n">
        <v>0</v>
      </c>
      <c r="G729" s="20" t="n">
        <v>0</v>
      </c>
      <c r="H729" s="20" t="n">
        <v>0</v>
      </c>
      <c r="I729" s="20" t="n">
        <v>0</v>
      </c>
      <c r="J729" s="20" t="n">
        <v>0</v>
      </c>
      <c r="K729" s="20" t="n">
        <v>0</v>
      </c>
      <c r="L729" s="20" t="n">
        <v>0</v>
      </c>
      <c r="M729" s="20" t="n">
        <v>0</v>
      </c>
      <c r="N729" s="20" t="n">
        <v>0</v>
      </c>
      <c r="O729" s="20" t="n">
        <v>0</v>
      </c>
      <c r="P729" s="20" t="n">
        <v>0</v>
      </c>
      <c r="Q729" s="20" t="n">
        <v>41000</v>
      </c>
    </row>
    <row r="730">
      <c r="A730" s="19" t="inlineStr">
        <is>
          <t>Company 375</t>
        </is>
      </c>
      <c r="B730" s="19" t="inlineStr">
        <is>
          <t>Operations</t>
        </is>
      </c>
      <c r="C730" s="19" t="inlineStr">
        <is>
          <t>Shipper Gas</t>
        </is>
      </c>
      <c r="D730" s="19" t="inlineStr">
        <is>
          <t>Italy</t>
        </is>
      </c>
      <c r="E730" s="20" t="n">
        <v>28915.5</v>
      </c>
      <c r="F730" s="20" t="n">
        <v>26122.35</v>
      </c>
      <c r="G730" s="20" t="n">
        <v>35709.24000000001</v>
      </c>
      <c r="H730" s="20" t="n">
        <v>42226.28</v>
      </c>
      <c r="I730" s="20" t="n">
        <v>0</v>
      </c>
      <c r="J730" s="20" t="n">
        <v>0</v>
      </c>
      <c r="K730" s="20" t="n">
        <v>0</v>
      </c>
      <c r="L730" s="20" t="n">
        <v>0</v>
      </c>
      <c r="M730" s="20" t="n">
        <v>0</v>
      </c>
      <c r="N730" s="20" t="n">
        <v>0</v>
      </c>
      <c r="O730" s="20" t="n">
        <v>0</v>
      </c>
      <c r="P730" s="20" t="n">
        <v>0</v>
      </c>
      <c r="Q730" s="20" t="n">
        <v>0</v>
      </c>
    </row>
    <row r="731">
      <c r="A731" s="19" t="inlineStr">
        <is>
          <t>Company 379</t>
        </is>
      </c>
      <c r="B731" s="19" t="inlineStr">
        <is>
          <t>Software</t>
        </is>
      </c>
      <c r="C731" s="19" t="inlineStr">
        <is>
          <t>Routing</t>
        </is>
      </c>
      <c r="D731" s="19" t="inlineStr">
        <is>
          <t>UK</t>
        </is>
      </c>
      <c r="E731" s="20" t="n">
        <v>0</v>
      </c>
      <c r="F731" s="20" t="n">
        <v>7504.999999999999</v>
      </c>
      <c r="G731" s="20" t="n">
        <v>5529.98</v>
      </c>
      <c r="H731" s="20" t="n">
        <v>2699.139999999999</v>
      </c>
      <c r="I731" s="20" t="n">
        <v>0</v>
      </c>
      <c r="J731" s="20" t="n">
        <v>0</v>
      </c>
      <c r="K731" s="20" t="n">
        <v>0</v>
      </c>
      <c r="L731" s="20" t="n">
        <v>0</v>
      </c>
      <c r="M731" s="20" t="n">
        <v>0</v>
      </c>
      <c r="N731" s="20" t="n">
        <v>0</v>
      </c>
      <c r="O731" s="20" t="n">
        <v>0</v>
      </c>
      <c r="P731" s="20" t="n">
        <v>0</v>
      </c>
      <c r="Q731" s="20" t="n">
        <v>0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6B800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Source: GMSL_Revenue_Lines_Clip.xlsx — tab 'Info' — provided 5 Apr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</row>
    <row r="2">
      <c r="A2" s="22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</row>
    <row r="3">
      <c r="A3" s="23" t="inlineStr">
        <is>
          <t>PROJECT DARWIN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</row>
    <row r="4">
      <c r="A4" s="24" t="inlineStr">
        <is>
          <t>This workbook contains commercially sensitive information which is Strictly Confidential and only to be used for the purposes of Project Darwin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</row>
    <row r="5">
      <c r="A5" s="25" t="inlineStr">
        <is>
          <t>Source data date: 5 April 2026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2026-04-07T12:26:21Z</dcterms:created>
  <dcterms:modified xsi:type="dcterms:W3CDTF">2026-04-07T12:26:22Z</dcterms:modified>
</cp:coreProperties>
</file>