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Shared\3. Projects\2. Clients\1. Active\Darwin\5. Business Analysis &amp; KPI\1. Datapack\New\"/>
    </mc:Choice>
  </mc:AlternateContent>
  <xr:revisionPtr revIDLastSave="0" documentId="8_{DBEAE057-57D3-4D36-8AA7-95C26B05789B}" xr6:coauthVersionLast="47" xr6:coauthVersionMax="47" xr10:uidLastSave="{00000000-0000-0000-0000-000000000000}"/>
  <bookViews>
    <workbookView xWindow="28680" yWindow="15" windowWidth="29040" windowHeight="15720" activeTab="1" xr2:uid="{5F76F2D3-833C-4194-86AC-E4BB0E4BD0ED}"/>
  </bookViews>
  <sheets>
    <sheet name="Info" sheetId="7" r:id="rId1"/>
    <sheet name="Evolution" sheetId="5" r:id="rId2"/>
  </sheets>
  <definedNames>
    <definedName name="_xlnm._FilterDatabase" localSheetId="1" hidden="1">Evolution!$A$1:$Q$2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46008.7354976852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RiskAutoStopPercChange">1.5</definedName>
    <definedName name="RiskCollectDistributionSamples">2</definedName>
    <definedName name="RiskExcelReportsGoInNewWorkbook">TRUE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NumIterations">10000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howRiskWindowAtEndOfSimulation">TRUE</definedName>
    <definedName name="RiskStandardRecalc">1</definedName>
    <definedName name="RiskTemplateSheetName">"myTemplate"</definedName>
    <definedName name="RiskUpdateDisplay">FALSE</definedName>
    <definedName name="RiskUseDifferentSeedForEachSim">FALSE</definedName>
    <definedName name="RiskUseFixedSeed">FALSE</definedName>
    <definedName name="RiskUseMultipleCPUs">FALSE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5" l="1"/>
  <c r="F2" i="5" l="1"/>
  <c r="G2" i="5" l="1"/>
  <c r="H2" i="5" l="1"/>
  <c r="I2" i="5" l="1"/>
  <c r="J2" i="5" l="1"/>
  <c r="K2" i="5" l="1"/>
  <c r="L2" i="5" l="1"/>
  <c r="M2" i="5" l="1"/>
  <c r="N2" i="5" l="1"/>
  <c r="O2" i="5" l="1"/>
  <c r="P2" i="5" l="1"/>
  <c r="Q2" i="5" l="1"/>
</calcChain>
</file>

<file path=xl/sharedStrings.xml><?xml version="1.0" encoding="utf-8"?>
<sst xmlns="http://schemas.openxmlformats.org/spreadsheetml/2006/main" count="2937" uniqueCount="439">
  <si>
    <t>PROJECT DARWIN</t>
  </si>
  <si>
    <t>This workbook contains commercially sensitive information which is Strictly Confidential and only to be used for the purposes of Project Darwin</t>
  </si>
  <si>
    <t>Date:</t>
  </si>
  <si>
    <t>5th April 2026</t>
  </si>
  <si>
    <t>Anonymised Client Name</t>
  </si>
  <si>
    <t>Dept</t>
  </si>
  <si>
    <t>Product</t>
  </si>
  <si>
    <t>Country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</si>
  <si>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</si>
  <si>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</si>
  <si>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</si>
  <si>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</si>
  <si>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</si>
  <si>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</si>
  <si>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</si>
  <si>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</si>
  <si>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</si>
  <si>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</si>
  <si>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</si>
  <si>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</si>
  <si>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</si>
  <si>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Company 1</t>
  </si>
  <si>
    <t>Software</t>
  </si>
  <si>
    <t>CodeRunner</t>
  </si>
  <si>
    <t>UK</t>
  </si>
  <si>
    <t>Company 2</t>
  </si>
  <si>
    <t>ENOM+</t>
  </si>
  <si>
    <t>Switzerland</t>
  </si>
  <si>
    <t>Hosting</t>
  </si>
  <si>
    <t>Routing</t>
  </si>
  <si>
    <t>Company 3</t>
  </si>
  <si>
    <t>Ireland</t>
  </si>
  <si>
    <t>Company 4</t>
  </si>
  <si>
    <t>Operations</t>
  </si>
  <si>
    <t>Shipper Gas</t>
  </si>
  <si>
    <t>Company 5</t>
  </si>
  <si>
    <t>ENOM</t>
  </si>
  <si>
    <t>Company 6</t>
  </si>
  <si>
    <t>Demand Text</t>
  </si>
  <si>
    <t>EuroRunner</t>
  </si>
  <si>
    <t>Company 7</t>
  </si>
  <si>
    <t>CVA</t>
  </si>
  <si>
    <t>Company 8</t>
  </si>
  <si>
    <t>Company 9</t>
  </si>
  <si>
    <t>Company 10</t>
  </si>
  <si>
    <t>Netherlands</t>
  </si>
  <si>
    <t>Company 11</t>
  </si>
  <si>
    <t>Company 12</t>
  </si>
  <si>
    <t>Market Gas</t>
  </si>
  <si>
    <t>Company 13</t>
  </si>
  <si>
    <t>Chorus</t>
  </si>
  <si>
    <t>Company 14</t>
  </si>
  <si>
    <t>Power</t>
  </si>
  <si>
    <t>Shipper Power</t>
  </si>
  <si>
    <t>Company 15</t>
  </si>
  <si>
    <t>USA</t>
  </si>
  <si>
    <t>Company 16</t>
  </si>
  <si>
    <t>Denmark</t>
  </si>
  <si>
    <t>Company 17</t>
  </si>
  <si>
    <t>Company 18</t>
  </si>
  <si>
    <t>Company 19</t>
  </si>
  <si>
    <t>Company 20</t>
  </si>
  <si>
    <t>Company 21</t>
  </si>
  <si>
    <t>PowerTrak</t>
  </si>
  <si>
    <t>Company 22</t>
  </si>
  <si>
    <t>Company 23</t>
  </si>
  <si>
    <t>Italy</t>
  </si>
  <si>
    <t>Company 24</t>
  </si>
  <si>
    <t>Fluxys Software</t>
  </si>
  <si>
    <t>France</t>
  </si>
  <si>
    <t>Company 25</t>
  </si>
  <si>
    <t>Company 26</t>
  </si>
  <si>
    <t>Singapore</t>
  </si>
  <si>
    <t>Company 27</t>
  </si>
  <si>
    <t>Company 28</t>
  </si>
  <si>
    <t>Company 29</t>
  </si>
  <si>
    <t>Company 30</t>
  </si>
  <si>
    <t>Sweden</t>
  </si>
  <si>
    <t>Company 31</t>
  </si>
  <si>
    <t>Company 32</t>
  </si>
  <si>
    <t>Malta</t>
  </si>
  <si>
    <t>Company 33</t>
  </si>
  <si>
    <t>Portugal</t>
  </si>
  <si>
    <t>Company 34</t>
  </si>
  <si>
    <t>Company 35</t>
  </si>
  <si>
    <t>Company 36</t>
  </si>
  <si>
    <t>Company 37</t>
  </si>
  <si>
    <t>Isle of Man</t>
  </si>
  <si>
    <t>Company 38</t>
  </si>
  <si>
    <t>Company 39</t>
  </si>
  <si>
    <t>Company 40</t>
  </si>
  <si>
    <t>Germany</t>
  </si>
  <si>
    <t>Company 41</t>
  </si>
  <si>
    <t>Company 42</t>
  </si>
  <si>
    <t>Hungary</t>
  </si>
  <si>
    <t>Company 43</t>
  </si>
  <si>
    <t>Company 44</t>
  </si>
  <si>
    <t>Spain</t>
  </si>
  <si>
    <t>Company 45</t>
  </si>
  <si>
    <t>Company 46</t>
  </si>
  <si>
    <t>Company 47</t>
  </si>
  <si>
    <t>Company 48</t>
  </si>
  <si>
    <t>Company 49</t>
  </si>
  <si>
    <t>Company 50</t>
  </si>
  <si>
    <t>Company 51</t>
  </si>
  <si>
    <t>Company 52</t>
  </si>
  <si>
    <t>Company 53</t>
  </si>
  <si>
    <t>Company 54</t>
  </si>
  <si>
    <t>Company 55</t>
  </si>
  <si>
    <t>Company 56</t>
  </si>
  <si>
    <t>Company 57</t>
  </si>
  <si>
    <t>Company 58</t>
  </si>
  <si>
    <t>Company 59</t>
  </si>
  <si>
    <t>Belgium</t>
  </si>
  <si>
    <t>Company 60</t>
  </si>
  <si>
    <t>Company 61</t>
  </si>
  <si>
    <t>Company 62</t>
  </si>
  <si>
    <t>Company 63</t>
  </si>
  <si>
    <t>Company 64</t>
  </si>
  <si>
    <t>Company 65</t>
  </si>
  <si>
    <t>Company 66</t>
  </si>
  <si>
    <t>Company 67</t>
  </si>
  <si>
    <t>Company 68</t>
  </si>
  <si>
    <t>Company 69</t>
  </si>
  <si>
    <t>Company 70</t>
  </si>
  <si>
    <t>Company 71</t>
  </si>
  <si>
    <t>Company 72</t>
  </si>
  <si>
    <t>Company 73</t>
  </si>
  <si>
    <t>Company 74</t>
  </si>
  <si>
    <t>Company 75</t>
  </si>
  <si>
    <t>Company 76</t>
  </si>
  <si>
    <t>Company 77</t>
  </si>
  <si>
    <t>Company 78</t>
  </si>
  <si>
    <t>Company 79</t>
  </si>
  <si>
    <t>Company 80</t>
  </si>
  <si>
    <t>Company 81</t>
  </si>
  <si>
    <t>Company 82</t>
  </si>
  <si>
    <t>Company 83</t>
  </si>
  <si>
    <t>Company 84</t>
  </si>
  <si>
    <t>Company 85</t>
  </si>
  <si>
    <t>Company 86</t>
  </si>
  <si>
    <t>Company 87</t>
  </si>
  <si>
    <t>Company 88</t>
  </si>
  <si>
    <t>Luxembourg</t>
  </si>
  <si>
    <t>Company 89</t>
  </si>
  <si>
    <t>Company 90</t>
  </si>
  <si>
    <t>Company 91</t>
  </si>
  <si>
    <t>Company 92</t>
  </si>
  <si>
    <t>Company 93</t>
  </si>
  <si>
    <t>Company 94</t>
  </si>
  <si>
    <t>Company 95</t>
  </si>
  <si>
    <t>Company 96</t>
  </si>
  <si>
    <t>Company 97</t>
  </si>
  <si>
    <t>Company 98</t>
  </si>
  <si>
    <t>Company 99</t>
  </si>
  <si>
    <t>Company 100</t>
  </si>
  <si>
    <t>Company 101</t>
  </si>
  <si>
    <t>Company 102</t>
  </si>
  <si>
    <t>Company 103</t>
  </si>
  <si>
    <t>Company 104</t>
  </si>
  <si>
    <t>Company 105</t>
  </si>
  <si>
    <t>Company 106</t>
  </si>
  <si>
    <t>Company 107</t>
  </si>
  <si>
    <t>Company 108</t>
  </si>
  <si>
    <t>Company 109</t>
  </si>
  <si>
    <t>Company 110</t>
  </si>
  <si>
    <t>Company 111</t>
  </si>
  <si>
    <t>Austria</t>
  </si>
  <si>
    <t>Company 112</t>
  </si>
  <si>
    <t>Company 113</t>
  </si>
  <si>
    <t>Norway</t>
  </si>
  <si>
    <t>Company 114</t>
  </si>
  <si>
    <t>Company 115</t>
  </si>
  <si>
    <t>Company 116</t>
  </si>
  <si>
    <t>Czech Republic</t>
  </si>
  <si>
    <t>Company 117</t>
  </si>
  <si>
    <t>Company 118</t>
  </si>
  <si>
    <t>Company 119</t>
  </si>
  <si>
    <t>Company 120</t>
  </si>
  <si>
    <t>Company 121</t>
  </si>
  <si>
    <t>Company 122</t>
  </si>
  <si>
    <t>Company 123</t>
  </si>
  <si>
    <t>Company 124</t>
  </si>
  <si>
    <t>Company 125</t>
  </si>
  <si>
    <t>Company 126</t>
  </si>
  <si>
    <t>Company 127</t>
  </si>
  <si>
    <t>Company 128</t>
  </si>
  <si>
    <t>Company 129</t>
  </si>
  <si>
    <t>Company 130</t>
  </si>
  <si>
    <t>Company 131</t>
  </si>
  <si>
    <t>Company 132</t>
  </si>
  <si>
    <t>Company 133</t>
  </si>
  <si>
    <t>Company 134</t>
  </si>
  <si>
    <t>Company 135</t>
  </si>
  <si>
    <t>Company 136</t>
  </si>
  <si>
    <t>Company 137</t>
  </si>
  <si>
    <t>Company 138</t>
  </si>
  <si>
    <t>Company 139</t>
  </si>
  <si>
    <t>Company 140</t>
  </si>
  <si>
    <t>Company 141</t>
  </si>
  <si>
    <t>Company 142</t>
  </si>
  <si>
    <t>Company 143</t>
  </si>
  <si>
    <t>Company 144</t>
  </si>
  <si>
    <t>Company 145</t>
  </si>
  <si>
    <t>Company 146</t>
  </si>
  <si>
    <t>Company 147</t>
  </si>
  <si>
    <t>Company 148</t>
  </si>
  <si>
    <t>Slovenia</t>
  </si>
  <si>
    <t>Company 149</t>
  </si>
  <si>
    <t>Company 150</t>
  </si>
  <si>
    <t>Company 151</t>
  </si>
  <si>
    <t>Company 152</t>
  </si>
  <si>
    <t>Company 153</t>
  </si>
  <si>
    <t>Company 154</t>
  </si>
  <si>
    <t>Poland</t>
  </si>
  <si>
    <t>Company 155</t>
  </si>
  <si>
    <t>Company 156</t>
  </si>
  <si>
    <t>Company 157</t>
  </si>
  <si>
    <t>Company 158</t>
  </si>
  <si>
    <t>Company 159</t>
  </si>
  <si>
    <t>Company 160</t>
  </si>
  <si>
    <t>Company 161</t>
  </si>
  <si>
    <t>Company 162</t>
  </si>
  <si>
    <t>Company 163</t>
  </si>
  <si>
    <t>Company 164</t>
  </si>
  <si>
    <t>Company 165</t>
  </si>
  <si>
    <t>Company 166</t>
  </si>
  <si>
    <t>Company 167</t>
  </si>
  <si>
    <t>Company 168</t>
  </si>
  <si>
    <t>Company 169</t>
  </si>
  <si>
    <t>Company 170</t>
  </si>
  <si>
    <t>Company 171</t>
  </si>
  <si>
    <t>Company 172</t>
  </si>
  <si>
    <t>Company 173</t>
  </si>
  <si>
    <t>Company 174</t>
  </si>
  <si>
    <t>Company 175</t>
  </si>
  <si>
    <t>Company 176</t>
  </si>
  <si>
    <t>Company 177</t>
  </si>
  <si>
    <t>Company 178</t>
  </si>
  <si>
    <t>Company 179</t>
  </si>
  <si>
    <t>Company 180</t>
  </si>
  <si>
    <t>Company 181</t>
  </si>
  <si>
    <t>Company 182</t>
  </si>
  <si>
    <t>Company 183</t>
  </si>
  <si>
    <t>Company 184</t>
  </si>
  <si>
    <t>Company 185</t>
  </si>
  <si>
    <t>Company 186</t>
  </si>
  <si>
    <t>Company 187</t>
  </si>
  <si>
    <t>Company 188</t>
  </si>
  <si>
    <t>Company 189</t>
  </si>
  <si>
    <t>Company 190</t>
  </si>
  <si>
    <t>Company 191</t>
  </si>
  <si>
    <t>Company 192</t>
  </si>
  <si>
    <t>IT Other</t>
  </si>
  <si>
    <t>Company 193</t>
  </si>
  <si>
    <t>Company 194</t>
  </si>
  <si>
    <t>Company 195</t>
  </si>
  <si>
    <t>Company 196</t>
  </si>
  <si>
    <t>Company 197</t>
  </si>
  <si>
    <t>Company 198</t>
  </si>
  <si>
    <t>Company 199</t>
  </si>
  <si>
    <t>Company 200</t>
  </si>
  <si>
    <t>Company 201</t>
  </si>
  <si>
    <t>Company 202</t>
  </si>
  <si>
    <t>Company 203</t>
  </si>
  <si>
    <t>Company 204</t>
  </si>
  <si>
    <t>Company 205</t>
  </si>
  <si>
    <t>Training</t>
  </si>
  <si>
    <t>Company 206</t>
  </si>
  <si>
    <t>Company 207</t>
  </si>
  <si>
    <t>Company 208</t>
  </si>
  <si>
    <t>Company 209</t>
  </si>
  <si>
    <t>Company 210</t>
  </si>
  <si>
    <t>Company 211</t>
  </si>
  <si>
    <t>Company 212</t>
  </si>
  <si>
    <t>Company 213</t>
  </si>
  <si>
    <t>Company 214</t>
  </si>
  <si>
    <t>Operations Other</t>
  </si>
  <si>
    <t>Company 215</t>
  </si>
  <si>
    <t>Company 216</t>
  </si>
  <si>
    <t>Company 217</t>
  </si>
  <si>
    <t>Company 218</t>
  </si>
  <si>
    <t>Company 219</t>
  </si>
  <si>
    <t>Company 220</t>
  </si>
  <si>
    <t>Company 221</t>
  </si>
  <si>
    <t>Company 222</t>
  </si>
  <si>
    <t>Company 223</t>
  </si>
  <si>
    <t>Company 224</t>
  </si>
  <si>
    <t>Company 225</t>
  </si>
  <si>
    <t>Company 226</t>
  </si>
  <si>
    <t>Company 227</t>
  </si>
  <si>
    <t>Company 228</t>
  </si>
  <si>
    <t>Company 229</t>
  </si>
  <si>
    <t>Company 230</t>
  </si>
  <si>
    <t>Company 231</t>
  </si>
  <si>
    <t>Company 232</t>
  </si>
  <si>
    <t>Company 233</t>
  </si>
  <si>
    <t>Company 234</t>
  </si>
  <si>
    <t>Company 235</t>
  </si>
  <si>
    <t>Company 236</t>
  </si>
  <si>
    <t>Company 237</t>
  </si>
  <si>
    <t>Company 238</t>
  </si>
  <si>
    <t>Company 239</t>
  </si>
  <si>
    <t>Company 240</t>
  </si>
  <si>
    <t>Company 241</t>
  </si>
  <si>
    <t>Company 242</t>
  </si>
  <si>
    <t>Company 243</t>
  </si>
  <si>
    <t>Company 244</t>
  </si>
  <si>
    <t>Company 245</t>
  </si>
  <si>
    <t>Company 246</t>
  </si>
  <si>
    <t>Company 247</t>
  </si>
  <si>
    <t>Company 248</t>
  </si>
  <si>
    <t>Company 249</t>
  </si>
  <si>
    <t>Market Power</t>
  </si>
  <si>
    <t>Company 250</t>
  </si>
  <si>
    <t>Company 252</t>
  </si>
  <si>
    <t>Company 253</t>
  </si>
  <si>
    <t>Company 254</t>
  </si>
  <si>
    <t>Company 255</t>
  </si>
  <si>
    <t>Company 256</t>
  </si>
  <si>
    <t>Company 257</t>
  </si>
  <si>
    <t>Company 258</t>
  </si>
  <si>
    <t>Company 259</t>
  </si>
  <si>
    <t>Company 260</t>
  </si>
  <si>
    <t>Company 261</t>
  </si>
  <si>
    <t>Company 262</t>
  </si>
  <si>
    <t>Company 263</t>
  </si>
  <si>
    <t>Company 264</t>
  </si>
  <si>
    <t>Company 265</t>
  </si>
  <si>
    <t>Company 266</t>
  </si>
  <si>
    <t>Inform</t>
  </si>
  <si>
    <t>Company 267</t>
  </si>
  <si>
    <t>Company 268</t>
  </si>
  <si>
    <t>Company 269</t>
  </si>
  <si>
    <t>Company 270</t>
  </si>
  <si>
    <t>Company 271</t>
  </si>
  <si>
    <t>Company 272</t>
  </si>
  <si>
    <t>Company 273</t>
  </si>
  <si>
    <t>Company 274</t>
  </si>
  <si>
    <t>Company 275</t>
  </si>
  <si>
    <t>Company 276</t>
  </si>
  <si>
    <t>Company 277</t>
  </si>
  <si>
    <t>Company 278</t>
  </si>
  <si>
    <t>Company 279</t>
  </si>
  <si>
    <t>Company 280</t>
  </si>
  <si>
    <t>Company 281</t>
  </si>
  <si>
    <t>Company 282</t>
  </si>
  <si>
    <t>Company 283</t>
  </si>
  <si>
    <t>Company 284</t>
  </si>
  <si>
    <t>Company 285</t>
  </si>
  <si>
    <t>Company 286</t>
  </si>
  <si>
    <t>Company 287</t>
  </si>
  <si>
    <t>Company 288</t>
  </si>
  <si>
    <t>Company 289</t>
  </si>
  <si>
    <t>Company 290</t>
  </si>
  <si>
    <t>Company 291</t>
  </si>
  <si>
    <t>Company 292</t>
  </si>
  <si>
    <t>Company 293</t>
  </si>
  <si>
    <t>Company 294</t>
  </si>
  <si>
    <t>Company 295</t>
  </si>
  <si>
    <t>Company 296</t>
  </si>
  <si>
    <t>Company 297</t>
  </si>
  <si>
    <t>Company 298</t>
  </si>
  <si>
    <t>Company 299</t>
  </si>
  <si>
    <t>Company 300</t>
  </si>
  <si>
    <t>Company 301</t>
  </si>
  <si>
    <t>Company 302</t>
  </si>
  <si>
    <t>Company 303</t>
  </si>
  <si>
    <t>Company 304</t>
  </si>
  <si>
    <t>Company 305</t>
  </si>
  <si>
    <t>Company 306</t>
  </si>
  <si>
    <t>Company 307</t>
  </si>
  <si>
    <t>Company 308</t>
  </si>
  <si>
    <t>Company 309</t>
  </si>
  <si>
    <t>Company 310</t>
  </si>
  <si>
    <t>Company 311</t>
  </si>
  <si>
    <t>Company 312</t>
  </si>
  <si>
    <t>Company 314</t>
  </si>
  <si>
    <t>Company 315</t>
  </si>
  <si>
    <t>Company 316</t>
  </si>
  <si>
    <t>Company 317</t>
  </si>
  <si>
    <t>Company 318</t>
  </si>
  <si>
    <t>Company 319</t>
  </si>
  <si>
    <t>Company 320</t>
  </si>
  <si>
    <t>Company 321</t>
  </si>
  <si>
    <t>Company 322</t>
  </si>
  <si>
    <t>Company 323</t>
  </si>
  <si>
    <t>Company 324</t>
  </si>
  <si>
    <t>Company 325</t>
  </si>
  <si>
    <t>Company 326</t>
  </si>
  <si>
    <t>Company 327</t>
  </si>
  <si>
    <t>Company 328</t>
  </si>
  <si>
    <t>Company 329</t>
  </si>
  <si>
    <t>Company 330</t>
  </si>
  <si>
    <t>Qatar</t>
  </si>
  <si>
    <t>Company 331</t>
  </si>
  <si>
    <t>Company 332</t>
  </si>
  <si>
    <t>Company 333</t>
  </si>
  <si>
    <t>Company 334</t>
  </si>
  <si>
    <t>Company 336</t>
  </si>
  <si>
    <t>Company 337</t>
  </si>
  <si>
    <t>Company 338</t>
  </si>
  <si>
    <t>Company 339</t>
  </si>
  <si>
    <t>Company 340</t>
  </si>
  <si>
    <t>Company 341</t>
  </si>
  <si>
    <t>Company 342</t>
  </si>
  <si>
    <t>Company 343</t>
  </si>
  <si>
    <t>Company 344</t>
  </si>
  <si>
    <t>Company 345</t>
  </si>
  <si>
    <t>Company 346</t>
  </si>
  <si>
    <t>Company 347</t>
  </si>
  <si>
    <t>Company 349</t>
  </si>
  <si>
    <t>Company 350</t>
  </si>
  <si>
    <t>Company 351</t>
  </si>
  <si>
    <t>Company 352</t>
  </si>
  <si>
    <t>Company 353</t>
  </si>
  <si>
    <t>Company 354</t>
  </si>
  <si>
    <t>Company 355</t>
  </si>
  <si>
    <t>Company 356</t>
  </si>
  <si>
    <t>Company 357</t>
  </si>
  <si>
    <t>Company 358</t>
  </si>
  <si>
    <t>Company 359</t>
  </si>
  <si>
    <t>Company 360</t>
  </si>
  <si>
    <t>Company 361</t>
  </si>
  <si>
    <t>Company 362</t>
  </si>
  <si>
    <t>Company 363</t>
  </si>
  <si>
    <t>Company 364</t>
  </si>
  <si>
    <t>Company 365</t>
  </si>
  <si>
    <t>Company 366</t>
  </si>
  <si>
    <t>Company 367</t>
  </si>
  <si>
    <t>Company 368</t>
  </si>
  <si>
    <t>Company 369</t>
  </si>
  <si>
    <t>Company 370</t>
  </si>
  <si>
    <t>Company 371</t>
  </si>
  <si>
    <t>Company 372</t>
  </si>
  <si>
    <t>Company 373</t>
  </si>
  <si>
    <t>Company 374</t>
  </si>
  <si>
    <t>Company 375</t>
  </si>
  <si>
    <t>Company 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</si>
</sst>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2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0" xfId="0" applyFont="1" applyAlignment="1">
      <alignment wrapText="1"/>
    </xf>
    <xf numFmtId="0" fontId="1" fillId="0" borderId="2" xfId="0" applyFont="1" applyBorder="1"/>
    <xf numFmtId="3" fontId="1" fillId="0" borderId="2" xfId="0" applyNumberFormat="1" applyFont="1" applyBorder="1"/>
    <xf numFmtId="0" fontId="1" fillId="0" borderId="0" xfId="0" applyFont="1"/>
    <xf numFmtId="17" fontId="1" fillId="2" borderId="2" xfId="0" quotePrefix="1" applyNumberFormat="1" applyFont="1" applyFill="1" applyBorder="1" applyAlignment="1">
      <alignment horizontal="center" vertical="center" wrapText="1"/>
    </xf>
    <xf numFmtId="3" fontId="1" fillId="2" borderId="2" xfId="0" quotePrefix="1" applyNumberFormat="1" applyFont="1" applyFill="1" applyBorder="1" applyAlignment="1">
      <alignment horizontal="center" vertical="center" wrapText="1"/>
    </xf>
    <xf numFmtId="1" fontId="1" fillId="0" borderId="0" xfId="0" applyNumberFormat="1" applyFont="1"/>
    <xf numFmtId="0" fontId="0" fillId="2" borderId="2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42B00D8-1D32-44C1-83A8-6812CA100CC3}"/>
  </cellStyles>
  <dxfs count="1"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5806-833B-4037-B6BC-165B8FF2171B}">
  <dimension ref="C2:I16"/>
  <sheetViews>
    <sheetView workbookViewId="0">
      <selection activeCell="G16" sqref="G16"/>
    </sheetView>
  </sheetViews>
  <sheetFormatPr defaultRowHeight="15" x14ac:dyDescent="0.25"/>
  <sheetData>
    <row r="2" spans="3:9" ht="33.75" x14ac:dyDescent="0.5">
      <c r="C2" s="9" t="s">
        <v>0</v>
      </c>
      <c r="D2" s="9"/>
      <c r="E2" s="9"/>
      <c r="F2" s="9"/>
      <c r="G2" s="9"/>
      <c r="H2" s="9"/>
      <c r="I2" s="9"/>
    </row>
    <row r="4" spans="3:9" ht="15" customHeight="1" x14ac:dyDescent="0.25">
      <c r="C4" s="10" t="s">
        <v>1</v>
      </c>
      <c r="D4" s="10"/>
      <c r="E4" s="10"/>
      <c r="F4" s="10"/>
      <c r="G4" s="10"/>
      <c r="H4" s="10"/>
      <c r="I4" s="10"/>
    </row>
    <row r="5" spans="3:9" ht="15" customHeight="1" x14ac:dyDescent="0.25">
      <c r="C5" s="10"/>
      <c r="D5" s="10"/>
      <c r="E5" s="10"/>
      <c r="F5" s="10"/>
      <c r="G5" s="10"/>
      <c r="H5" s="10"/>
      <c r="I5" s="10"/>
    </row>
    <row r="6" spans="3:9" ht="15" customHeight="1" x14ac:dyDescent="0.25">
      <c r="C6" s="10"/>
      <c r="D6" s="10"/>
      <c r="E6" s="10"/>
      <c r="F6" s="10"/>
      <c r="G6" s="10"/>
      <c r="H6" s="10"/>
      <c r="I6" s="10"/>
    </row>
    <row r="7" spans="3:9" ht="15" customHeight="1" x14ac:dyDescent="0.25">
      <c r="C7" s="10"/>
      <c r="D7" s="10"/>
      <c r="E7" s="10"/>
      <c r="F7" s="10"/>
      <c r="G7" s="10"/>
      <c r="H7" s="10"/>
      <c r="I7" s="10"/>
    </row>
    <row r="8" spans="3:9" ht="15" customHeight="1" x14ac:dyDescent="0.25">
      <c r="C8" s="10"/>
      <c r="D8" s="10"/>
      <c r="E8" s="10"/>
      <c r="F8" s="10"/>
      <c r="G8" s="10"/>
      <c r="H8" s="10"/>
      <c r="I8" s="10"/>
    </row>
    <row r="9" spans="3:9" ht="15" customHeight="1" x14ac:dyDescent="0.25">
      <c r="C9" s="10"/>
      <c r="D9" s="10"/>
      <c r="E9" s="10"/>
      <c r="F9" s="10"/>
      <c r="G9" s="10"/>
      <c r="H9" s="10"/>
      <c r="I9" s="10"/>
    </row>
    <row r="10" spans="3:9" ht="15" customHeight="1" x14ac:dyDescent="0.25">
      <c r="C10" s="10"/>
      <c r="D10" s="10"/>
      <c r="E10" s="10"/>
      <c r="F10" s="10"/>
      <c r="G10" s="10"/>
      <c r="H10" s="10"/>
      <c r="I10" s="10"/>
    </row>
    <row r="11" spans="3:9" ht="15" customHeight="1" x14ac:dyDescent="0.25">
      <c r="C11" s="10"/>
      <c r="D11" s="10"/>
      <c r="E11" s="10"/>
      <c r="F11" s="10"/>
      <c r="G11" s="10"/>
      <c r="H11" s="10"/>
      <c r="I11" s="10"/>
    </row>
    <row r="12" spans="3:9" x14ac:dyDescent="0.25">
      <c r="C12" s="10"/>
      <c r="D12" s="10"/>
      <c r="E12" s="10"/>
      <c r="F12" s="10"/>
      <c r="G12" s="10"/>
      <c r="H12" s="10"/>
      <c r="I12" s="10"/>
    </row>
    <row r="13" spans="3:9" x14ac:dyDescent="0.25">
      <c r="C13" s="10"/>
      <c r="D13" s="10"/>
      <c r="E13" s="10"/>
      <c r="F13" s="10"/>
      <c r="G13" s="10"/>
      <c r="H13" s="10"/>
      <c r="I13" s="10"/>
    </row>
    <row r="16" spans="3:9" x14ac:dyDescent="0.25">
      <c r="C16" s="8" t="s">
        <v>2</v>
      </c>
      <c r="D16" s="11" t="s">
        <v>3</v>
      </c>
      <c r="E16" s="11"/>
    </row>
  </sheetData>
  <mergeCells count="3">
    <mergeCell ref="C2:I2"/>
    <mergeCell ref="C4:I13"/>
    <mergeCell ref="D16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81AF-7134-4A9D-9C28-54B17CA105ED}">
  <sheetPr codeName="Sheet1"/>
  <dimension ref="A1:S1000"/>
  <sheetViews>
    <sheetView tabSelected="1" workbookViewId="0">
      <pane xSplit="4" ySplit="2" topLeftCell="E3" activePane="bottomRight" state="frozen"/>
      <selection pane="topRight" activeCell="H1" sqref="H1"/>
      <selection pane="bottomLeft" activeCell="A3" sqref="A3"/>
      <selection pane="bottomRight" activeCell="C11" sqref="C11"/>
    </sheetView>
  </sheetViews>
  <sheetFormatPr defaultColWidth="9.42578125" defaultRowHeight="12.75" x14ac:dyDescent="0.2"/>
  <cols>
    <col min="1" max="1" width="14.28515625" style="4" customWidth="1"/>
    <col min="2" max="2" width="9.42578125" style="4" customWidth="1"/>
    <col min="3" max="3" width="14.5703125" style="4" bestFit="1" customWidth="1"/>
    <col min="4" max="4" width="12.7109375" style="4" bestFit="1" customWidth="1"/>
    <col min="5" max="17" width="9.5703125" style="4" customWidth="1"/>
    <col min="18" max="18" width="5.42578125" style="4" customWidth="1"/>
    <col min="19" max="16384" width="9.42578125" style="4"/>
  </cols>
  <sheetData>
    <row r="1" spans="1:19" s="1" customFormat="1" ht="38.25" customHeight="1" x14ac:dyDescent="0.2">
      <c r="A1" s="12" t="s">
        <v>4</v>
      </c>
      <c r="B1" s="12" t="s">
        <v>5</v>
      </c>
      <c r="C1" s="12" t="s">
        <v>6</v>
      </c>
      <c r="D1" s="12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  <c r="P1" s="5" t="s">
        <v>19</v>
      </c>
      <c r="Q1" s="5" t="s">
        <v>20</v>
      </c>
    </row>
    <row r="2" spans="1:19" s="1" customFormat="1" x14ac:dyDescent="0.2">
      <c r="A2" s="13"/>
      <c r="B2" s="13"/>
      <c r="C2" s="13"/>
      <c r="D2" s="13"/>
      <c r="E2" s="6">
        <f t="shared" ref="E2:O2" si="0">SUM(E3:E1558)</f>
        <v>10836440.370000001</v>
      </c>
      <c r="F2" s="6">
        <f t="shared" si="0"/>
        <v>11695540.009999998</v>
      </c>
      <c r="G2" s="6">
        <f t="shared" si="0"/>
        <v>11860993.200000003</v>
      </c>
      <c r="H2" s="6">
        <f t="shared" si="0"/>
        <v>12197109.419999994</v>
      </c>
      <c r="I2" s="6">
        <f t="shared" si="0"/>
        <v>12526284.022999998</v>
      </c>
      <c r="J2" s="6">
        <f t="shared" si="0"/>
        <v>13001152.1</v>
      </c>
      <c r="K2" s="6">
        <f t="shared" si="0"/>
        <v>13179597.030000003</v>
      </c>
      <c r="L2" s="6">
        <f t="shared" si="0"/>
        <v>12982499.350000005</v>
      </c>
      <c r="M2" s="6">
        <f t="shared" si="0"/>
        <v>13611933.119999995</v>
      </c>
      <c r="N2" s="6">
        <f t="shared" si="0"/>
        <v>14867776.070000002</v>
      </c>
      <c r="O2" s="6">
        <f t="shared" si="0"/>
        <v>15692408.218178121</v>
      </c>
      <c r="P2" s="6">
        <f>SUM(P3:P1558)</f>
        <v>16845776.359999996</v>
      </c>
      <c r="Q2" s="6">
        <f>SUM(Q3:Q1558)</f>
        <v>17556786.464252148</v>
      </c>
    </row>
    <row r="3" spans="1:19" x14ac:dyDescent="0.2">
      <c r="A3" s="2" t="s">
        <v>21</v>
      </c>
      <c r="B3" s="2" t="s">
        <v>22</v>
      </c>
      <c r="C3" s="2" t="s">
        <v>23</v>
      </c>
      <c r="D3" s="2" t="s">
        <v>24</v>
      </c>
      <c r="E3" s="3">
        <v>15000</v>
      </c>
      <c r="F3" s="3">
        <v>15000</v>
      </c>
      <c r="G3" s="3">
        <v>15000</v>
      </c>
      <c r="H3" s="3">
        <v>15000</v>
      </c>
      <c r="I3" s="3">
        <v>15000</v>
      </c>
      <c r="J3" s="3">
        <v>22692.5</v>
      </c>
      <c r="K3" s="3">
        <v>15000</v>
      </c>
      <c r="L3" s="3">
        <v>15000</v>
      </c>
      <c r="M3" s="3">
        <v>15000</v>
      </c>
      <c r="N3" s="3">
        <v>1250</v>
      </c>
      <c r="O3" s="3">
        <v>1250</v>
      </c>
      <c r="P3" s="3">
        <v>15000</v>
      </c>
      <c r="Q3" s="3">
        <v>15150</v>
      </c>
      <c r="S3" s="7"/>
    </row>
    <row r="4" spans="1:19" x14ac:dyDescent="0.2">
      <c r="A4" s="2" t="s">
        <v>25</v>
      </c>
      <c r="B4" s="2" t="s">
        <v>22</v>
      </c>
      <c r="C4" s="2" t="s">
        <v>26</v>
      </c>
      <c r="D4" s="2" t="s">
        <v>27</v>
      </c>
      <c r="E4" s="3">
        <v>17641.120000000003</v>
      </c>
      <c r="F4" s="3">
        <v>15939.91</v>
      </c>
      <c r="G4" s="3">
        <v>16029.509999999998</v>
      </c>
      <c r="H4" s="3">
        <v>18152.05</v>
      </c>
      <c r="I4" s="3">
        <v>18643.239999999998</v>
      </c>
      <c r="J4" s="3">
        <v>18745.32</v>
      </c>
      <c r="K4" s="3">
        <v>18864.36</v>
      </c>
      <c r="L4" s="3">
        <v>18864.36</v>
      </c>
      <c r="M4" s="3">
        <v>18892.53</v>
      </c>
      <c r="N4" s="3">
        <v>19214.88</v>
      </c>
      <c r="O4" s="3">
        <v>19772.756324786329</v>
      </c>
      <c r="P4" s="3">
        <v>20356.480000000003</v>
      </c>
      <c r="Q4" s="3">
        <v>20261.972638680665</v>
      </c>
      <c r="S4" s="7"/>
    </row>
    <row r="5" spans="1:19" x14ac:dyDescent="0.2">
      <c r="A5" s="2" t="s">
        <v>25</v>
      </c>
      <c r="B5" s="2" t="s">
        <v>22</v>
      </c>
      <c r="C5" s="2" t="s">
        <v>28</v>
      </c>
      <c r="D5" s="2" t="s">
        <v>27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11228.750000000002</v>
      </c>
      <c r="K5" s="3">
        <v>17645.099999999999</v>
      </c>
      <c r="L5" s="3">
        <v>20315.489999999998</v>
      </c>
      <c r="M5" s="3">
        <v>21738.200000000004</v>
      </c>
      <c r="N5" s="3">
        <v>23657.059999999998</v>
      </c>
      <c r="O5" s="3">
        <v>25411.354273504276</v>
      </c>
      <c r="P5" s="3">
        <v>26750.010000000009</v>
      </c>
      <c r="Q5" s="3">
        <v>28443.204707646182</v>
      </c>
      <c r="S5" s="7"/>
    </row>
    <row r="6" spans="1:19" x14ac:dyDescent="0.2">
      <c r="A6" s="2" t="s">
        <v>25</v>
      </c>
      <c r="B6" s="2" t="s">
        <v>22</v>
      </c>
      <c r="C6" s="2" t="s">
        <v>29</v>
      </c>
      <c r="D6" s="2" t="s">
        <v>27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336.88</v>
      </c>
      <c r="K6" s="3">
        <v>1830.9300000000003</v>
      </c>
      <c r="L6" s="3">
        <v>4147.62</v>
      </c>
      <c r="M6" s="3">
        <v>6216.5399999999991</v>
      </c>
      <c r="N6" s="3">
        <v>8856.5500000000011</v>
      </c>
      <c r="O6" s="3">
        <v>12272.672820512822</v>
      </c>
      <c r="P6" s="3">
        <v>15415.600000000002</v>
      </c>
      <c r="Q6" s="3">
        <v>16090.776386806596</v>
      </c>
      <c r="S6" s="7"/>
    </row>
    <row r="7" spans="1:19" x14ac:dyDescent="0.2">
      <c r="A7" s="2" t="s">
        <v>30</v>
      </c>
      <c r="B7" s="2" t="s">
        <v>22</v>
      </c>
      <c r="C7" s="2" t="s">
        <v>23</v>
      </c>
      <c r="D7" s="2" t="s">
        <v>31</v>
      </c>
      <c r="E7" s="3">
        <v>15000</v>
      </c>
      <c r="F7" s="3">
        <v>15000</v>
      </c>
      <c r="G7" s="3">
        <v>15000</v>
      </c>
      <c r="H7" s="3">
        <v>15000</v>
      </c>
      <c r="I7" s="3">
        <v>15000</v>
      </c>
      <c r="J7" s="3">
        <v>15000</v>
      </c>
      <c r="K7" s="3">
        <v>15000</v>
      </c>
      <c r="L7" s="3">
        <v>15000</v>
      </c>
      <c r="M7" s="3">
        <v>15000</v>
      </c>
      <c r="N7" s="3">
        <v>15000</v>
      </c>
      <c r="O7" s="3">
        <v>15428.49</v>
      </c>
      <c r="P7" s="3">
        <v>15867.710000000003</v>
      </c>
      <c r="Q7" s="3">
        <v>16533.608</v>
      </c>
      <c r="S7" s="7"/>
    </row>
    <row r="8" spans="1:19" x14ac:dyDescent="0.2">
      <c r="A8" s="2" t="s">
        <v>32</v>
      </c>
      <c r="B8" s="2" t="s">
        <v>33</v>
      </c>
      <c r="C8" s="2" t="s">
        <v>34</v>
      </c>
      <c r="D8" s="2" t="s">
        <v>24</v>
      </c>
      <c r="E8" s="3">
        <v>23580</v>
      </c>
      <c r="F8" s="3">
        <v>23880</v>
      </c>
      <c r="G8" s="3">
        <v>23880</v>
      </c>
      <c r="H8" s="3">
        <v>23880</v>
      </c>
      <c r="I8" s="3">
        <v>23880</v>
      </c>
      <c r="J8" s="3">
        <v>23880</v>
      </c>
      <c r="K8" s="3">
        <v>23880</v>
      </c>
      <c r="L8" s="3">
        <v>23140</v>
      </c>
      <c r="M8" s="3">
        <v>15000</v>
      </c>
      <c r="N8" s="3">
        <v>15050</v>
      </c>
      <c r="O8" s="3">
        <v>15635</v>
      </c>
      <c r="P8" s="3">
        <v>16020</v>
      </c>
      <c r="Q8" s="3">
        <v>16393.8</v>
      </c>
      <c r="S8" s="7"/>
    </row>
    <row r="9" spans="1:19" x14ac:dyDescent="0.2">
      <c r="A9" s="2" t="s">
        <v>35</v>
      </c>
      <c r="B9" s="2" t="s">
        <v>22</v>
      </c>
      <c r="C9" s="2" t="s">
        <v>36</v>
      </c>
      <c r="D9" s="2" t="s">
        <v>24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750</v>
      </c>
      <c r="K9" s="3">
        <v>9000</v>
      </c>
      <c r="L9" s="3">
        <v>9000</v>
      </c>
      <c r="M9" s="3">
        <v>9075</v>
      </c>
      <c r="N9" s="3">
        <v>9900</v>
      </c>
      <c r="O9" s="3">
        <v>9750</v>
      </c>
      <c r="P9" s="3">
        <v>10525.65</v>
      </c>
      <c r="Q9" s="3">
        <v>0</v>
      </c>
      <c r="S9" s="7"/>
    </row>
    <row r="10" spans="1:19" x14ac:dyDescent="0.2">
      <c r="A10" s="2" t="s">
        <v>35</v>
      </c>
      <c r="B10" s="2" t="s">
        <v>22</v>
      </c>
      <c r="C10" s="2" t="s">
        <v>29</v>
      </c>
      <c r="D10" s="2" t="s">
        <v>24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150</v>
      </c>
      <c r="K10" s="3">
        <v>1800</v>
      </c>
      <c r="L10" s="3">
        <v>1800</v>
      </c>
      <c r="M10" s="3">
        <v>1815</v>
      </c>
      <c r="N10" s="3">
        <v>1980</v>
      </c>
      <c r="O10" s="3">
        <v>1950</v>
      </c>
      <c r="P10" s="3">
        <v>2437.27</v>
      </c>
      <c r="Q10" s="3">
        <v>0</v>
      </c>
      <c r="S10" s="7"/>
    </row>
    <row r="11" spans="1:19" x14ac:dyDescent="0.2">
      <c r="A11" s="2" t="s">
        <v>37</v>
      </c>
      <c r="B11" s="2" t="s">
        <v>33</v>
      </c>
      <c r="C11" s="2" t="s">
        <v>38</v>
      </c>
      <c r="D11" s="2" t="s">
        <v>24</v>
      </c>
      <c r="E11" s="3">
        <v>6024</v>
      </c>
      <c r="F11" s="3">
        <v>9538.36</v>
      </c>
      <c r="G11" s="3">
        <v>8032.3199999999988</v>
      </c>
      <c r="H11" s="3">
        <v>10045.199999999999</v>
      </c>
      <c r="I11" s="3">
        <v>11888.24</v>
      </c>
      <c r="J11" s="3">
        <v>10046.400000000001</v>
      </c>
      <c r="K11" s="3">
        <v>9544.08</v>
      </c>
      <c r="L11" s="3">
        <v>8103.8400000000011</v>
      </c>
      <c r="M11" s="3">
        <v>11418</v>
      </c>
      <c r="N11" s="3">
        <v>12802</v>
      </c>
      <c r="O11" s="3">
        <v>14560</v>
      </c>
      <c r="P11" s="3">
        <v>13740</v>
      </c>
      <c r="Q11" s="3">
        <v>15120</v>
      </c>
      <c r="S11" s="7"/>
    </row>
    <row r="12" spans="1:19" x14ac:dyDescent="0.2">
      <c r="A12" s="2" t="s">
        <v>37</v>
      </c>
      <c r="B12" s="2" t="s">
        <v>33</v>
      </c>
      <c r="C12" s="2" t="s">
        <v>34</v>
      </c>
      <c r="D12" s="2" t="s">
        <v>24</v>
      </c>
      <c r="E12" s="3">
        <v>158517.49</v>
      </c>
      <c r="F12" s="3">
        <v>164391</v>
      </c>
      <c r="G12" s="3">
        <v>155734.1</v>
      </c>
      <c r="H12" s="3">
        <v>182109</v>
      </c>
      <c r="I12" s="3">
        <v>201719.95</v>
      </c>
      <c r="J12" s="3">
        <v>222337.07</v>
      </c>
      <c r="K12" s="3">
        <v>179694.44</v>
      </c>
      <c r="L12" s="3">
        <v>159947.59</v>
      </c>
      <c r="M12" s="3">
        <v>169331</v>
      </c>
      <c r="N12" s="3">
        <v>170001</v>
      </c>
      <c r="O12" s="3">
        <v>188566</v>
      </c>
      <c r="P12" s="3">
        <v>213809.21999999997</v>
      </c>
      <c r="Q12" s="3">
        <v>209582.28</v>
      </c>
      <c r="S12" s="7"/>
    </row>
    <row r="13" spans="1:19" x14ac:dyDescent="0.2">
      <c r="A13" s="2" t="s">
        <v>37</v>
      </c>
      <c r="B13" s="2" t="s">
        <v>22</v>
      </c>
      <c r="C13" s="2" t="s">
        <v>26</v>
      </c>
      <c r="D13" s="2" t="s">
        <v>24</v>
      </c>
      <c r="E13" s="3">
        <v>17500</v>
      </c>
      <c r="F13" s="3">
        <v>17500</v>
      </c>
      <c r="G13" s="3">
        <v>18520.799999999996</v>
      </c>
      <c r="H13" s="3">
        <v>19250</v>
      </c>
      <c r="I13" s="3">
        <v>19250</v>
      </c>
      <c r="J13" s="3">
        <v>19250</v>
      </c>
      <c r="K13" s="3">
        <v>19250</v>
      </c>
      <c r="L13" s="3">
        <v>19250</v>
      </c>
      <c r="M13" s="3">
        <v>30372.950000000004</v>
      </c>
      <c r="N13" s="3">
        <v>21175</v>
      </c>
      <c r="O13" s="3">
        <v>21237.88</v>
      </c>
      <c r="P13" s="3">
        <v>8760.86</v>
      </c>
      <c r="Q13" s="3">
        <v>0</v>
      </c>
      <c r="S13" s="7"/>
    </row>
    <row r="14" spans="1:19" x14ac:dyDescent="0.2">
      <c r="A14" s="2" t="s">
        <v>37</v>
      </c>
      <c r="B14" s="2" t="s">
        <v>22</v>
      </c>
      <c r="C14" s="2" t="s">
        <v>29</v>
      </c>
      <c r="D14" s="2" t="s">
        <v>24</v>
      </c>
      <c r="E14" s="3">
        <v>1187.5</v>
      </c>
      <c r="F14" s="3">
        <v>1500</v>
      </c>
      <c r="G14" s="3">
        <v>1937.5</v>
      </c>
      <c r="H14" s="3">
        <v>3062.5</v>
      </c>
      <c r="I14" s="3">
        <v>3437.5</v>
      </c>
      <c r="J14" s="3">
        <v>5937.5</v>
      </c>
      <c r="K14" s="3">
        <v>7500</v>
      </c>
      <c r="L14" s="3">
        <v>7937.5</v>
      </c>
      <c r="M14" s="3">
        <v>7812.5</v>
      </c>
      <c r="N14" s="3">
        <v>7500</v>
      </c>
      <c r="O14" s="3">
        <v>9721.48</v>
      </c>
      <c r="P14" s="3">
        <v>13449.920000000002</v>
      </c>
      <c r="Q14" s="3">
        <v>14754.9</v>
      </c>
      <c r="S14" s="7"/>
    </row>
    <row r="15" spans="1:19" x14ac:dyDescent="0.2">
      <c r="A15" s="2" t="s">
        <v>37</v>
      </c>
      <c r="B15" s="2" t="s">
        <v>22</v>
      </c>
      <c r="C15" s="2" t="s">
        <v>28</v>
      </c>
      <c r="D15" s="2" t="s">
        <v>24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2800</v>
      </c>
      <c r="N15" s="3">
        <v>18200</v>
      </c>
      <c r="O15" s="3">
        <v>37342.760000000009</v>
      </c>
      <c r="P15" s="3">
        <v>46722.000000000007</v>
      </c>
      <c r="Q15" s="3">
        <v>50744.270000000004</v>
      </c>
      <c r="S15" s="7"/>
    </row>
    <row r="16" spans="1:19" x14ac:dyDescent="0.2">
      <c r="A16" s="2" t="s">
        <v>37</v>
      </c>
      <c r="B16" s="2" t="s">
        <v>22</v>
      </c>
      <c r="C16" s="2" t="s">
        <v>39</v>
      </c>
      <c r="D16" s="2" t="s">
        <v>24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35177.32</v>
      </c>
      <c r="P16" s="3">
        <v>72416.28</v>
      </c>
      <c r="Q16" s="3">
        <v>83991.92</v>
      </c>
      <c r="S16" s="7"/>
    </row>
    <row r="17" spans="1:19" x14ac:dyDescent="0.2">
      <c r="A17" s="2" t="s">
        <v>40</v>
      </c>
      <c r="B17" s="2" t="s">
        <v>41</v>
      </c>
      <c r="C17" s="2" t="s">
        <v>41</v>
      </c>
      <c r="D17" s="2" t="s">
        <v>24</v>
      </c>
      <c r="E17" s="3">
        <v>650708.64</v>
      </c>
      <c r="F17" s="3">
        <v>683023.8</v>
      </c>
      <c r="G17" s="3">
        <v>742378.83</v>
      </c>
      <c r="H17" s="3">
        <v>754603.65000000014</v>
      </c>
      <c r="I17" s="3">
        <v>778712.32</v>
      </c>
      <c r="J17" s="3">
        <v>804870.44000000006</v>
      </c>
      <c r="K17" s="3">
        <v>824584.08000000019</v>
      </c>
      <c r="L17" s="3">
        <v>844509.04000000015</v>
      </c>
      <c r="M17" s="3">
        <v>871784.79999999993</v>
      </c>
      <c r="N17" s="3">
        <v>951548.35999999987</v>
      </c>
      <c r="O17" s="3">
        <v>1086661.274</v>
      </c>
      <c r="P17" s="3">
        <v>1075380</v>
      </c>
      <c r="Q17" s="3">
        <v>1082874.9600000002</v>
      </c>
      <c r="S17" s="7"/>
    </row>
    <row r="18" spans="1:19" x14ac:dyDescent="0.2">
      <c r="A18" s="2" t="s">
        <v>40</v>
      </c>
      <c r="B18" s="2" t="s">
        <v>41</v>
      </c>
      <c r="C18" s="2" t="s">
        <v>41</v>
      </c>
      <c r="D18" s="2" t="s">
        <v>24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262500</v>
      </c>
      <c r="N18" s="3">
        <v>262500</v>
      </c>
      <c r="O18" s="3">
        <v>218750</v>
      </c>
      <c r="P18" s="3">
        <v>262500</v>
      </c>
      <c r="Q18" s="3">
        <v>262500</v>
      </c>
      <c r="S18" s="7"/>
    </row>
    <row r="19" spans="1:19" x14ac:dyDescent="0.2">
      <c r="A19" s="2" t="s">
        <v>42</v>
      </c>
      <c r="B19" s="2" t="s">
        <v>33</v>
      </c>
      <c r="C19" s="2" t="s">
        <v>34</v>
      </c>
      <c r="D19" s="2" t="s">
        <v>24</v>
      </c>
      <c r="E19" s="3">
        <v>56820</v>
      </c>
      <c r="F19" s="3">
        <v>56820</v>
      </c>
      <c r="G19" s="3">
        <v>56820</v>
      </c>
      <c r="H19" s="3">
        <v>56915</v>
      </c>
      <c r="I19" s="3">
        <v>58800</v>
      </c>
      <c r="J19" s="3">
        <v>62100</v>
      </c>
      <c r="K19" s="3">
        <v>62100</v>
      </c>
      <c r="L19" s="3">
        <v>62400</v>
      </c>
      <c r="M19" s="3">
        <v>63300</v>
      </c>
      <c r="N19" s="3">
        <v>63300</v>
      </c>
      <c r="O19" s="3">
        <v>63680</v>
      </c>
      <c r="P19" s="3">
        <v>65580</v>
      </c>
      <c r="Q19" s="3">
        <v>69245.047600000005</v>
      </c>
      <c r="S19" s="7"/>
    </row>
    <row r="20" spans="1:19" x14ac:dyDescent="0.2">
      <c r="A20" s="2" t="s">
        <v>43</v>
      </c>
      <c r="B20" s="2" t="s">
        <v>22</v>
      </c>
      <c r="C20" s="2" t="s">
        <v>26</v>
      </c>
      <c r="D20" s="2" t="s">
        <v>27</v>
      </c>
      <c r="E20" s="3">
        <v>2796.1</v>
      </c>
      <c r="F20" s="3">
        <v>16463.7</v>
      </c>
      <c r="G20" s="3">
        <v>15522.78</v>
      </c>
      <c r="H20" s="3">
        <v>18653.73</v>
      </c>
      <c r="I20" s="3">
        <v>18625.5</v>
      </c>
      <c r="J20" s="3">
        <v>18332.530000000002</v>
      </c>
      <c r="K20" s="3">
        <v>18218.139999999996</v>
      </c>
      <c r="L20" s="3">
        <v>18736.050000000003</v>
      </c>
      <c r="M20" s="3">
        <v>18261.68</v>
      </c>
      <c r="N20" s="3">
        <v>19768.589999999993</v>
      </c>
      <c r="O20" s="3">
        <v>19166.850512820511</v>
      </c>
      <c r="P20" s="3">
        <v>19530.05</v>
      </c>
      <c r="Q20" s="3">
        <v>20088.622968515745</v>
      </c>
      <c r="S20" s="7"/>
    </row>
    <row r="21" spans="1:19" x14ac:dyDescent="0.2">
      <c r="A21" s="2" t="s">
        <v>43</v>
      </c>
      <c r="B21" s="2" t="s">
        <v>22</v>
      </c>
      <c r="C21" s="2" t="s">
        <v>28</v>
      </c>
      <c r="D21" s="2" t="s">
        <v>27</v>
      </c>
      <c r="E21" s="3">
        <v>0</v>
      </c>
      <c r="F21" s="3">
        <v>4784.4399999999996</v>
      </c>
      <c r="G21" s="3">
        <v>9410.52</v>
      </c>
      <c r="H21" s="3">
        <v>10021.349999999999</v>
      </c>
      <c r="I21" s="3">
        <v>10104.519999999999</v>
      </c>
      <c r="J21" s="3">
        <v>9981.68</v>
      </c>
      <c r="K21" s="3">
        <v>10142.84</v>
      </c>
      <c r="L21" s="3">
        <v>9759.7699999999986</v>
      </c>
      <c r="M21" s="3">
        <v>9749.73</v>
      </c>
      <c r="N21" s="3">
        <v>9902.0499999999993</v>
      </c>
      <c r="O21" s="3">
        <v>9662.4085470085465</v>
      </c>
      <c r="P21" s="3">
        <v>9767.1</v>
      </c>
      <c r="Q21" s="3">
        <v>9885.1038080959534</v>
      </c>
      <c r="S21" s="7"/>
    </row>
    <row r="22" spans="1:19" x14ac:dyDescent="0.2">
      <c r="A22" s="2" t="s">
        <v>43</v>
      </c>
      <c r="B22" s="2" t="s">
        <v>22</v>
      </c>
      <c r="C22" s="2" t="s">
        <v>29</v>
      </c>
      <c r="D22" s="2" t="s">
        <v>27</v>
      </c>
      <c r="E22" s="3">
        <v>253.01</v>
      </c>
      <c r="F22" s="3">
        <v>2051.1099999999997</v>
      </c>
      <c r="G22" s="3">
        <v>6040.4400000000005</v>
      </c>
      <c r="H22" s="3">
        <v>13221.1</v>
      </c>
      <c r="I22" s="3">
        <v>17255.5</v>
      </c>
      <c r="J22" s="3">
        <v>24039.300000000003</v>
      </c>
      <c r="K22" s="3">
        <v>28875.920000000006</v>
      </c>
      <c r="L22" s="3">
        <v>34445.01</v>
      </c>
      <c r="M22" s="3">
        <v>36498.22</v>
      </c>
      <c r="N22" s="3">
        <v>40393.149999999994</v>
      </c>
      <c r="O22" s="3">
        <v>40099.717692307684</v>
      </c>
      <c r="P22" s="3">
        <v>42510.79</v>
      </c>
      <c r="Q22" s="3">
        <v>44256.005457271356</v>
      </c>
      <c r="S22" s="7"/>
    </row>
    <row r="23" spans="1:19" x14ac:dyDescent="0.2">
      <c r="A23" s="2" t="s">
        <v>44</v>
      </c>
      <c r="B23" s="2" t="s">
        <v>33</v>
      </c>
      <c r="C23" s="2" t="s">
        <v>34</v>
      </c>
      <c r="D23" s="2" t="s">
        <v>45</v>
      </c>
      <c r="E23" s="3">
        <v>68340</v>
      </c>
      <c r="F23" s="3">
        <v>68760</v>
      </c>
      <c r="G23" s="3">
        <v>49560</v>
      </c>
      <c r="H23" s="3">
        <v>49560</v>
      </c>
      <c r="I23" s="3">
        <v>49560</v>
      </c>
      <c r="J23" s="3">
        <v>49560</v>
      </c>
      <c r="K23" s="3">
        <v>49560</v>
      </c>
      <c r="L23" s="3">
        <v>49560</v>
      </c>
      <c r="M23" s="3">
        <v>49560</v>
      </c>
      <c r="N23" s="3">
        <v>49560</v>
      </c>
      <c r="O23" s="3">
        <v>50560</v>
      </c>
      <c r="P23" s="3">
        <v>56175.49</v>
      </c>
      <c r="Q23" s="3">
        <v>59075.163200000025</v>
      </c>
      <c r="S23" s="7"/>
    </row>
    <row r="24" spans="1:19" x14ac:dyDescent="0.2">
      <c r="A24" s="2" t="s">
        <v>44</v>
      </c>
      <c r="B24" s="2" t="s">
        <v>22</v>
      </c>
      <c r="C24" s="2" t="s">
        <v>26</v>
      </c>
      <c r="D24" s="2" t="s">
        <v>45</v>
      </c>
      <c r="E24" s="3">
        <v>17391.719999999998</v>
      </c>
      <c r="F24" s="3">
        <v>16362.149999999996</v>
      </c>
      <c r="G24" s="3">
        <v>16061.699999999997</v>
      </c>
      <c r="H24" s="3">
        <v>18099.239999999998</v>
      </c>
      <c r="I24" s="3">
        <v>18708.63</v>
      </c>
      <c r="J24" s="3">
        <v>18675.780000000002</v>
      </c>
      <c r="K24" s="3">
        <v>18792.09</v>
      </c>
      <c r="L24" s="3">
        <v>18774.18</v>
      </c>
      <c r="M24" s="3">
        <v>18577.830000000002</v>
      </c>
      <c r="N24" s="3">
        <v>20489.720000000005</v>
      </c>
      <c r="O24" s="3">
        <v>19894.11581196581</v>
      </c>
      <c r="P24" s="3">
        <v>20389.039999999997</v>
      </c>
      <c r="Q24" s="3">
        <v>20816.021664167918</v>
      </c>
      <c r="S24" s="7"/>
    </row>
    <row r="25" spans="1:19" x14ac:dyDescent="0.2">
      <c r="A25" s="2" t="s">
        <v>44</v>
      </c>
      <c r="B25" s="2" t="s">
        <v>22</v>
      </c>
      <c r="C25" s="2" t="s">
        <v>29</v>
      </c>
      <c r="D25" s="2" t="s">
        <v>45</v>
      </c>
      <c r="E25" s="3">
        <v>13594.980000000001</v>
      </c>
      <c r="F25" s="3">
        <v>13298.509999999998</v>
      </c>
      <c r="G25" s="3">
        <v>10743.71</v>
      </c>
      <c r="H25" s="3">
        <v>9709.31</v>
      </c>
      <c r="I25" s="3">
        <v>11025.14</v>
      </c>
      <c r="J25" s="3">
        <v>10605.509999999997</v>
      </c>
      <c r="K25" s="3">
        <v>11275.200000000003</v>
      </c>
      <c r="L25" s="3">
        <v>12669.86</v>
      </c>
      <c r="M25" s="3">
        <v>11495.8</v>
      </c>
      <c r="N25" s="3">
        <v>13386.229999999996</v>
      </c>
      <c r="O25" s="3">
        <v>13453.080085470086</v>
      </c>
      <c r="P25" s="3">
        <v>13101.369999999999</v>
      </c>
      <c r="Q25" s="3">
        <v>13840.97700149925</v>
      </c>
      <c r="S25" s="7"/>
    </row>
    <row r="26" spans="1:19" x14ac:dyDescent="0.2">
      <c r="A26" s="2" t="s">
        <v>44</v>
      </c>
      <c r="B26" s="2" t="s">
        <v>22</v>
      </c>
      <c r="C26" s="2" t="s">
        <v>36</v>
      </c>
      <c r="D26" s="2" t="s">
        <v>45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6850</v>
      </c>
      <c r="N26" s="3">
        <v>11170.3</v>
      </c>
      <c r="O26" s="3">
        <v>11781.29811965812</v>
      </c>
      <c r="P26" s="3">
        <v>-19.559999999999377</v>
      </c>
      <c r="Q26" s="3">
        <v>11659.664227886056</v>
      </c>
      <c r="S26" s="7"/>
    </row>
    <row r="27" spans="1:19" x14ac:dyDescent="0.2">
      <c r="A27" s="2" t="s">
        <v>44</v>
      </c>
      <c r="B27" s="2" t="s">
        <v>22</v>
      </c>
      <c r="C27" s="2" t="s">
        <v>29</v>
      </c>
      <c r="D27" s="2" t="s">
        <v>45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1027.4900000000002</v>
      </c>
      <c r="N27" s="3">
        <v>1675.54</v>
      </c>
      <c r="O27" s="3">
        <v>1766.8194871794872</v>
      </c>
      <c r="P27" s="3">
        <v>-2.6300000000001944</v>
      </c>
      <c r="Q27" s="3">
        <v>1744.9320839580214</v>
      </c>
      <c r="S27" s="7"/>
    </row>
    <row r="28" spans="1:19" x14ac:dyDescent="0.2">
      <c r="A28" s="2" t="s">
        <v>46</v>
      </c>
      <c r="B28" s="2" t="s">
        <v>33</v>
      </c>
      <c r="C28" s="2" t="s">
        <v>34</v>
      </c>
      <c r="D28" s="2" t="s">
        <v>31</v>
      </c>
      <c r="E28" s="3">
        <v>53727</v>
      </c>
      <c r="F28" s="3">
        <v>54096</v>
      </c>
      <c r="G28" s="3">
        <v>55296</v>
      </c>
      <c r="H28" s="3">
        <v>55149</v>
      </c>
      <c r="I28" s="3">
        <v>55500</v>
      </c>
      <c r="J28" s="3">
        <v>55500</v>
      </c>
      <c r="K28" s="3">
        <v>55500</v>
      </c>
      <c r="L28" s="3">
        <v>55500</v>
      </c>
      <c r="M28" s="3">
        <v>55500</v>
      </c>
      <c r="N28" s="3">
        <v>57800</v>
      </c>
      <c r="O28" s="3">
        <v>60480</v>
      </c>
      <c r="P28" s="3">
        <v>65980</v>
      </c>
      <c r="Q28" s="3">
        <v>70005.285999999993</v>
      </c>
      <c r="S28" s="7"/>
    </row>
    <row r="29" spans="1:19" x14ac:dyDescent="0.2">
      <c r="A29" s="2" t="s">
        <v>47</v>
      </c>
      <c r="B29" s="2" t="s">
        <v>22</v>
      </c>
      <c r="C29" s="2" t="s">
        <v>36</v>
      </c>
      <c r="D29" s="2" t="s">
        <v>45</v>
      </c>
      <c r="E29" s="3">
        <v>0</v>
      </c>
      <c r="F29" s="3">
        <v>4389</v>
      </c>
      <c r="G29" s="3">
        <v>9488.82</v>
      </c>
      <c r="H29" s="3">
        <v>10363.920000000002</v>
      </c>
      <c r="I29" s="3">
        <v>10623.9</v>
      </c>
      <c r="J29" s="3">
        <v>10775.099999999999</v>
      </c>
      <c r="K29" s="3">
        <v>10845.3</v>
      </c>
      <c r="L29" s="3">
        <v>10569.899999999998</v>
      </c>
      <c r="M29" s="3">
        <v>10280.460000000001</v>
      </c>
      <c r="N29" s="3">
        <v>10281.660000000002</v>
      </c>
      <c r="O29" s="3">
        <v>10272.229914529915</v>
      </c>
      <c r="P29" s="3">
        <v>10524.64</v>
      </c>
      <c r="Q29" s="3">
        <v>10456.354167916041</v>
      </c>
      <c r="S29" s="7"/>
    </row>
    <row r="30" spans="1:19" x14ac:dyDescent="0.2">
      <c r="A30" s="2" t="s">
        <v>47</v>
      </c>
      <c r="B30" s="2" t="s">
        <v>22</v>
      </c>
      <c r="C30" s="2" t="s">
        <v>29</v>
      </c>
      <c r="D30" s="2" t="s">
        <v>45</v>
      </c>
      <c r="E30" s="3">
        <v>0</v>
      </c>
      <c r="F30" s="3">
        <v>3291.7200000000003</v>
      </c>
      <c r="G30" s="3">
        <v>8264.11</v>
      </c>
      <c r="H30" s="3">
        <v>12868.440000000002</v>
      </c>
      <c r="I30" s="3">
        <v>15287.880000000003</v>
      </c>
      <c r="J30" s="3">
        <v>17783.060000000001</v>
      </c>
      <c r="K30" s="3">
        <v>18301.410000000003</v>
      </c>
      <c r="L30" s="3">
        <v>18211.8</v>
      </c>
      <c r="M30" s="3">
        <v>18504.82</v>
      </c>
      <c r="N30" s="3">
        <v>14265.590000000002</v>
      </c>
      <c r="O30" s="3">
        <v>9223.5529914529925</v>
      </c>
      <c r="P30" s="3">
        <v>8684.6200000000008</v>
      </c>
      <c r="Q30" s="3">
        <v>8510.5630734632687</v>
      </c>
      <c r="S30" s="7"/>
    </row>
    <row r="31" spans="1:19" x14ac:dyDescent="0.2">
      <c r="A31" s="2" t="s">
        <v>47</v>
      </c>
      <c r="B31" s="2" t="s">
        <v>33</v>
      </c>
      <c r="C31" s="2" t="s">
        <v>48</v>
      </c>
      <c r="D31" s="2" t="s">
        <v>45</v>
      </c>
      <c r="E31" s="3">
        <v>0</v>
      </c>
      <c r="F31" s="3">
        <v>0</v>
      </c>
      <c r="G31" s="3">
        <v>15660.75</v>
      </c>
      <c r="H31" s="3">
        <v>63193.179999999993</v>
      </c>
      <c r="I31" s="3">
        <v>97880.709999999977</v>
      </c>
      <c r="J31" s="3">
        <v>112562.76000000001</v>
      </c>
      <c r="K31" s="3">
        <v>119744.26</v>
      </c>
      <c r="L31" s="3">
        <v>118626.26000000001</v>
      </c>
      <c r="M31" s="3">
        <v>121902.31</v>
      </c>
      <c r="N31" s="3">
        <v>162903.90999999997</v>
      </c>
      <c r="O31" s="3">
        <v>131535.6766666667</v>
      </c>
      <c r="P31" s="3">
        <v>151443.50999999998</v>
      </c>
      <c r="Q31" s="3">
        <v>152333.75694152928</v>
      </c>
      <c r="S31" s="7"/>
    </row>
    <row r="32" spans="1:19" x14ac:dyDescent="0.2">
      <c r="A32" s="2" t="s">
        <v>49</v>
      </c>
      <c r="B32" s="2" t="s">
        <v>33</v>
      </c>
      <c r="C32" s="2" t="s">
        <v>38</v>
      </c>
      <c r="D32" s="2" t="s">
        <v>24</v>
      </c>
      <c r="E32" s="3">
        <v>3600</v>
      </c>
      <c r="F32" s="3">
        <v>3600</v>
      </c>
      <c r="G32" s="3">
        <v>3600</v>
      </c>
      <c r="H32" s="3">
        <v>2800</v>
      </c>
      <c r="I32" s="3">
        <v>3200</v>
      </c>
      <c r="J32" s="3">
        <v>3600</v>
      </c>
      <c r="K32" s="3">
        <v>3600</v>
      </c>
      <c r="L32" s="3">
        <v>3600</v>
      </c>
      <c r="M32" s="3">
        <v>3400</v>
      </c>
      <c r="N32" s="3">
        <v>2400</v>
      </c>
      <c r="O32" s="3">
        <v>2404.4299999999998</v>
      </c>
      <c r="P32" s="3">
        <v>4004.43</v>
      </c>
      <c r="Q32" s="3">
        <v>4892.34</v>
      </c>
      <c r="S32" s="7"/>
    </row>
    <row r="33" spans="1:19" x14ac:dyDescent="0.2">
      <c r="A33" s="2" t="s">
        <v>49</v>
      </c>
      <c r="B33" s="2" t="s">
        <v>33</v>
      </c>
      <c r="C33" s="2" t="s">
        <v>34</v>
      </c>
      <c r="D33" s="2" t="s">
        <v>24</v>
      </c>
      <c r="E33" s="3">
        <v>2500</v>
      </c>
      <c r="F33" s="3">
        <v>69215</v>
      </c>
      <c r="G33" s="3">
        <v>75237</v>
      </c>
      <c r="H33" s="3">
        <v>79900</v>
      </c>
      <c r="I33" s="3">
        <v>106080</v>
      </c>
      <c r="J33" s="3">
        <v>106080</v>
      </c>
      <c r="K33" s="3">
        <v>106080</v>
      </c>
      <c r="L33" s="3">
        <v>106080</v>
      </c>
      <c r="M33" s="3">
        <v>93704</v>
      </c>
      <c r="N33" s="3">
        <v>93364</v>
      </c>
      <c r="O33" s="3">
        <v>97396.304000000004</v>
      </c>
      <c r="P33" s="3">
        <v>100528</v>
      </c>
      <c r="Q33" s="3">
        <v>105710.64000000001</v>
      </c>
      <c r="S33" s="7"/>
    </row>
    <row r="34" spans="1:19" x14ac:dyDescent="0.2">
      <c r="A34" s="2" t="s">
        <v>49</v>
      </c>
      <c r="B34" s="2" t="s">
        <v>22</v>
      </c>
      <c r="C34" s="2" t="s">
        <v>50</v>
      </c>
      <c r="D34" s="2" t="s">
        <v>24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20974.25</v>
      </c>
      <c r="P34" s="3">
        <v>18168.25</v>
      </c>
      <c r="Q34" s="3">
        <v>15572.579999999994</v>
      </c>
      <c r="S34" s="7"/>
    </row>
    <row r="35" spans="1:19" x14ac:dyDescent="0.2">
      <c r="A35" s="2" t="s">
        <v>49</v>
      </c>
      <c r="B35" s="2" t="s">
        <v>22</v>
      </c>
      <c r="C35" s="2" t="s">
        <v>29</v>
      </c>
      <c r="D35" s="2" t="s">
        <v>24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10318.86</v>
      </c>
      <c r="Q35" s="3">
        <v>15328.42</v>
      </c>
      <c r="S35" s="7"/>
    </row>
    <row r="36" spans="1:19" x14ac:dyDescent="0.2">
      <c r="A36" s="2" t="s">
        <v>51</v>
      </c>
      <c r="B36" s="2" t="s">
        <v>33</v>
      </c>
      <c r="C36" s="2" t="s">
        <v>34</v>
      </c>
      <c r="D36" s="2" t="s">
        <v>24</v>
      </c>
      <c r="E36" s="3">
        <v>110622</v>
      </c>
      <c r="F36" s="3">
        <v>131808</v>
      </c>
      <c r="G36" s="3">
        <v>136512</v>
      </c>
      <c r="H36" s="3">
        <v>88892</v>
      </c>
      <c r="I36" s="3">
        <v>91380</v>
      </c>
      <c r="J36" s="3">
        <v>107080</v>
      </c>
      <c r="K36" s="3">
        <v>116880</v>
      </c>
      <c r="L36" s="3">
        <v>114480</v>
      </c>
      <c r="M36" s="3">
        <v>105800</v>
      </c>
      <c r="N36" s="3">
        <v>107460</v>
      </c>
      <c r="O36" s="3">
        <v>110020</v>
      </c>
      <c r="P36" s="3">
        <v>113340</v>
      </c>
      <c r="Q36" s="3">
        <v>117409.59999999998</v>
      </c>
      <c r="S36" s="7"/>
    </row>
    <row r="37" spans="1:19" x14ac:dyDescent="0.2">
      <c r="A37" s="2" t="s">
        <v>51</v>
      </c>
      <c r="B37" s="2" t="s">
        <v>52</v>
      </c>
      <c r="C37" s="2" t="s">
        <v>53</v>
      </c>
      <c r="D37" s="2" t="s">
        <v>24</v>
      </c>
      <c r="E37" s="3">
        <v>0</v>
      </c>
      <c r="F37" s="3">
        <v>0</v>
      </c>
      <c r="G37" s="3">
        <v>0</v>
      </c>
      <c r="H37" s="3">
        <v>54132</v>
      </c>
      <c r="I37" s="3">
        <v>55039</v>
      </c>
      <c r="J37" s="3">
        <v>54900</v>
      </c>
      <c r="K37" s="3">
        <v>54900</v>
      </c>
      <c r="L37" s="3">
        <v>54900</v>
      </c>
      <c r="M37" s="3">
        <v>56660</v>
      </c>
      <c r="N37" s="3">
        <v>61395</v>
      </c>
      <c r="O37" s="3">
        <v>74720</v>
      </c>
      <c r="P37" s="3">
        <v>76960</v>
      </c>
      <c r="Q37" s="3">
        <v>79710.400000000009</v>
      </c>
      <c r="S37" s="7"/>
    </row>
    <row r="38" spans="1:19" x14ac:dyDescent="0.2">
      <c r="A38" s="2" t="s">
        <v>54</v>
      </c>
      <c r="B38" s="2" t="s">
        <v>22</v>
      </c>
      <c r="C38" s="2" t="s">
        <v>23</v>
      </c>
      <c r="D38" s="2" t="s">
        <v>55</v>
      </c>
      <c r="E38" s="3">
        <v>27000</v>
      </c>
      <c r="F38" s="3">
        <v>21400</v>
      </c>
      <c r="G38" s="3">
        <v>27262.5</v>
      </c>
      <c r="H38" s="3">
        <v>20036.5</v>
      </c>
      <c r="I38" s="3">
        <v>19800</v>
      </c>
      <c r="J38" s="3">
        <v>19800</v>
      </c>
      <c r="K38" s="3">
        <v>19800</v>
      </c>
      <c r="L38" s="3">
        <v>17400</v>
      </c>
      <c r="M38" s="3">
        <v>15000</v>
      </c>
      <c r="N38" s="3">
        <v>15000</v>
      </c>
      <c r="O38" s="3">
        <v>16291.77</v>
      </c>
      <c r="P38" s="3">
        <v>15000.2</v>
      </c>
      <c r="Q38" s="3">
        <v>4958.2299999999996</v>
      </c>
      <c r="S38" s="7"/>
    </row>
    <row r="39" spans="1:19" x14ac:dyDescent="0.2">
      <c r="A39" s="2" t="s">
        <v>54</v>
      </c>
      <c r="B39" s="2" t="s">
        <v>22</v>
      </c>
      <c r="C39" s="2" t="s">
        <v>28</v>
      </c>
      <c r="D39" s="2" t="s">
        <v>55</v>
      </c>
      <c r="E39" s="3">
        <v>3600</v>
      </c>
      <c r="F39" s="3">
        <v>13600</v>
      </c>
      <c r="G39" s="3">
        <v>12600</v>
      </c>
      <c r="H39" s="3">
        <v>4600</v>
      </c>
      <c r="I39" s="3">
        <v>3600</v>
      </c>
      <c r="J39" s="3">
        <v>3600</v>
      </c>
      <c r="K39" s="3">
        <v>3600</v>
      </c>
      <c r="L39" s="3">
        <v>3600</v>
      </c>
      <c r="M39" s="3">
        <v>3600</v>
      </c>
      <c r="N39" s="3">
        <v>3600</v>
      </c>
      <c r="O39" s="3">
        <v>3007.12</v>
      </c>
      <c r="P39" s="3">
        <v>4570.880000000001</v>
      </c>
      <c r="Q39" s="3">
        <v>3782.42</v>
      </c>
      <c r="S39" s="7"/>
    </row>
    <row r="40" spans="1:19" x14ac:dyDescent="0.2">
      <c r="A40" s="2" t="s">
        <v>54</v>
      </c>
      <c r="B40" s="2" t="s">
        <v>22</v>
      </c>
      <c r="C40" s="2" t="s">
        <v>28</v>
      </c>
      <c r="D40" s="2" t="s">
        <v>55</v>
      </c>
      <c r="E40" s="3">
        <v>0</v>
      </c>
      <c r="F40" s="3">
        <v>0</v>
      </c>
      <c r="G40" s="3">
        <v>0</v>
      </c>
      <c r="H40" s="3">
        <v>12182.5</v>
      </c>
      <c r="I40" s="3">
        <v>13419</v>
      </c>
      <c r="J40" s="3">
        <v>13502.34</v>
      </c>
      <c r="K40" s="3">
        <v>14418.99</v>
      </c>
      <c r="L40" s="3">
        <v>14419</v>
      </c>
      <c r="M40" s="3">
        <v>14419</v>
      </c>
      <c r="N40" s="3">
        <v>14419</v>
      </c>
      <c r="O40" s="3">
        <v>15660.56</v>
      </c>
      <c r="P40" s="3">
        <v>14419.3</v>
      </c>
      <c r="Q40" s="3">
        <v>4766.38</v>
      </c>
      <c r="S40" s="7"/>
    </row>
    <row r="41" spans="1:19" x14ac:dyDescent="0.2">
      <c r="A41" s="2" t="s">
        <v>56</v>
      </c>
      <c r="B41" s="2" t="s">
        <v>22</v>
      </c>
      <c r="C41" s="2" t="s">
        <v>36</v>
      </c>
      <c r="D41" s="2" t="s">
        <v>57</v>
      </c>
      <c r="E41" s="3">
        <v>9938.65</v>
      </c>
      <c r="F41" s="3">
        <v>10950.770000000002</v>
      </c>
      <c r="G41" s="3">
        <v>11031.06</v>
      </c>
      <c r="H41" s="3">
        <v>12314.699999999997</v>
      </c>
      <c r="I41" s="3">
        <v>12726.929999999998</v>
      </c>
      <c r="J41" s="3">
        <v>12652.82</v>
      </c>
      <c r="K41" s="3">
        <v>13340.17</v>
      </c>
      <c r="L41" s="3">
        <v>12588.809999999998</v>
      </c>
      <c r="M41" s="3">
        <v>12230.74</v>
      </c>
      <c r="N41" s="3">
        <v>12592.76</v>
      </c>
      <c r="O41" s="3">
        <v>13009.377777777776</v>
      </c>
      <c r="P41" s="3">
        <v>12446.61</v>
      </c>
      <c r="Q41" s="3">
        <v>23307.100794602706</v>
      </c>
      <c r="S41" s="7"/>
    </row>
    <row r="42" spans="1:19" x14ac:dyDescent="0.2">
      <c r="A42" s="2" t="s">
        <v>56</v>
      </c>
      <c r="B42" s="2" t="s">
        <v>22</v>
      </c>
      <c r="C42" s="2" t="s">
        <v>29</v>
      </c>
      <c r="D42" s="2" t="s">
        <v>57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4560</v>
      </c>
      <c r="L42" s="3">
        <v>7081.2000000000007</v>
      </c>
      <c r="M42" s="3">
        <v>6181.0299999999988</v>
      </c>
      <c r="N42" s="3">
        <v>6296.3700000000008</v>
      </c>
      <c r="O42" s="3">
        <v>6446.96</v>
      </c>
      <c r="P42" s="3">
        <v>5939.0599999999995</v>
      </c>
      <c r="Q42" s="3">
        <v>8410.99</v>
      </c>
      <c r="S42" s="7"/>
    </row>
    <row r="43" spans="1:19" x14ac:dyDescent="0.2">
      <c r="A43" s="2" t="s">
        <v>58</v>
      </c>
      <c r="B43" s="2" t="s">
        <v>22</v>
      </c>
      <c r="C43" s="2" t="s">
        <v>26</v>
      </c>
      <c r="D43" s="2" t="s">
        <v>57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10508.68</v>
      </c>
      <c r="K43" s="3">
        <v>6004.96</v>
      </c>
      <c r="L43" s="3">
        <v>0</v>
      </c>
      <c r="M43" s="3">
        <v>0</v>
      </c>
      <c r="N43" s="3">
        <v>13554.310000000001</v>
      </c>
      <c r="O43" s="3">
        <v>20703.099999999999</v>
      </c>
      <c r="P43" s="3">
        <v>19241.88</v>
      </c>
      <c r="Q43" s="3">
        <v>21414.36</v>
      </c>
      <c r="S43" s="7"/>
    </row>
    <row r="44" spans="1:19" x14ac:dyDescent="0.2">
      <c r="A44" s="2" t="s">
        <v>58</v>
      </c>
      <c r="B44" s="2" t="s">
        <v>22</v>
      </c>
      <c r="C44" s="2" t="s">
        <v>29</v>
      </c>
      <c r="D44" s="2" t="s">
        <v>57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19365.990000000002</v>
      </c>
      <c r="K44" s="3">
        <v>11066.28</v>
      </c>
      <c r="L44" s="3">
        <v>0</v>
      </c>
      <c r="M44" s="3">
        <v>0</v>
      </c>
      <c r="N44" s="3">
        <v>33111.22</v>
      </c>
      <c r="O44" s="3">
        <v>45215.5</v>
      </c>
      <c r="P44" s="3">
        <v>41688.320000000007</v>
      </c>
      <c r="Q44" s="3">
        <v>47683.39</v>
      </c>
      <c r="S44" s="7"/>
    </row>
    <row r="45" spans="1:19" x14ac:dyDescent="0.2">
      <c r="A45" s="2" t="s">
        <v>59</v>
      </c>
      <c r="B45" s="2" t="s">
        <v>33</v>
      </c>
      <c r="C45" s="2" t="s">
        <v>34</v>
      </c>
      <c r="D45" s="2" t="s">
        <v>24</v>
      </c>
      <c r="E45" s="3">
        <v>74520</v>
      </c>
      <c r="F45" s="3">
        <v>74520</v>
      </c>
      <c r="G45" s="3">
        <v>74520</v>
      </c>
      <c r="H45" s="3">
        <v>74520</v>
      </c>
      <c r="I45" s="3">
        <v>74520</v>
      </c>
      <c r="J45" s="3">
        <v>74520</v>
      </c>
      <c r="K45" s="3">
        <v>74520</v>
      </c>
      <c r="L45" s="3">
        <v>74520</v>
      </c>
      <c r="M45" s="3">
        <v>75760</v>
      </c>
      <c r="N45" s="3">
        <v>78240</v>
      </c>
      <c r="O45" s="3">
        <v>78690</v>
      </c>
      <c r="P45" s="3">
        <v>80077.5</v>
      </c>
      <c r="Q45" s="3">
        <v>80715.439999999988</v>
      </c>
      <c r="S45" s="7"/>
    </row>
    <row r="46" spans="1:19" x14ac:dyDescent="0.2">
      <c r="A46" s="2" t="s">
        <v>60</v>
      </c>
      <c r="B46" s="2" t="s">
        <v>22</v>
      </c>
      <c r="C46" s="2" t="s">
        <v>28</v>
      </c>
      <c r="D46" s="2" t="s">
        <v>31</v>
      </c>
      <c r="E46" s="3">
        <v>2250</v>
      </c>
      <c r="F46" s="3">
        <v>3000</v>
      </c>
      <c r="G46" s="3">
        <v>3000</v>
      </c>
      <c r="H46" s="3">
        <v>3000</v>
      </c>
      <c r="I46" s="3">
        <v>3000</v>
      </c>
      <c r="J46" s="3">
        <v>3000</v>
      </c>
      <c r="K46" s="3">
        <v>3000</v>
      </c>
      <c r="L46" s="3">
        <v>3000</v>
      </c>
      <c r="M46" s="3">
        <v>3000</v>
      </c>
      <c r="N46" s="3">
        <v>3000</v>
      </c>
      <c r="O46" s="3">
        <v>3008.08</v>
      </c>
      <c r="P46" s="3">
        <v>741.92</v>
      </c>
      <c r="Q46" s="3">
        <v>0</v>
      </c>
      <c r="S46" s="7"/>
    </row>
    <row r="47" spans="1:19" x14ac:dyDescent="0.2">
      <c r="A47" s="2" t="s">
        <v>61</v>
      </c>
      <c r="B47" s="2" t="s">
        <v>33</v>
      </c>
      <c r="C47" s="2" t="s">
        <v>34</v>
      </c>
      <c r="D47" s="2" t="s">
        <v>24</v>
      </c>
      <c r="E47" s="3">
        <v>9000</v>
      </c>
      <c r="F47" s="3">
        <v>68000</v>
      </c>
      <c r="G47" s="3">
        <v>85200</v>
      </c>
      <c r="H47" s="3">
        <v>85200</v>
      </c>
      <c r="I47" s="3">
        <v>85200</v>
      </c>
      <c r="J47" s="3">
        <v>85200</v>
      </c>
      <c r="K47" s="3">
        <v>85200</v>
      </c>
      <c r="L47" s="3">
        <v>85200</v>
      </c>
      <c r="M47" s="3">
        <v>85200</v>
      </c>
      <c r="N47" s="3">
        <v>85200</v>
      </c>
      <c r="O47" s="3">
        <v>89886</v>
      </c>
      <c r="P47" s="3">
        <v>90312</v>
      </c>
      <c r="Q47" s="3">
        <v>93607.39999999998</v>
      </c>
      <c r="S47" s="7"/>
    </row>
    <row r="48" spans="1:19" x14ac:dyDescent="0.2">
      <c r="A48" s="2" t="s">
        <v>61</v>
      </c>
      <c r="B48" s="2" t="s">
        <v>22</v>
      </c>
      <c r="C48" s="2" t="s">
        <v>50</v>
      </c>
      <c r="D48" s="2" t="s">
        <v>24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10664.99</v>
      </c>
      <c r="P48" s="3">
        <v>8649.7499999999982</v>
      </c>
      <c r="Q48" s="3">
        <v>8092.8599999999979</v>
      </c>
      <c r="S48" s="7"/>
    </row>
    <row r="49" spans="1:19" x14ac:dyDescent="0.2">
      <c r="A49" s="2" t="s">
        <v>61</v>
      </c>
      <c r="B49" s="2" t="s">
        <v>22</v>
      </c>
      <c r="C49" s="2" t="s">
        <v>29</v>
      </c>
      <c r="D49" s="2" t="s">
        <v>24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4418.6399999999994</v>
      </c>
      <c r="Q49" s="3">
        <v>5101.3600000000006</v>
      </c>
      <c r="S49" s="7"/>
    </row>
    <row r="50" spans="1:19" x14ac:dyDescent="0.2">
      <c r="A50" s="2" t="s">
        <v>62</v>
      </c>
      <c r="B50" s="2" t="s">
        <v>33</v>
      </c>
      <c r="C50" s="2" t="s">
        <v>34</v>
      </c>
      <c r="D50" s="2" t="s">
        <v>55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2500</v>
      </c>
      <c r="O50" s="3">
        <v>0</v>
      </c>
      <c r="P50" s="3">
        <v>13250</v>
      </c>
      <c r="Q50" s="3">
        <v>27080</v>
      </c>
      <c r="S50" s="7"/>
    </row>
    <row r="51" spans="1:19" x14ac:dyDescent="0.2">
      <c r="A51" s="2" t="s">
        <v>62</v>
      </c>
      <c r="B51" s="2" t="s">
        <v>22</v>
      </c>
      <c r="C51" s="2" t="s">
        <v>50</v>
      </c>
      <c r="D51" s="2" t="s">
        <v>55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12750</v>
      </c>
      <c r="Q51" s="3">
        <v>25575</v>
      </c>
      <c r="S51" s="7"/>
    </row>
    <row r="52" spans="1:19" x14ac:dyDescent="0.2">
      <c r="A52" s="2" t="s">
        <v>62</v>
      </c>
      <c r="B52" s="2" t="s">
        <v>22</v>
      </c>
      <c r="C52" s="2" t="s">
        <v>63</v>
      </c>
      <c r="D52" s="2" t="s">
        <v>55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10500</v>
      </c>
      <c r="Q52" s="3">
        <v>21065</v>
      </c>
      <c r="S52" s="7"/>
    </row>
    <row r="53" spans="1:19" x14ac:dyDescent="0.2">
      <c r="A53" s="2" t="s">
        <v>64</v>
      </c>
      <c r="B53" s="2" t="s">
        <v>22</v>
      </c>
      <c r="C53" s="2" t="s">
        <v>26</v>
      </c>
      <c r="D53" s="2" t="s">
        <v>24</v>
      </c>
      <c r="E53" s="3">
        <v>18849.800000000003</v>
      </c>
      <c r="F53" s="3">
        <v>18850</v>
      </c>
      <c r="G53" s="3">
        <v>18850</v>
      </c>
      <c r="H53" s="3">
        <v>18850</v>
      </c>
      <c r="I53" s="3">
        <v>19320.82</v>
      </c>
      <c r="J53" s="3">
        <v>19852.5</v>
      </c>
      <c r="K53" s="3">
        <v>19940</v>
      </c>
      <c r="L53" s="3">
        <v>19940</v>
      </c>
      <c r="M53" s="3">
        <v>20440</v>
      </c>
      <c r="N53" s="3">
        <v>21048.34</v>
      </c>
      <c r="O53" s="3">
        <v>21786.240000000002</v>
      </c>
      <c r="P53" s="3">
        <v>22332.739999999998</v>
      </c>
      <c r="Q53" s="3">
        <v>23218.467999999997</v>
      </c>
      <c r="S53" s="7"/>
    </row>
    <row r="54" spans="1:19" x14ac:dyDescent="0.2">
      <c r="A54" s="2" t="s">
        <v>64</v>
      </c>
      <c r="B54" s="2" t="s">
        <v>22</v>
      </c>
      <c r="C54" s="2" t="s">
        <v>39</v>
      </c>
      <c r="D54" s="2" t="s">
        <v>24</v>
      </c>
      <c r="E54" s="3">
        <v>396911.44</v>
      </c>
      <c r="F54" s="3">
        <v>319355</v>
      </c>
      <c r="G54" s="3">
        <v>322977.36000000004</v>
      </c>
      <c r="H54" s="3">
        <v>356000.59</v>
      </c>
      <c r="I54" s="3">
        <v>333352.68</v>
      </c>
      <c r="J54" s="3">
        <v>321693.0400000001</v>
      </c>
      <c r="K54" s="3">
        <v>329542.00000000012</v>
      </c>
      <c r="L54" s="3">
        <v>334716.64000000007</v>
      </c>
      <c r="M54" s="3">
        <v>342541.63999999996</v>
      </c>
      <c r="N54" s="3">
        <v>359886.22</v>
      </c>
      <c r="O54" s="3">
        <v>394648.20200000011</v>
      </c>
      <c r="P54" s="3">
        <v>373946.45999999996</v>
      </c>
      <c r="Q54" s="3">
        <v>390584.21128000005</v>
      </c>
      <c r="S54" s="7"/>
    </row>
    <row r="55" spans="1:19" x14ac:dyDescent="0.2">
      <c r="A55" s="2" t="s">
        <v>64</v>
      </c>
      <c r="B55" s="2" t="s">
        <v>22</v>
      </c>
      <c r="C55" s="2" t="s">
        <v>28</v>
      </c>
      <c r="D55" s="2" t="s">
        <v>24</v>
      </c>
      <c r="E55" s="3">
        <v>0</v>
      </c>
      <c r="F55" s="3">
        <v>0</v>
      </c>
      <c r="G55" s="3">
        <v>25925.010000000009</v>
      </c>
      <c r="H55" s="3">
        <v>25900.000000000007</v>
      </c>
      <c r="I55" s="3">
        <v>26481.229999999996</v>
      </c>
      <c r="J55" s="3">
        <v>27181.249999999993</v>
      </c>
      <c r="K55" s="3">
        <v>27349.999999999993</v>
      </c>
      <c r="L55" s="3">
        <v>27349.999999999993</v>
      </c>
      <c r="M55" s="3">
        <v>28427.020000000004</v>
      </c>
      <c r="N55" s="3">
        <v>29546.500000000007</v>
      </c>
      <c r="O55" s="3">
        <v>30204.33</v>
      </c>
      <c r="P55" s="3">
        <v>30875.500000000004</v>
      </c>
      <c r="Q55" s="3">
        <v>32093.812559999998</v>
      </c>
      <c r="S55" s="7"/>
    </row>
    <row r="56" spans="1:19" x14ac:dyDescent="0.2">
      <c r="A56" s="2" t="s">
        <v>64</v>
      </c>
      <c r="B56" s="2" t="s">
        <v>22</v>
      </c>
      <c r="C56" s="2" t="s">
        <v>63</v>
      </c>
      <c r="D56" s="2" t="s">
        <v>24</v>
      </c>
      <c r="E56" s="3">
        <v>0</v>
      </c>
      <c r="F56" s="3">
        <v>0</v>
      </c>
      <c r="G56" s="3">
        <v>58984.869999999988</v>
      </c>
      <c r="H56" s="3">
        <v>44599.94000000001</v>
      </c>
      <c r="I56" s="3">
        <v>47935.000000000015</v>
      </c>
      <c r="J56" s="3">
        <v>54632.479999999989</v>
      </c>
      <c r="K56" s="3">
        <v>55849.999999999993</v>
      </c>
      <c r="L56" s="3">
        <v>59449.999999999993</v>
      </c>
      <c r="M56" s="3">
        <v>70310</v>
      </c>
      <c r="N56" s="3">
        <v>58823.749999999993</v>
      </c>
      <c r="O56" s="3">
        <v>73069.08</v>
      </c>
      <c r="P56" s="3">
        <v>92921.69</v>
      </c>
      <c r="Q56" s="3">
        <v>93088.38</v>
      </c>
      <c r="S56" s="7"/>
    </row>
    <row r="57" spans="1:19" x14ac:dyDescent="0.2">
      <c r="A57" s="2" t="s">
        <v>64</v>
      </c>
      <c r="B57" s="2" t="s">
        <v>22</v>
      </c>
      <c r="C57" s="2" t="s">
        <v>29</v>
      </c>
      <c r="D57" s="2" t="s">
        <v>24</v>
      </c>
      <c r="E57" s="3">
        <v>16400</v>
      </c>
      <c r="F57" s="3">
        <v>16800</v>
      </c>
      <c r="G57" s="3">
        <v>19342.84</v>
      </c>
      <c r="H57" s="3">
        <v>18125.5</v>
      </c>
      <c r="I57" s="3">
        <v>19116.659999999996</v>
      </c>
      <c r="J57" s="3">
        <v>20136.68</v>
      </c>
      <c r="K57" s="3">
        <v>21907.5</v>
      </c>
      <c r="L57" s="3">
        <v>24870.819999999992</v>
      </c>
      <c r="M57" s="3">
        <v>27158.34</v>
      </c>
      <c r="N57" s="3">
        <v>33272.5</v>
      </c>
      <c r="O57" s="3">
        <v>37784.039999999994</v>
      </c>
      <c r="P57" s="3">
        <v>41545.100000000006</v>
      </c>
      <c r="Q57" s="3">
        <v>41067.990800000007</v>
      </c>
      <c r="S57" s="7"/>
    </row>
    <row r="58" spans="1:19" x14ac:dyDescent="0.2">
      <c r="A58" s="2" t="s">
        <v>64</v>
      </c>
      <c r="B58" s="2" t="s">
        <v>22</v>
      </c>
      <c r="C58" s="2" t="s">
        <v>36</v>
      </c>
      <c r="D58" s="2" t="s">
        <v>24</v>
      </c>
      <c r="E58" s="3">
        <v>0</v>
      </c>
      <c r="F58" s="3">
        <v>0</v>
      </c>
      <c r="G58" s="3">
        <v>0</v>
      </c>
      <c r="H58" s="3">
        <v>8493</v>
      </c>
      <c r="I58" s="3">
        <v>6250</v>
      </c>
      <c r="J58" s="3">
        <v>17291.280000000002</v>
      </c>
      <c r="K58" s="3">
        <v>23449.879999999997</v>
      </c>
      <c r="L58" s="3">
        <v>23450</v>
      </c>
      <c r="M58" s="3">
        <v>23979.18</v>
      </c>
      <c r="N58" s="3">
        <v>14175.009999999998</v>
      </c>
      <c r="O58" s="3">
        <v>11456.938</v>
      </c>
      <c r="P58" s="3">
        <v>11723.07</v>
      </c>
      <c r="Q58" s="3">
        <v>12247.983447680002</v>
      </c>
      <c r="S58" s="7"/>
    </row>
    <row r="59" spans="1:19" x14ac:dyDescent="0.2">
      <c r="A59" s="2" t="s">
        <v>64</v>
      </c>
      <c r="B59" s="2" t="s">
        <v>22</v>
      </c>
      <c r="C59" s="2" t="s">
        <v>29</v>
      </c>
      <c r="D59" s="2" t="s">
        <v>24</v>
      </c>
      <c r="E59" s="3">
        <v>0</v>
      </c>
      <c r="F59" s="3">
        <v>0</v>
      </c>
      <c r="G59" s="3">
        <v>0</v>
      </c>
      <c r="H59" s="3">
        <v>790.00000000000011</v>
      </c>
      <c r="I59" s="3">
        <v>675</v>
      </c>
      <c r="J59" s="3">
        <v>4425.8799999999992</v>
      </c>
      <c r="K59" s="3">
        <v>8300.77</v>
      </c>
      <c r="L59" s="3">
        <v>9130</v>
      </c>
      <c r="M59" s="3">
        <v>9338.35</v>
      </c>
      <c r="N59" s="3">
        <v>9026.6500000000015</v>
      </c>
      <c r="O59" s="3">
        <v>9008.2459999999992</v>
      </c>
      <c r="P59" s="3">
        <v>9241.34</v>
      </c>
      <c r="Q59" s="3">
        <v>9448.0574393600018</v>
      </c>
      <c r="S59" s="7"/>
    </row>
    <row r="60" spans="1:19" x14ac:dyDescent="0.2">
      <c r="A60" s="2" t="s">
        <v>64</v>
      </c>
      <c r="B60" s="2" t="s">
        <v>22</v>
      </c>
      <c r="C60" s="2" t="s">
        <v>29</v>
      </c>
      <c r="D60" s="2" t="s">
        <v>24</v>
      </c>
      <c r="E60" s="3">
        <v>0</v>
      </c>
      <c r="F60" s="3">
        <v>0</v>
      </c>
      <c r="G60" s="3">
        <v>2468.92</v>
      </c>
      <c r="H60" s="3">
        <v>5073.1899999999996</v>
      </c>
      <c r="I60" s="3">
        <v>5837.49</v>
      </c>
      <c r="J60" s="3">
        <v>7222.5</v>
      </c>
      <c r="K60" s="3">
        <v>7470</v>
      </c>
      <c r="L60" s="3">
        <v>7470</v>
      </c>
      <c r="M60" s="3">
        <v>6356.25</v>
      </c>
      <c r="N60" s="3">
        <v>6116.2599999999993</v>
      </c>
      <c r="O60" s="3">
        <v>9727.6</v>
      </c>
      <c r="P60" s="3">
        <v>14487.650000000001</v>
      </c>
      <c r="Q60" s="3">
        <v>14805.43</v>
      </c>
      <c r="S60" s="7"/>
    </row>
    <row r="61" spans="1:19" x14ac:dyDescent="0.2">
      <c r="A61" s="2" t="s">
        <v>65</v>
      </c>
      <c r="B61" s="2" t="s">
        <v>33</v>
      </c>
      <c r="C61" s="2" t="s">
        <v>34</v>
      </c>
      <c r="D61" s="2" t="s">
        <v>66</v>
      </c>
      <c r="E61" s="3">
        <v>15842.26</v>
      </c>
      <c r="F61" s="3">
        <v>29336.120000000003</v>
      </c>
      <c r="G61" s="3">
        <v>34670.32</v>
      </c>
      <c r="H61" s="3">
        <v>36920.720000000001</v>
      </c>
      <c r="I61" s="3">
        <v>37227.18</v>
      </c>
      <c r="J61" s="3">
        <v>36774.639999999992</v>
      </c>
      <c r="K61" s="3">
        <v>37368.339999999997</v>
      </c>
      <c r="L61" s="3">
        <v>35957.07</v>
      </c>
      <c r="M61" s="3">
        <v>35920.050000000003</v>
      </c>
      <c r="N61" s="3">
        <v>36481.19</v>
      </c>
      <c r="O61" s="3">
        <v>35670.105982905981</v>
      </c>
      <c r="P61" s="3">
        <v>35983.999999999993</v>
      </c>
      <c r="Q61" s="3">
        <v>37631.978485757121</v>
      </c>
      <c r="S61" s="7"/>
    </row>
    <row r="62" spans="1:19" x14ac:dyDescent="0.2">
      <c r="A62" s="2" t="s">
        <v>65</v>
      </c>
      <c r="B62" s="2" t="s">
        <v>22</v>
      </c>
      <c r="C62" s="2" t="s">
        <v>36</v>
      </c>
      <c r="D62" s="2" t="s">
        <v>66</v>
      </c>
      <c r="E62" s="3">
        <v>10240.650000000001</v>
      </c>
      <c r="F62" s="3">
        <v>9583.8200000000015</v>
      </c>
      <c r="G62" s="3">
        <v>9549.7900000000009</v>
      </c>
      <c r="H62" s="3">
        <v>10884.34</v>
      </c>
      <c r="I62" s="3">
        <v>11047.01</v>
      </c>
      <c r="J62" s="3">
        <v>11027.63</v>
      </c>
      <c r="K62" s="3">
        <v>11096.280000000002</v>
      </c>
      <c r="L62" s="3">
        <v>11085.7</v>
      </c>
      <c r="M62" s="3">
        <v>10969.72</v>
      </c>
      <c r="N62" s="3">
        <v>12098.699999999997</v>
      </c>
      <c r="O62" s="3">
        <v>11830.190769230769</v>
      </c>
      <c r="P62" s="3">
        <v>11944.35</v>
      </c>
      <c r="Q62" s="3">
        <v>11992.388575712144</v>
      </c>
      <c r="S62" s="7"/>
    </row>
    <row r="63" spans="1:19" x14ac:dyDescent="0.2">
      <c r="A63" s="2" t="s">
        <v>65</v>
      </c>
      <c r="B63" s="2" t="s">
        <v>22</v>
      </c>
      <c r="C63" s="2" t="s">
        <v>29</v>
      </c>
      <c r="D63" s="2" t="s">
        <v>66</v>
      </c>
      <c r="E63" s="3">
        <v>784.51</v>
      </c>
      <c r="F63" s="3">
        <v>1258.5700000000002</v>
      </c>
      <c r="G63" s="3">
        <v>2926.4900000000007</v>
      </c>
      <c r="H63" s="3">
        <v>3335.5200000000004</v>
      </c>
      <c r="I63" s="3">
        <v>2963.1400000000003</v>
      </c>
      <c r="J63" s="3">
        <v>2324.16</v>
      </c>
      <c r="K63" s="3">
        <v>4250.5700000000006</v>
      </c>
      <c r="L63" s="3">
        <v>4246.5999999999995</v>
      </c>
      <c r="M63" s="3">
        <v>4202.0999999999985</v>
      </c>
      <c r="N63" s="3">
        <v>4634.5599999999995</v>
      </c>
      <c r="O63" s="3">
        <v>4530.6561538461547</v>
      </c>
      <c r="P63" s="3">
        <v>4881.07</v>
      </c>
      <c r="Q63" s="3">
        <v>4590.3292203898045</v>
      </c>
      <c r="S63" s="7"/>
    </row>
    <row r="64" spans="1:19" x14ac:dyDescent="0.2">
      <c r="A64" s="2" t="s">
        <v>67</v>
      </c>
      <c r="B64" s="2" t="s">
        <v>22</v>
      </c>
      <c r="C64" s="2" t="s">
        <v>68</v>
      </c>
      <c r="D64" s="2" t="s">
        <v>69</v>
      </c>
      <c r="E64" s="3">
        <v>108833.68999999999</v>
      </c>
      <c r="F64" s="3">
        <v>198950.13</v>
      </c>
      <c r="G64" s="3">
        <v>229376.99000000002</v>
      </c>
      <c r="H64" s="3">
        <v>32157.69</v>
      </c>
      <c r="I64" s="3">
        <v>177412.24999999997</v>
      </c>
      <c r="J64" s="3">
        <v>246573.84000000003</v>
      </c>
      <c r="K64" s="3">
        <v>207880.61000000002</v>
      </c>
      <c r="L64" s="3">
        <v>142937.72</v>
      </c>
      <c r="M64" s="3">
        <v>139314.34</v>
      </c>
      <c r="N64" s="3">
        <v>148364.78</v>
      </c>
      <c r="O64" s="3">
        <v>173847.67999999999</v>
      </c>
      <c r="P64" s="3">
        <v>0</v>
      </c>
      <c r="Q64" s="3">
        <v>0</v>
      </c>
      <c r="S64" s="7"/>
    </row>
    <row r="65" spans="1:19" x14ac:dyDescent="0.2">
      <c r="A65" s="2" t="s">
        <v>70</v>
      </c>
      <c r="B65" s="2" t="s">
        <v>33</v>
      </c>
      <c r="C65" s="2" t="s">
        <v>38</v>
      </c>
      <c r="D65" s="2" t="s">
        <v>66</v>
      </c>
      <c r="E65" s="3">
        <v>7200</v>
      </c>
      <c r="F65" s="3">
        <v>5400</v>
      </c>
      <c r="G65" s="3">
        <v>5400</v>
      </c>
      <c r="H65" s="3">
        <v>5400</v>
      </c>
      <c r="I65" s="3">
        <v>5400</v>
      </c>
      <c r="J65" s="3">
        <v>3600</v>
      </c>
      <c r="K65" s="3">
        <v>2700</v>
      </c>
      <c r="L65" s="3">
        <v>2700</v>
      </c>
      <c r="M65" s="3">
        <v>2700</v>
      </c>
      <c r="N65" s="3">
        <v>2700</v>
      </c>
      <c r="O65" s="3">
        <v>2713</v>
      </c>
      <c r="P65" s="3">
        <v>-39.149999999999864</v>
      </c>
      <c r="Q65" s="3">
        <v>2828.9379999999992</v>
      </c>
      <c r="S65" s="7"/>
    </row>
    <row r="66" spans="1:19" x14ac:dyDescent="0.2">
      <c r="A66" s="2" t="s">
        <v>71</v>
      </c>
      <c r="B66" s="2" t="s">
        <v>33</v>
      </c>
      <c r="C66" s="2" t="s">
        <v>48</v>
      </c>
      <c r="D66" s="2" t="s">
        <v>72</v>
      </c>
      <c r="E66" s="3">
        <v>0</v>
      </c>
      <c r="F66" s="3">
        <v>64500</v>
      </c>
      <c r="G66" s="3">
        <v>82560</v>
      </c>
      <c r="H66" s="3">
        <v>83590</v>
      </c>
      <c r="I66" s="3">
        <v>85032</v>
      </c>
      <c r="J66" s="3">
        <v>87717</v>
      </c>
      <c r="K66" s="3">
        <v>105485</v>
      </c>
      <c r="L66" s="3">
        <v>105120</v>
      </c>
      <c r="M66" s="3">
        <v>107745</v>
      </c>
      <c r="N66" s="3">
        <v>113270</v>
      </c>
      <c r="O66" s="3">
        <v>115860</v>
      </c>
      <c r="P66" s="3">
        <v>117785</v>
      </c>
      <c r="Q66" s="3">
        <v>122488.00000000003</v>
      </c>
      <c r="S66" s="7"/>
    </row>
    <row r="67" spans="1:19" x14ac:dyDescent="0.2">
      <c r="A67" s="2" t="s">
        <v>73</v>
      </c>
      <c r="B67" s="2" t="s">
        <v>22</v>
      </c>
      <c r="C67" s="2" t="s">
        <v>36</v>
      </c>
      <c r="D67" s="2" t="s">
        <v>45</v>
      </c>
      <c r="E67" s="3">
        <v>4129.47</v>
      </c>
      <c r="F67" s="3">
        <v>13998.470000000001</v>
      </c>
      <c r="G67" s="3">
        <v>9465.11</v>
      </c>
      <c r="H67" s="3">
        <v>10799.08</v>
      </c>
      <c r="I67" s="3">
        <v>11121.329999999998</v>
      </c>
      <c r="J67" s="3">
        <v>11174.650000000001</v>
      </c>
      <c r="K67" s="3">
        <v>11309.689999999999</v>
      </c>
      <c r="L67" s="3">
        <v>10923.970000000001</v>
      </c>
      <c r="M67" s="3">
        <v>10473.459999999999</v>
      </c>
      <c r="N67" s="3">
        <v>10516.72</v>
      </c>
      <c r="O67" s="3">
        <v>10780.324786324787</v>
      </c>
      <c r="P67" s="3">
        <v>11130.579999999998</v>
      </c>
      <c r="Q67" s="3">
        <v>11707.417901049475</v>
      </c>
      <c r="S67" s="7"/>
    </row>
    <row r="68" spans="1:19" x14ac:dyDescent="0.2">
      <c r="A68" s="2" t="s">
        <v>73</v>
      </c>
      <c r="B68" s="2" t="s">
        <v>22</v>
      </c>
      <c r="C68" s="2" t="s">
        <v>29</v>
      </c>
      <c r="D68" s="2" t="s">
        <v>45</v>
      </c>
      <c r="E68" s="3">
        <v>632.73</v>
      </c>
      <c r="F68" s="3">
        <v>1442.1899999999998</v>
      </c>
      <c r="G68" s="3">
        <v>1450.32</v>
      </c>
      <c r="H68" s="3">
        <v>1654.7</v>
      </c>
      <c r="I68" s="3">
        <v>1704.0800000000004</v>
      </c>
      <c r="J68" s="3">
        <v>1712.2</v>
      </c>
      <c r="K68" s="3">
        <v>1733.0400000000004</v>
      </c>
      <c r="L68" s="3">
        <v>2010.5099999999998</v>
      </c>
      <c r="M68" s="3">
        <v>2407.23</v>
      </c>
      <c r="N68" s="3">
        <v>2691.5200000000004</v>
      </c>
      <c r="O68" s="3">
        <v>4129.1800854700859</v>
      </c>
      <c r="P68" s="3">
        <v>4247.79</v>
      </c>
      <c r="Q68" s="3">
        <v>4462.0038830584717</v>
      </c>
      <c r="S68" s="7"/>
    </row>
    <row r="69" spans="1:19" x14ac:dyDescent="0.2">
      <c r="A69" s="2" t="s">
        <v>74</v>
      </c>
      <c r="B69" s="2" t="s">
        <v>33</v>
      </c>
      <c r="C69" s="2" t="s">
        <v>34</v>
      </c>
      <c r="D69" s="2" t="s">
        <v>24</v>
      </c>
      <c r="E69" s="3">
        <v>60500</v>
      </c>
      <c r="F69" s="3">
        <v>129120</v>
      </c>
      <c r="G69" s="3">
        <v>136800</v>
      </c>
      <c r="H69" s="3">
        <v>136800</v>
      </c>
      <c r="I69" s="3">
        <v>128960</v>
      </c>
      <c r="J69" s="3">
        <v>107520</v>
      </c>
      <c r="K69" s="3">
        <v>107520</v>
      </c>
      <c r="L69" s="3">
        <v>104640</v>
      </c>
      <c r="M69" s="3">
        <v>96000</v>
      </c>
      <c r="N69" s="3">
        <v>96750</v>
      </c>
      <c r="O69" s="3">
        <v>105896</v>
      </c>
      <c r="P69" s="3">
        <v>123207</v>
      </c>
      <c r="Q69" s="3">
        <v>128400</v>
      </c>
      <c r="S69" s="7"/>
    </row>
    <row r="70" spans="1:19" x14ac:dyDescent="0.2">
      <c r="A70" s="2" t="s">
        <v>74</v>
      </c>
      <c r="B70" s="2" t="s">
        <v>22</v>
      </c>
      <c r="C70" s="2" t="s">
        <v>26</v>
      </c>
      <c r="D70" s="2" t="s">
        <v>24</v>
      </c>
      <c r="E70" s="3">
        <v>17500</v>
      </c>
      <c r="F70" s="3">
        <v>17500</v>
      </c>
      <c r="G70" s="3">
        <v>17500</v>
      </c>
      <c r="H70" s="3">
        <v>17500</v>
      </c>
      <c r="I70" s="3">
        <v>17500</v>
      </c>
      <c r="J70" s="3">
        <v>17500</v>
      </c>
      <c r="K70" s="3">
        <v>17500</v>
      </c>
      <c r="L70" s="3">
        <v>17500</v>
      </c>
      <c r="M70" s="3">
        <v>17500</v>
      </c>
      <c r="N70" s="3">
        <v>17500</v>
      </c>
      <c r="O70" s="3">
        <v>17586.329999999998</v>
      </c>
      <c r="P70" s="3">
        <v>18104.810000000001</v>
      </c>
      <c r="Q70" s="3">
        <v>18984.96</v>
      </c>
      <c r="S70" s="7"/>
    </row>
    <row r="71" spans="1:19" x14ac:dyDescent="0.2">
      <c r="A71" s="2" t="s">
        <v>74</v>
      </c>
      <c r="B71" s="2" t="s">
        <v>22</v>
      </c>
      <c r="C71" s="2" t="s">
        <v>29</v>
      </c>
      <c r="D71" s="2" t="s">
        <v>24</v>
      </c>
      <c r="E71" s="3">
        <v>5398.3</v>
      </c>
      <c r="F71" s="3">
        <v>9085</v>
      </c>
      <c r="G71" s="3">
        <v>11586.699999999999</v>
      </c>
      <c r="H71" s="3">
        <v>13833.3</v>
      </c>
      <c r="I71" s="3">
        <v>11316.699999999999</v>
      </c>
      <c r="J71" s="3">
        <v>8166.7</v>
      </c>
      <c r="K71" s="3">
        <v>7000</v>
      </c>
      <c r="L71" s="3">
        <v>6766.6</v>
      </c>
      <c r="M71" s="3">
        <v>5833.4</v>
      </c>
      <c r="N71" s="3">
        <v>7233.3</v>
      </c>
      <c r="O71" s="3">
        <v>9166.11</v>
      </c>
      <c r="P71" s="3">
        <v>13053.33</v>
      </c>
      <c r="Q71" s="3">
        <v>13665.36</v>
      </c>
      <c r="S71" s="7"/>
    </row>
    <row r="72" spans="1:19" x14ac:dyDescent="0.2">
      <c r="A72" s="2" t="s">
        <v>74</v>
      </c>
      <c r="B72" s="2" t="s">
        <v>52</v>
      </c>
      <c r="C72" s="2" t="s">
        <v>53</v>
      </c>
      <c r="D72" s="2" t="s">
        <v>24</v>
      </c>
      <c r="E72" s="3">
        <v>0</v>
      </c>
      <c r="F72" s="3">
        <v>0</v>
      </c>
      <c r="G72" s="3">
        <v>3000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75090</v>
      </c>
      <c r="O72" s="3">
        <v>95660.800000000003</v>
      </c>
      <c r="P72" s="3">
        <v>115138</v>
      </c>
      <c r="Q72" s="3">
        <v>109031.51999999999</v>
      </c>
      <c r="S72" s="7"/>
    </row>
    <row r="73" spans="1:19" x14ac:dyDescent="0.2">
      <c r="A73" s="2" t="s">
        <v>75</v>
      </c>
      <c r="B73" s="2" t="s">
        <v>33</v>
      </c>
      <c r="C73" s="2" t="s">
        <v>38</v>
      </c>
      <c r="D73" s="2" t="s">
        <v>24</v>
      </c>
      <c r="E73" s="3">
        <v>0</v>
      </c>
      <c r="F73" s="3">
        <v>6000</v>
      </c>
      <c r="G73" s="3">
        <v>7200</v>
      </c>
      <c r="H73" s="3">
        <v>7200</v>
      </c>
      <c r="I73" s="3">
        <v>7800</v>
      </c>
      <c r="J73" s="3">
        <v>11200</v>
      </c>
      <c r="K73" s="3">
        <v>12000</v>
      </c>
      <c r="L73" s="3">
        <v>12000</v>
      </c>
      <c r="M73" s="3">
        <v>10000</v>
      </c>
      <c r="N73" s="3">
        <v>4800</v>
      </c>
      <c r="O73" s="3">
        <v>9826.58</v>
      </c>
      <c r="P73" s="3">
        <v>8008.8600000000006</v>
      </c>
      <c r="Q73" s="3">
        <v>9784.56</v>
      </c>
      <c r="S73" s="7"/>
    </row>
    <row r="74" spans="1:19" x14ac:dyDescent="0.2">
      <c r="A74" s="2" t="s">
        <v>75</v>
      </c>
      <c r="B74" s="2" t="s">
        <v>52</v>
      </c>
      <c r="C74" s="2" t="s">
        <v>53</v>
      </c>
      <c r="D74" s="2" t="s">
        <v>24</v>
      </c>
      <c r="E74" s="3">
        <v>0</v>
      </c>
      <c r="F74" s="3">
        <v>69440</v>
      </c>
      <c r="G74" s="3">
        <v>106560</v>
      </c>
      <c r="H74" s="3">
        <v>107560</v>
      </c>
      <c r="I74" s="3">
        <v>108960</v>
      </c>
      <c r="J74" s="3">
        <v>108960</v>
      </c>
      <c r="K74" s="3">
        <v>109113.17</v>
      </c>
      <c r="L74" s="3">
        <v>108960</v>
      </c>
      <c r="M74" s="3">
        <v>108960</v>
      </c>
      <c r="N74" s="3">
        <v>108960</v>
      </c>
      <c r="O74" s="3">
        <v>73820</v>
      </c>
      <c r="P74" s="3">
        <v>0</v>
      </c>
      <c r="Q74" s="3">
        <v>0</v>
      </c>
      <c r="S74" s="7"/>
    </row>
    <row r="75" spans="1:19" x14ac:dyDescent="0.2">
      <c r="A75" s="2" t="s">
        <v>76</v>
      </c>
      <c r="B75" s="2" t="s">
        <v>22</v>
      </c>
      <c r="C75" s="2" t="s">
        <v>26</v>
      </c>
      <c r="D75" s="2" t="s">
        <v>77</v>
      </c>
      <c r="E75" s="3">
        <v>17500</v>
      </c>
      <c r="F75" s="3">
        <v>17500</v>
      </c>
      <c r="G75" s="3">
        <v>17500</v>
      </c>
      <c r="H75" s="3">
        <v>17500</v>
      </c>
      <c r="I75" s="3">
        <v>17500</v>
      </c>
      <c r="J75" s="3">
        <v>17500</v>
      </c>
      <c r="K75" s="3">
        <v>17499.96</v>
      </c>
      <c r="L75" s="3">
        <v>17500</v>
      </c>
      <c r="M75" s="3">
        <v>17645.84</v>
      </c>
      <c r="N75" s="3">
        <v>19250</v>
      </c>
      <c r="O75" s="3">
        <v>19249.659999999996</v>
      </c>
      <c r="P75" s="3">
        <v>20080.349999999999</v>
      </c>
      <c r="Q75" s="3">
        <v>21008.28</v>
      </c>
      <c r="S75" s="7"/>
    </row>
    <row r="76" spans="1:19" x14ac:dyDescent="0.2">
      <c r="A76" s="2" t="s">
        <v>76</v>
      </c>
      <c r="B76" s="2" t="s">
        <v>22</v>
      </c>
      <c r="C76" s="2" t="s">
        <v>29</v>
      </c>
      <c r="D76" s="2" t="s">
        <v>77</v>
      </c>
      <c r="E76" s="3">
        <v>4740</v>
      </c>
      <c r="F76" s="3">
        <v>4740</v>
      </c>
      <c r="G76" s="3">
        <v>4740</v>
      </c>
      <c r="H76" s="3">
        <v>4740</v>
      </c>
      <c r="I76" s="3">
        <v>4740</v>
      </c>
      <c r="J76" s="3">
        <v>7965.87</v>
      </c>
      <c r="K76" s="3">
        <v>5529.96</v>
      </c>
      <c r="L76" s="3">
        <v>5464.17</v>
      </c>
      <c r="M76" s="3">
        <v>4779.5</v>
      </c>
      <c r="N76" s="3">
        <v>5214</v>
      </c>
      <c r="O76" s="3">
        <v>5215</v>
      </c>
      <c r="P76" s="3">
        <v>5441.97</v>
      </c>
      <c r="Q76" s="3">
        <v>5666.83</v>
      </c>
      <c r="S76" s="7"/>
    </row>
    <row r="77" spans="1:19" x14ac:dyDescent="0.2">
      <c r="A77" s="2" t="s">
        <v>78</v>
      </c>
      <c r="B77" s="2" t="s">
        <v>33</v>
      </c>
      <c r="C77" s="2" t="s">
        <v>48</v>
      </c>
      <c r="D77" s="2" t="s">
        <v>45</v>
      </c>
      <c r="E77" s="3">
        <v>0</v>
      </c>
      <c r="F77" s="3">
        <v>103469.38</v>
      </c>
      <c r="G77" s="3">
        <v>122393.37000000001</v>
      </c>
      <c r="H77" s="3">
        <v>181980.41</v>
      </c>
      <c r="I77" s="3">
        <v>177491.47999999998</v>
      </c>
      <c r="J77" s="3">
        <v>150066.37999999998</v>
      </c>
      <c r="K77" s="3">
        <v>152209.57</v>
      </c>
      <c r="L77" s="3">
        <v>138637.10999999999</v>
      </c>
      <c r="M77" s="3">
        <v>186868.49</v>
      </c>
      <c r="N77" s="3">
        <v>198509.25</v>
      </c>
      <c r="O77" s="3">
        <v>195829.08085470088</v>
      </c>
      <c r="P77" s="3">
        <v>150786.67000000001</v>
      </c>
      <c r="Q77" s="3">
        <v>163331.46799100452</v>
      </c>
      <c r="S77" s="7"/>
    </row>
    <row r="78" spans="1:19" x14ac:dyDescent="0.2">
      <c r="A78" s="2" t="s">
        <v>78</v>
      </c>
      <c r="B78" s="2" t="s">
        <v>22</v>
      </c>
      <c r="C78" s="2" t="s">
        <v>36</v>
      </c>
      <c r="D78" s="2" t="s">
        <v>45</v>
      </c>
      <c r="E78" s="3">
        <v>9914.5999999999985</v>
      </c>
      <c r="F78" s="3">
        <v>9205</v>
      </c>
      <c r="G78" s="3">
        <v>9014.4000000000015</v>
      </c>
      <c r="H78" s="3">
        <v>10324.100000000002</v>
      </c>
      <c r="I78" s="3">
        <v>10633.200000000003</v>
      </c>
      <c r="J78" s="3">
        <v>10719</v>
      </c>
      <c r="K78" s="3">
        <v>10793.400000000001</v>
      </c>
      <c r="L78" s="3">
        <v>10574.400000000001</v>
      </c>
      <c r="M78" s="3">
        <v>10311.120000000001</v>
      </c>
      <c r="N78" s="3">
        <v>10330.040000000001</v>
      </c>
      <c r="O78" s="3">
        <v>10278.491111111112</v>
      </c>
      <c r="P78" s="3">
        <v>10575.55</v>
      </c>
      <c r="Q78" s="3">
        <v>11326.018215892056</v>
      </c>
      <c r="S78" s="7"/>
    </row>
    <row r="79" spans="1:19" x14ac:dyDescent="0.2">
      <c r="A79" s="2" t="s">
        <v>78</v>
      </c>
      <c r="B79" s="2" t="s">
        <v>22</v>
      </c>
      <c r="C79" s="2" t="s">
        <v>29</v>
      </c>
      <c r="D79" s="2" t="s">
        <v>45</v>
      </c>
      <c r="E79" s="3">
        <v>1483.6100000000004</v>
      </c>
      <c r="F79" s="3">
        <v>1380.7900000000002</v>
      </c>
      <c r="G79" s="3">
        <v>1352.1</v>
      </c>
      <c r="H79" s="3">
        <v>1548.65</v>
      </c>
      <c r="I79" s="3">
        <v>1594.9999999999998</v>
      </c>
      <c r="J79" s="3">
        <v>1878.6499999999999</v>
      </c>
      <c r="K79" s="3">
        <v>2428.4999999999995</v>
      </c>
      <c r="L79" s="3">
        <v>2379.2099999999996</v>
      </c>
      <c r="M79" s="3">
        <v>2319.9899999999998</v>
      </c>
      <c r="N79" s="3">
        <v>2580.86</v>
      </c>
      <c r="O79" s="3">
        <v>3082.7205128205132</v>
      </c>
      <c r="P79" s="3">
        <v>3448.1599999999994</v>
      </c>
      <c r="Q79" s="3">
        <v>4236.5492053973012</v>
      </c>
      <c r="S79" s="7"/>
    </row>
    <row r="80" spans="1:19" x14ac:dyDescent="0.2">
      <c r="A80" s="2" t="s">
        <v>79</v>
      </c>
      <c r="B80" s="2" t="s">
        <v>33</v>
      </c>
      <c r="C80" s="2" t="s">
        <v>34</v>
      </c>
      <c r="D80" s="2" t="s">
        <v>80</v>
      </c>
      <c r="E80" s="3">
        <v>19986</v>
      </c>
      <c r="F80" s="3">
        <v>39000</v>
      </c>
      <c r="G80" s="3">
        <v>53300</v>
      </c>
      <c r="H80" s="3">
        <v>54400</v>
      </c>
      <c r="I80" s="3">
        <v>65400</v>
      </c>
      <c r="J80" s="3">
        <v>65400</v>
      </c>
      <c r="K80" s="3">
        <v>65400</v>
      </c>
      <c r="L80" s="3">
        <v>65400</v>
      </c>
      <c r="M80" s="3">
        <v>65400</v>
      </c>
      <c r="N80" s="3">
        <v>65400</v>
      </c>
      <c r="O80" s="3">
        <v>65400</v>
      </c>
      <c r="P80" s="3">
        <v>65400</v>
      </c>
      <c r="Q80" s="3">
        <v>0</v>
      </c>
      <c r="S80" s="7"/>
    </row>
    <row r="81" spans="1:19" x14ac:dyDescent="0.2">
      <c r="A81" s="2" t="s">
        <v>79</v>
      </c>
      <c r="B81" s="2" t="s">
        <v>52</v>
      </c>
      <c r="C81" s="2" t="s">
        <v>53</v>
      </c>
      <c r="D81" s="2" t="s">
        <v>80</v>
      </c>
      <c r="E81" s="3">
        <v>0</v>
      </c>
      <c r="F81" s="3">
        <v>37800</v>
      </c>
      <c r="G81" s="3">
        <v>55200</v>
      </c>
      <c r="H81" s="3">
        <v>55200</v>
      </c>
      <c r="I81" s="3">
        <v>55200</v>
      </c>
      <c r="J81" s="3">
        <v>55200</v>
      </c>
      <c r="K81" s="3">
        <v>55200</v>
      </c>
      <c r="L81" s="3">
        <v>55200</v>
      </c>
      <c r="M81" s="3">
        <v>55200</v>
      </c>
      <c r="N81" s="3">
        <v>55200</v>
      </c>
      <c r="O81" s="3">
        <v>55200</v>
      </c>
      <c r="P81" s="3">
        <v>36719</v>
      </c>
      <c r="Q81" s="3">
        <v>0</v>
      </c>
      <c r="S81" s="7"/>
    </row>
    <row r="82" spans="1:19" x14ac:dyDescent="0.2">
      <c r="A82" s="2" t="s">
        <v>79</v>
      </c>
      <c r="B82" s="2" t="s">
        <v>22</v>
      </c>
      <c r="C82" s="2" t="s">
        <v>28</v>
      </c>
      <c r="D82" s="2" t="s">
        <v>80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3600</v>
      </c>
      <c r="S82" s="7"/>
    </row>
    <row r="83" spans="1:19" x14ac:dyDescent="0.2">
      <c r="A83" s="2" t="s">
        <v>81</v>
      </c>
      <c r="B83" s="2" t="s">
        <v>22</v>
      </c>
      <c r="C83" s="2" t="s">
        <v>26</v>
      </c>
      <c r="D83" s="2" t="s">
        <v>82</v>
      </c>
      <c r="E83" s="3">
        <v>5569.8600000000006</v>
      </c>
      <c r="F83" s="3">
        <v>16260.3</v>
      </c>
      <c r="G83" s="3">
        <v>16532.740000000002</v>
      </c>
      <c r="H83" s="3">
        <v>19005.320000000003</v>
      </c>
      <c r="I83" s="3">
        <v>19153.070000000003</v>
      </c>
      <c r="J83" s="3">
        <v>18936.75</v>
      </c>
      <c r="K83" s="3">
        <v>18947.95</v>
      </c>
      <c r="L83" s="3">
        <v>18624.14</v>
      </c>
      <c r="M83" s="3">
        <v>18375.79</v>
      </c>
      <c r="N83" s="3">
        <v>19219.100000000002</v>
      </c>
      <c r="O83" s="3">
        <v>19332.338632478633</v>
      </c>
      <c r="P83" s="3">
        <v>19367.099999999999</v>
      </c>
      <c r="Q83" s="3">
        <v>19667.176611694151</v>
      </c>
      <c r="S83" s="7"/>
    </row>
    <row r="84" spans="1:19" x14ac:dyDescent="0.2">
      <c r="A84" s="2" t="s">
        <v>81</v>
      </c>
      <c r="B84" s="2" t="s">
        <v>22</v>
      </c>
      <c r="C84" s="2" t="s">
        <v>29</v>
      </c>
      <c r="D84" s="2" t="s">
        <v>82</v>
      </c>
      <c r="E84" s="3">
        <v>1007.9</v>
      </c>
      <c r="F84" s="3">
        <v>2942.3399999999997</v>
      </c>
      <c r="G84" s="3">
        <v>3560.8799999999997</v>
      </c>
      <c r="H84" s="3">
        <v>4886.92</v>
      </c>
      <c r="I84" s="3">
        <v>4369.8900000000003</v>
      </c>
      <c r="J84" s="3">
        <v>4283.2700000000004</v>
      </c>
      <c r="K84" s="3">
        <v>4285.87</v>
      </c>
      <c r="L84" s="3">
        <v>3941.1400000000003</v>
      </c>
      <c r="M84" s="3">
        <v>3325.2</v>
      </c>
      <c r="N84" s="3">
        <v>3477.7199999999993</v>
      </c>
      <c r="O84" s="3">
        <v>3497.9553846153844</v>
      </c>
      <c r="P84" s="3">
        <v>3808.1500000000005</v>
      </c>
      <c r="Q84" s="3">
        <v>4648.6658920539739</v>
      </c>
      <c r="S84" s="7"/>
    </row>
    <row r="85" spans="1:19" x14ac:dyDescent="0.2">
      <c r="A85" s="2" t="s">
        <v>83</v>
      </c>
      <c r="B85" s="2" t="s">
        <v>33</v>
      </c>
      <c r="C85" s="2" t="s">
        <v>34</v>
      </c>
      <c r="D85" s="2" t="s">
        <v>31</v>
      </c>
      <c r="E85" s="3">
        <v>0</v>
      </c>
      <c r="F85" s="3">
        <v>11037.1</v>
      </c>
      <c r="G85" s="3">
        <v>129600</v>
      </c>
      <c r="H85" s="3">
        <v>129600</v>
      </c>
      <c r="I85" s="3">
        <v>129600</v>
      </c>
      <c r="J85" s="3">
        <v>136985.47999999998</v>
      </c>
      <c r="K85" s="3">
        <v>126900</v>
      </c>
      <c r="L85" s="3">
        <v>123120</v>
      </c>
      <c r="M85" s="3">
        <v>127370</v>
      </c>
      <c r="N85" s="3">
        <v>120451</v>
      </c>
      <c r="O85" s="3">
        <v>153484</v>
      </c>
      <c r="P85" s="3">
        <v>215292</v>
      </c>
      <c r="Q85" s="3">
        <v>220692</v>
      </c>
      <c r="S85" s="7"/>
    </row>
    <row r="86" spans="1:19" x14ac:dyDescent="0.2">
      <c r="A86" s="2" t="s">
        <v>84</v>
      </c>
      <c r="B86" s="2" t="s">
        <v>33</v>
      </c>
      <c r="C86" s="2" t="s">
        <v>34</v>
      </c>
      <c r="D86" s="2" t="s">
        <v>24</v>
      </c>
      <c r="E86" s="3">
        <v>0</v>
      </c>
      <c r="F86" s="3">
        <v>0</v>
      </c>
      <c r="G86" s="3">
        <v>3500</v>
      </c>
      <c r="H86" s="3">
        <v>12750</v>
      </c>
      <c r="I86" s="3">
        <v>9000</v>
      </c>
      <c r="J86" s="3">
        <v>9000</v>
      </c>
      <c r="K86" s="3">
        <v>12666.67</v>
      </c>
      <c r="L86" s="3">
        <v>39000</v>
      </c>
      <c r="M86" s="3">
        <v>39000</v>
      </c>
      <c r="N86" s="3">
        <v>39000</v>
      </c>
      <c r="O86" s="3">
        <v>39000</v>
      </c>
      <c r="P86" s="3">
        <v>39000</v>
      </c>
      <c r="Q86" s="3">
        <v>40369.94</v>
      </c>
      <c r="S86" s="7"/>
    </row>
    <row r="87" spans="1:19" x14ac:dyDescent="0.2">
      <c r="A87" s="2" t="s">
        <v>84</v>
      </c>
      <c r="B87" s="2" t="s">
        <v>22</v>
      </c>
      <c r="C87" s="2" t="s">
        <v>36</v>
      </c>
      <c r="D87" s="2" t="s">
        <v>24</v>
      </c>
      <c r="E87" s="3">
        <v>0</v>
      </c>
      <c r="F87" s="3">
        <v>1733.3</v>
      </c>
      <c r="G87" s="3">
        <v>10399.999999999998</v>
      </c>
      <c r="H87" s="3">
        <v>10399.999999999998</v>
      </c>
      <c r="I87" s="3">
        <v>10399.999999999998</v>
      </c>
      <c r="J87" s="3">
        <v>10399.999999999998</v>
      </c>
      <c r="K87" s="3">
        <v>10399.999999999998</v>
      </c>
      <c r="L87" s="3">
        <v>10399.999999999998</v>
      </c>
      <c r="M87" s="3">
        <v>10399.999999999998</v>
      </c>
      <c r="N87" s="3">
        <v>10399.999999999998</v>
      </c>
      <c r="O87" s="3">
        <v>10400.029999999999</v>
      </c>
      <c r="P87" s="3">
        <v>10062.680000000002</v>
      </c>
      <c r="Q87" s="3">
        <v>10347.61</v>
      </c>
      <c r="S87" s="7"/>
    </row>
    <row r="88" spans="1:19" x14ac:dyDescent="0.2">
      <c r="A88" s="2" t="s">
        <v>84</v>
      </c>
      <c r="B88" s="2" t="s">
        <v>22</v>
      </c>
      <c r="C88" s="2" t="s">
        <v>29</v>
      </c>
      <c r="D88" s="2" t="s">
        <v>24</v>
      </c>
      <c r="E88" s="3">
        <v>0</v>
      </c>
      <c r="F88" s="3">
        <v>0</v>
      </c>
      <c r="G88" s="3">
        <v>140</v>
      </c>
      <c r="H88" s="3">
        <v>840</v>
      </c>
      <c r="I88" s="3">
        <v>910</v>
      </c>
      <c r="J88" s="3">
        <v>770</v>
      </c>
      <c r="K88" s="3">
        <v>840</v>
      </c>
      <c r="L88" s="3">
        <v>840</v>
      </c>
      <c r="M88" s="3">
        <v>1120</v>
      </c>
      <c r="N88" s="3">
        <v>2520</v>
      </c>
      <c r="O88" s="3">
        <v>2520</v>
      </c>
      <c r="P88" s="3">
        <v>2438.1000000000004</v>
      </c>
      <c r="Q88" s="3">
        <v>2507.1</v>
      </c>
      <c r="S88" s="7"/>
    </row>
    <row r="89" spans="1:19" x14ac:dyDescent="0.2">
      <c r="A89" s="2" t="s">
        <v>85</v>
      </c>
      <c r="B89" s="2" t="s">
        <v>33</v>
      </c>
      <c r="C89" s="2" t="s">
        <v>34</v>
      </c>
      <c r="D89" s="2" t="s">
        <v>24</v>
      </c>
      <c r="E89" s="3">
        <v>0</v>
      </c>
      <c r="F89" s="3">
        <v>0</v>
      </c>
      <c r="G89" s="3">
        <v>95399.19</v>
      </c>
      <c r="H89" s="3">
        <v>120300</v>
      </c>
      <c r="I89" s="3">
        <v>120300</v>
      </c>
      <c r="J89" s="3">
        <v>120300</v>
      </c>
      <c r="K89" s="3">
        <v>120300</v>
      </c>
      <c r="L89" s="3">
        <v>120300</v>
      </c>
      <c r="M89" s="3">
        <v>120300</v>
      </c>
      <c r="N89" s="3">
        <v>127050</v>
      </c>
      <c r="O89" s="3">
        <v>134115</v>
      </c>
      <c r="P89" s="3">
        <v>139365</v>
      </c>
      <c r="Q89" s="3">
        <v>145054.12079999998</v>
      </c>
      <c r="S89" s="7"/>
    </row>
    <row r="90" spans="1:19" x14ac:dyDescent="0.2">
      <c r="A90" s="2" t="s">
        <v>86</v>
      </c>
      <c r="B90" s="2" t="s">
        <v>22</v>
      </c>
      <c r="C90" s="2" t="s">
        <v>28</v>
      </c>
      <c r="D90" s="2" t="s">
        <v>87</v>
      </c>
      <c r="E90" s="3">
        <v>0</v>
      </c>
      <c r="F90" s="3">
        <v>0</v>
      </c>
      <c r="G90" s="3">
        <v>6750</v>
      </c>
      <c r="H90" s="3">
        <v>9000</v>
      </c>
      <c r="I90" s="3">
        <v>9000</v>
      </c>
      <c r="J90" s="3">
        <v>9000</v>
      </c>
      <c r="K90" s="3">
        <v>9000</v>
      </c>
      <c r="L90" s="3">
        <v>9000</v>
      </c>
      <c r="M90" s="3">
        <v>9000</v>
      </c>
      <c r="N90" s="3">
        <v>9225</v>
      </c>
      <c r="O90" s="3">
        <v>9300</v>
      </c>
      <c r="P90" s="3">
        <v>0</v>
      </c>
      <c r="Q90" s="3">
        <v>0</v>
      </c>
      <c r="S90" s="7"/>
    </row>
    <row r="91" spans="1:19" x14ac:dyDescent="0.2">
      <c r="A91" s="2" t="s">
        <v>88</v>
      </c>
      <c r="B91" s="2" t="s">
        <v>33</v>
      </c>
      <c r="C91" s="2" t="s">
        <v>34</v>
      </c>
      <c r="D91" s="2" t="s">
        <v>24</v>
      </c>
      <c r="E91" s="3">
        <v>0</v>
      </c>
      <c r="F91" s="3">
        <v>0</v>
      </c>
      <c r="G91" s="3">
        <v>6250</v>
      </c>
      <c r="H91" s="3">
        <v>32000</v>
      </c>
      <c r="I91" s="3">
        <v>36600</v>
      </c>
      <c r="J91" s="3">
        <v>36600</v>
      </c>
      <c r="K91" s="3">
        <v>36600</v>
      </c>
      <c r="L91" s="3">
        <v>36600</v>
      </c>
      <c r="M91" s="3">
        <v>36600</v>
      </c>
      <c r="N91" s="3">
        <v>41100</v>
      </c>
      <c r="O91" s="3">
        <v>56730</v>
      </c>
      <c r="P91" s="3">
        <v>65640</v>
      </c>
      <c r="Q91" s="3">
        <v>64720</v>
      </c>
      <c r="S91" s="7"/>
    </row>
    <row r="92" spans="1:19" x14ac:dyDescent="0.2">
      <c r="A92" s="2" t="s">
        <v>88</v>
      </c>
      <c r="B92" s="2" t="s">
        <v>22</v>
      </c>
      <c r="C92" s="2" t="s">
        <v>63</v>
      </c>
      <c r="D92" s="2" t="s">
        <v>24</v>
      </c>
      <c r="E92" s="3">
        <v>0</v>
      </c>
      <c r="F92" s="3">
        <v>0</v>
      </c>
      <c r="G92" s="3">
        <v>12500.02</v>
      </c>
      <c r="H92" s="3">
        <v>25000.000000000007</v>
      </c>
      <c r="I92" s="3">
        <v>25000.000000000007</v>
      </c>
      <c r="J92" s="3">
        <v>32860.000000000007</v>
      </c>
      <c r="K92" s="3">
        <v>25000.000000000007</v>
      </c>
      <c r="L92" s="3">
        <v>25000.000000000007</v>
      </c>
      <c r="M92" s="3">
        <v>25000.000000000007</v>
      </c>
      <c r="N92" s="3">
        <v>41332.979999999996</v>
      </c>
      <c r="O92" s="3">
        <v>45994.25</v>
      </c>
      <c r="P92" s="3">
        <v>50985.000000000007</v>
      </c>
      <c r="Q92" s="3">
        <v>53404.25088</v>
      </c>
      <c r="S92" s="7"/>
    </row>
    <row r="93" spans="1:19" x14ac:dyDescent="0.2">
      <c r="A93" s="2" t="s">
        <v>88</v>
      </c>
      <c r="B93" s="2" t="s">
        <v>22</v>
      </c>
      <c r="C93" s="2" t="s">
        <v>29</v>
      </c>
      <c r="D93" s="2" t="s">
        <v>24</v>
      </c>
      <c r="E93" s="3">
        <v>0</v>
      </c>
      <c r="F93" s="3">
        <v>0</v>
      </c>
      <c r="G93" s="3">
        <v>395.01999999999992</v>
      </c>
      <c r="H93" s="3">
        <v>790.00000000000011</v>
      </c>
      <c r="I93" s="3">
        <v>790.00000000000011</v>
      </c>
      <c r="J93" s="3">
        <v>790.00000000000011</v>
      </c>
      <c r="K93" s="3">
        <v>790.00000000000011</v>
      </c>
      <c r="L93" s="3">
        <v>790.00000000000011</v>
      </c>
      <c r="M93" s="3">
        <v>790.00000000000011</v>
      </c>
      <c r="N93" s="3">
        <v>4475.96</v>
      </c>
      <c r="O93" s="3">
        <v>6426.02</v>
      </c>
      <c r="P93" s="3">
        <v>6480</v>
      </c>
      <c r="Q93" s="3">
        <v>6447.25</v>
      </c>
      <c r="S93" s="7"/>
    </row>
    <row r="94" spans="1:19" x14ac:dyDescent="0.2">
      <c r="A94" s="2" t="s">
        <v>88</v>
      </c>
      <c r="B94" s="2" t="s">
        <v>22</v>
      </c>
      <c r="C94" s="2" t="s">
        <v>28</v>
      </c>
      <c r="D94" s="2" t="s">
        <v>24</v>
      </c>
      <c r="E94" s="3">
        <v>0</v>
      </c>
      <c r="F94" s="3">
        <v>0</v>
      </c>
      <c r="G94" s="3">
        <v>15875.02</v>
      </c>
      <c r="H94" s="3">
        <v>19750</v>
      </c>
      <c r="I94" s="3">
        <v>19750</v>
      </c>
      <c r="J94" s="3">
        <v>19750</v>
      </c>
      <c r="K94" s="3">
        <v>19750</v>
      </c>
      <c r="L94" s="3">
        <v>19750</v>
      </c>
      <c r="M94" s="3">
        <v>19750</v>
      </c>
      <c r="N94" s="3">
        <v>19810</v>
      </c>
      <c r="O94" s="3">
        <v>20153.019999999997</v>
      </c>
      <c r="P94" s="3">
        <v>20465</v>
      </c>
      <c r="Q94" s="3">
        <v>19868.13</v>
      </c>
      <c r="S94" s="7"/>
    </row>
    <row r="95" spans="1:19" x14ac:dyDescent="0.2">
      <c r="A95" s="2" t="s">
        <v>89</v>
      </c>
      <c r="B95" s="2" t="s">
        <v>33</v>
      </c>
      <c r="C95" s="2" t="s">
        <v>34</v>
      </c>
      <c r="D95" s="2" t="s">
        <v>27</v>
      </c>
      <c r="E95" s="3">
        <v>0</v>
      </c>
      <c r="F95" s="3">
        <v>0</v>
      </c>
      <c r="G95" s="3">
        <v>9481.5300000000007</v>
      </c>
      <c r="H95" s="3">
        <v>53611.34</v>
      </c>
      <c r="I95" s="3">
        <v>78350.433000000005</v>
      </c>
      <c r="J95" s="3">
        <v>82260.899999999994</v>
      </c>
      <c r="K95" s="3">
        <v>83703.86</v>
      </c>
      <c r="L95" s="3">
        <v>84339.65</v>
      </c>
      <c r="M95" s="3">
        <v>70433.61</v>
      </c>
      <c r="N95" s="3">
        <v>41901.230000000003</v>
      </c>
      <c r="O95" s="3">
        <v>39802.739230769228</v>
      </c>
      <c r="P95" s="3">
        <v>26853.019999999997</v>
      </c>
      <c r="Q95" s="3">
        <v>0</v>
      </c>
      <c r="S95" s="7"/>
    </row>
    <row r="96" spans="1:19" x14ac:dyDescent="0.2">
      <c r="A96" s="2" t="s">
        <v>90</v>
      </c>
      <c r="B96" s="2" t="s">
        <v>33</v>
      </c>
      <c r="C96" s="2" t="s">
        <v>34</v>
      </c>
      <c r="D96" s="2" t="s">
        <v>91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5446</v>
      </c>
      <c r="Q96" s="3">
        <v>26967.697151424283</v>
      </c>
      <c r="S96" s="7"/>
    </row>
    <row r="97" spans="1:19" x14ac:dyDescent="0.2">
      <c r="A97" s="2" t="s">
        <v>90</v>
      </c>
      <c r="B97" s="2" t="s">
        <v>52</v>
      </c>
      <c r="C97" s="2" t="s">
        <v>53</v>
      </c>
      <c r="D97" s="2" t="s">
        <v>91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4000</v>
      </c>
      <c r="Q97" s="3">
        <v>16540.69715142429</v>
      </c>
      <c r="S97" s="7"/>
    </row>
    <row r="98" spans="1:19" x14ac:dyDescent="0.2">
      <c r="A98" s="2" t="s">
        <v>92</v>
      </c>
      <c r="B98" s="2" t="s">
        <v>33</v>
      </c>
      <c r="C98" s="2" t="s">
        <v>34</v>
      </c>
      <c r="D98" s="2" t="s">
        <v>24</v>
      </c>
      <c r="E98" s="3">
        <v>0</v>
      </c>
      <c r="F98" s="3">
        <v>0</v>
      </c>
      <c r="G98" s="3">
        <v>0</v>
      </c>
      <c r="H98" s="3">
        <v>28334.67</v>
      </c>
      <c r="I98" s="3">
        <v>48000</v>
      </c>
      <c r="J98" s="3">
        <v>49720</v>
      </c>
      <c r="K98" s="3">
        <v>50580</v>
      </c>
      <c r="L98" s="3">
        <v>49225.18</v>
      </c>
      <c r="M98" s="3">
        <v>50580</v>
      </c>
      <c r="N98" s="3">
        <v>52680</v>
      </c>
      <c r="O98" s="3">
        <v>55300</v>
      </c>
      <c r="P98" s="3">
        <v>38000</v>
      </c>
      <c r="Q98" s="3">
        <v>0</v>
      </c>
      <c r="S98" s="7"/>
    </row>
    <row r="99" spans="1:19" x14ac:dyDescent="0.2">
      <c r="A99" s="2" t="s">
        <v>92</v>
      </c>
      <c r="B99" s="2" t="s">
        <v>33</v>
      </c>
      <c r="C99" s="2" t="s">
        <v>48</v>
      </c>
      <c r="D99" s="2" t="s">
        <v>24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19140</v>
      </c>
      <c r="Q99" s="3">
        <v>57994.200000000004</v>
      </c>
      <c r="S99" s="7"/>
    </row>
    <row r="100" spans="1:19" x14ac:dyDescent="0.2">
      <c r="A100" s="2" t="s">
        <v>93</v>
      </c>
      <c r="B100" s="2" t="s">
        <v>22</v>
      </c>
      <c r="C100" s="2" t="s">
        <v>36</v>
      </c>
      <c r="D100" s="2" t="s">
        <v>94</v>
      </c>
      <c r="E100" s="3">
        <v>0</v>
      </c>
      <c r="F100" s="3">
        <v>0</v>
      </c>
      <c r="G100" s="3">
        <v>0</v>
      </c>
      <c r="H100" s="3">
        <v>4643.6899999999996</v>
      </c>
      <c r="I100" s="3">
        <v>11124.48</v>
      </c>
      <c r="J100" s="3">
        <v>11219.7</v>
      </c>
      <c r="K100" s="3">
        <v>11309.689999999999</v>
      </c>
      <c r="L100" s="3">
        <v>10923.970000000001</v>
      </c>
      <c r="M100" s="3">
        <v>10473.459999999999</v>
      </c>
      <c r="N100" s="3">
        <v>10516.72</v>
      </c>
      <c r="O100" s="3">
        <v>10602.174786324787</v>
      </c>
      <c r="P100" s="3">
        <v>11270.93</v>
      </c>
      <c r="Q100" s="3">
        <v>0</v>
      </c>
      <c r="S100" s="7"/>
    </row>
    <row r="101" spans="1:19" x14ac:dyDescent="0.2">
      <c r="A101" s="2" t="s">
        <v>93</v>
      </c>
      <c r="B101" s="2" t="s">
        <v>22</v>
      </c>
      <c r="C101" s="2" t="s">
        <v>29</v>
      </c>
      <c r="D101" s="2" t="s">
        <v>94</v>
      </c>
      <c r="E101" s="3">
        <v>0</v>
      </c>
      <c r="F101" s="3">
        <v>0</v>
      </c>
      <c r="G101" s="3">
        <v>0</v>
      </c>
      <c r="H101" s="3">
        <v>355.78999999999996</v>
      </c>
      <c r="I101" s="3">
        <v>852.25000000000011</v>
      </c>
      <c r="J101" s="3">
        <v>1223.2500000000002</v>
      </c>
      <c r="K101" s="3">
        <v>1732.9600000000003</v>
      </c>
      <c r="L101" s="3">
        <v>1673.8200000000002</v>
      </c>
      <c r="M101" s="3">
        <v>1935.85</v>
      </c>
      <c r="N101" s="3">
        <v>2417.1600000000008</v>
      </c>
      <c r="O101" s="3">
        <v>2629.7864102564108</v>
      </c>
      <c r="P101" s="3">
        <v>2660.32</v>
      </c>
      <c r="Q101" s="3">
        <v>0</v>
      </c>
      <c r="S101" s="7"/>
    </row>
    <row r="102" spans="1:19" x14ac:dyDescent="0.2">
      <c r="A102" s="2" t="s">
        <v>95</v>
      </c>
      <c r="B102" s="2" t="s">
        <v>22</v>
      </c>
      <c r="C102" s="2" t="s">
        <v>29</v>
      </c>
      <c r="D102" s="2" t="s">
        <v>91</v>
      </c>
      <c r="E102" s="3">
        <v>0</v>
      </c>
      <c r="F102" s="3">
        <v>0</v>
      </c>
      <c r="G102" s="3">
        <v>0</v>
      </c>
      <c r="H102" s="3">
        <v>1707.69</v>
      </c>
      <c r="I102" s="3">
        <v>5107.32</v>
      </c>
      <c r="J102" s="3">
        <v>5098.7499999999991</v>
      </c>
      <c r="K102" s="3">
        <v>5126.8899999999994</v>
      </c>
      <c r="L102" s="3">
        <v>5022.83</v>
      </c>
      <c r="M102" s="3">
        <v>4897.7699999999995</v>
      </c>
      <c r="N102" s="3">
        <v>4906.78</v>
      </c>
      <c r="O102" s="3">
        <v>5260.9106837606851</v>
      </c>
      <c r="P102" s="3">
        <v>4842.43</v>
      </c>
      <c r="Q102" s="3">
        <v>5008.6042428785613</v>
      </c>
      <c r="S102" s="7"/>
    </row>
    <row r="103" spans="1:19" x14ac:dyDescent="0.2">
      <c r="A103" s="2" t="s">
        <v>96</v>
      </c>
      <c r="B103" s="2" t="s">
        <v>33</v>
      </c>
      <c r="C103" s="2" t="s">
        <v>34</v>
      </c>
      <c r="D103" s="2" t="s">
        <v>97</v>
      </c>
      <c r="E103" s="3">
        <v>0</v>
      </c>
      <c r="F103" s="3">
        <v>0</v>
      </c>
      <c r="G103" s="3">
        <v>0</v>
      </c>
      <c r="H103" s="3">
        <v>14000</v>
      </c>
      <c r="I103" s="3">
        <v>28000</v>
      </c>
      <c r="J103" s="3">
        <v>48000</v>
      </c>
      <c r="K103" s="3">
        <v>48000</v>
      </c>
      <c r="L103" s="3">
        <v>48000</v>
      </c>
      <c r="M103" s="3">
        <v>48000</v>
      </c>
      <c r="N103" s="3">
        <v>48000</v>
      </c>
      <c r="O103" s="3">
        <v>48400</v>
      </c>
      <c r="P103" s="3">
        <v>53355</v>
      </c>
      <c r="Q103" s="3">
        <v>54402</v>
      </c>
      <c r="S103" s="7"/>
    </row>
    <row r="104" spans="1:19" x14ac:dyDescent="0.2">
      <c r="A104" s="2" t="s">
        <v>98</v>
      </c>
      <c r="B104" s="2" t="s">
        <v>22</v>
      </c>
      <c r="C104" s="2" t="s">
        <v>28</v>
      </c>
      <c r="D104" s="2" t="s">
        <v>31</v>
      </c>
      <c r="E104" s="3">
        <v>0</v>
      </c>
      <c r="F104" s="3">
        <v>0</v>
      </c>
      <c r="G104" s="3">
        <v>0</v>
      </c>
      <c r="H104" s="3">
        <v>0</v>
      </c>
      <c r="I104" s="3">
        <v>17200</v>
      </c>
      <c r="J104" s="3">
        <v>18266.920000000002</v>
      </c>
      <c r="K104" s="3">
        <v>17200.09</v>
      </c>
      <c r="L104" s="3">
        <v>17200</v>
      </c>
      <c r="M104" s="3">
        <v>17650</v>
      </c>
      <c r="N104" s="3">
        <v>17800</v>
      </c>
      <c r="O104" s="3">
        <v>17861.080000000002</v>
      </c>
      <c r="P104" s="3">
        <v>16895.25</v>
      </c>
      <c r="Q104" s="3">
        <v>16783.32</v>
      </c>
      <c r="S104" s="7"/>
    </row>
    <row r="105" spans="1:19" x14ac:dyDescent="0.2">
      <c r="A105" s="2" t="s">
        <v>98</v>
      </c>
      <c r="B105" s="2" t="s">
        <v>22</v>
      </c>
      <c r="C105" s="2" t="s">
        <v>29</v>
      </c>
      <c r="D105" s="2" t="s">
        <v>31</v>
      </c>
      <c r="E105" s="3">
        <v>0</v>
      </c>
      <c r="F105" s="3">
        <v>0</v>
      </c>
      <c r="G105" s="3">
        <v>0</v>
      </c>
      <c r="H105" s="3">
        <v>0</v>
      </c>
      <c r="I105" s="3">
        <v>1777.5</v>
      </c>
      <c r="J105" s="3">
        <v>2370</v>
      </c>
      <c r="K105" s="3">
        <v>2370</v>
      </c>
      <c r="L105" s="3">
        <v>1185.01</v>
      </c>
      <c r="M105" s="3">
        <v>790.00000000000011</v>
      </c>
      <c r="N105" s="3">
        <v>790.00000000000011</v>
      </c>
      <c r="O105" s="3">
        <v>791.49</v>
      </c>
      <c r="P105" s="3">
        <v>790</v>
      </c>
      <c r="Q105" s="3">
        <v>785.74000000000012</v>
      </c>
      <c r="S105" s="7"/>
    </row>
    <row r="106" spans="1:19" x14ac:dyDescent="0.2">
      <c r="A106" s="2" t="s">
        <v>98</v>
      </c>
      <c r="B106" s="2" t="s">
        <v>22</v>
      </c>
      <c r="C106" s="2" t="s">
        <v>36</v>
      </c>
      <c r="D106" s="2" t="s">
        <v>31</v>
      </c>
      <c r="E106" s="3">
        <v>0</v>
      </c>
      <c r="F106" s="3">
        <v>0</v>
      </c>
      <c r="G106" s="3">
        <v>0</v>
      </c>
      <c r="H106" s="3">
        <v>0</v>
      </c>
      <c r="I106" s="3">
        <v>7799.99</v>
      </c>
      <c r="J106" s="3">
        <v>10400</v>
      </c>
      <c r="K106" s="3">
        <v>10400</v>
      </c>
      <c r="L106" s="3">
        <v>10400</v>
      </c>
      <c r="M106" s="3">
        <v>10400</v>
      </c>
      <c r="N106" s="3">
        <v>10400</v>
      </c>
      <c r="O106" s="3">
        <v>10434.76</v>
      </c>
      <c r="P106" s="3">
        <v>10400</v>
      </c>
      <c r="Q106" s="3">
        <v>10510.91</v>
      </c>
      <c r="S106" s="7"/>
    </row>
    <row r="107" spans="1:19" x14ac:dyDescent="0.2">
      <c r="A107" s="2" t="s">
        <v>99</v>
      </c>
      <c r="B107" s="2" t="s">
        <v>22</v>
      </c>
      <c r="C107" s="2" t="s">
        <v>39</v>
      </c>
      <c r="D107" s="2" t="s">
        <v>24</v>
      </c>
      <c r="E107" s="3">
        <v>0</v>
      </c>
      <c r="F107" s="3">
        <v>0</v>
      </c>
      <c r="G107" s="3">
        <v>0</v>
      </c>
      <c r="H107" s="3">
        <v>0</v>
      </c>
      <c r="I107" s="3">
        <v>49999.8</v>
      </c>
      <c r="J107" s="3">
        <v>100000.03999999998</v>
      </c>
      <c r="K107" s="3">
        <v>100000.03999999998</v>
      </c>
      <c r="L107" s="3">
        <v>100000.03999999998</v>
      </c>
      <c r="M107" s="3">
        <v>100000.03999999998</v>
      </c>
      <c r="N107" s="3">
        <v>75000.01999999999</v>
      </c>
      <c r="O107" s="3">
        <v>50206.839999999989</v>
      </c>
      <c r="P107" s="3">
        <v>49999.999999999993</v>
      </c>
      <c r="Q107" s="3">
        <v>51571.689999999988</v>
      </c>
      <c r="S107" s="7"/>
    </row>
    <row r="108" spans="1:19" x14ac:dyDescent="0.2">
      <c r="A108" s="2" t="s">
        <v>99</v>
      </c>
      <c r="B108" s="2" t="s">
        <v>22</v>
      </c>
      <c r="C108" s="2" t="s">
        <v>23</v>
      </c>
      <c r="D108" s="2" t="s">
        <v>24</v>
      </c>
      <c r="E108" s="3">
        <v>0</v>
      </c>
      <c r="F108" s="3">
        <v>0</v>
      </c>
      <c r="G108" s="3">
        <v>0</v>
      </c>
      <c r="H108" s="3">
        <v>0</v>
      </c>
      <c r="I108" s="3">
        <v>12500.18</v>
      </c>
      <c r="J108" s="3">
        <v>24999.960000000006</v>
      </c>
      <c r="K108" s="3">
        <v>24999.960000000006</v>
      </c>
      <c r="L108" s="3">
        <v>24999.960000000006</v>
      </c>
      <c r="M108" s="3">
        <v>24999.960000000006</v>
      </c>
      <c r="N108" s="3">
        <v>19999.98</v>
      </c>
      <c r="O108" s="3">
        <v>15062.4</v>
      </c>
      <c r="P108" s="3">
        <v>15000.000000000002</v>
      </c>
      <c r="Q108" s="3">
        <v>14924.9</v>
      </c>
      <c r="S108" s="7"/>
    </row>
    <row r="109" spans="1:19" x14ac:dyDescent="0.2">
      <c r="A109" s="2" t="s">
        <v>99</v>
      </c>
      <c r="B109" s="2" t="s">
        <v>22</v>
      </c>
      <c r="C109" s="2" t="s">
        <v>36</v>
      </c>
      <c r="D109" s="2" t="s">
        <v>24</v>
      </c>
      <c r="E109" s="3">
        <v>0</v>
      </c>
      <c r="F109" s="3">
        <v>0</v>
      </c>
      <c r="G109" s="3">
        <v>0</v>
      </c>
      <c r="H109" s="3">
        <v>0</v>
      </c>
      <c r="I109" s="3">
        <v>5199.9799999999996</v>
      </c>
      <c r="J109" s="3">
        <v>10400.039999999999</v>
      </c>
      <c r="K109" s="3">
        <v>13000.05</v>
      </c>
      <c r="L109" s="3">
        <v>20800</v>
      </c>
      <c r="M109" s="3">
        <v>15600.019999999999</v>
      </c>
      <c r="N109" s="3">
        <v>10400</v>
      </c>
      <c r="O109" s="3">
        <v>7389.5075200000001</v>
      </c>
      <c r="P109" s="3">
        <v>12780.400000000003</v>
      </c>
      <c r="Q109" s="3">
        <v>10722.829999999998</v>
      </c>
      <c r="S109" s="7"/>
    </row>
    <row r="110" spans="1:19" x14ac:dyDescent="0.2">
      <c r="A110" s="2" t="s">
        <v>99</v>
      </c>
      <c r="B110" s="2" t="s">
        <v>33</v>
      </c>
      <c r="C110" s="2" t="s">
        <v>34</v>
      </c>
      <c r="D110" s="2" t="s">
        <v>24</v>
      </c>
      <c r="E110" s="3">
        <v>0</v>
      </c>
      <c r="F110" s="3">
        <v>0</v>
      </c>
      <c r="G110" s="3">
        <v>0</v>
      </c>
      <c r="H110" s="3">
        <v>0</v>
      </c>
      <c r="I110" s="3">
        <v>33177</v>
      </c>
      <c r="J110" s="3">
        <v>100170</v>
      </c>
      <c r="K110" s="3">
        <v>120908.16</v>
      </c>
      <c r="L110" s="3">
        <v>90950.59</v>
      </c>
      <c r="M110" s="3">
        <v>80031.600000000006</v>
      </c>
      <c r="N110" s="3">
        <v>76807.5</v>
      </c>
      <c r="O110" s="3">
        <v>96916</v>
      </c>
      <c r="P110" s="3">
        <v>107205</v>
      </c>
      <c r="Q110" s="3">
        <v>110135</v>
      </c>
      <c r="S110" s="7"/>
    </row>
    <row r="111" spans="1:19" x14ac:dyDescent="0.2">
      <c r="A111" s="2" t="s">
        <v>99</v>
      </c>
      <c r="B111" s="2" t="s">
        <v>22</v>
      </c>
      <c r="C111" s="2" t="s">
        <v>29</v>
      </c>
      <c r="D111" s="2" t="s">
        <v>24</v>
      </c>
      <c r="E111" s="3">
        <v>0</v>
      </c>
      <c r="F111" s="3">
        <v>0</v>
      </c>
      <c r="G111" s="3">
        <v>0</v>
      </c>
      <c r="H111" s="3">
        <v>0</v>
      </c>
      <c r="I111" s="3">
        <v>2400</v>
      </c>
      <c r="J111" s="3">
        <v>5933.37</v>
      </c>
      <c r="K111" s="3">
        <v>6400</v>
      </c>
      <c r="L111" s="3">
        <v>6400</v>
      </c>
      <c r="M111" s="3">
        <v>4799.96</v>
      </c>
      <c r="N111" s="3">
        <v>3200.0000000000005</v>
      </c>
      <c r="O111" s="3">
        <v>7200.02</v>
      </c>
      <c r="P111" s="3">
        <v>3225.5199999999995</v>
      </c>
      <c r="Q111" s="3">
        <v>6464.27</v>
      </c>
      <c r="S111" s="7"/>
    </row>
    <row r="112" spans="1:19" x14ac:dyDescent="0.2">
      <c r="A112" s="2" t="s">
        <v>99</v>
      </c>
      <c r="B112" s="2" t="s">
        <v>22</v>
      </c>
      <c r="C112" s="2" t="s">
        <v>28</v>
      </c>
      <c r="D112" s="2" t="s">
        <v>24</v>
      </c>
      <c r="E112" s="3">
        <v>0</v>
      </c>
      <c r="F112" s="3">
        <v>0</v>
      </c>
      <c r="G112" s="3">
        <v>0</v>
      </c>
      <c r="H112" s="3">
        <v>0</v>
      </c>
      <c r="I112" s="3">
        <v>78245</v>
      </c>
      <c r="J112" s="3">
        <v>94800</v>
      </c>
      <c r="K112" s="3">
        <v>94800</v>
      </c>
      <c r="L112" s="3">
        <v>95100</v>
      </c>
      <c r="M112" s="3">
        <v>95100</v>
      </c>
      <c r="N112" s="3">
        <v>95400</v>
      </c>
      <c r="O112" s="3">
        <v>95788.479999999996</v>
      </c>
      <c r="P112" s="3">
        <v>94498.239999999991</v>
      </c>
      <c r="Q112" s="3">
        <v>97146.72</v>
      </c>
      <c r="S112" s="7"/>
    </row>
    <row r="113" spans="1:19" x14ac:dyDescent="0.2">
      <c r="A113" s="2" t="s">
        <v>100</v>
      </c>
      <c r="B113" s="2" t="s">
        <v>22</v>
      </c>
      <c r="C113" s="2" t="s">
        <v>26</v>
      </c>
      <c r="D113" s="2" t="s">
        <v>24</v>
      </c>
      <c r="E113" s="3">
        <v>0</v>
      </c>
      <c r="F113" s="3">
        <v>0</v>
      </c>
      <c r="G113" s="3">
        <v>0</v>
      </c>
      <c r="H113" s="3">
        <v>0</v>
      </c>
      <c r="I113" s="3">
        <v>6247.5</v>
      </c>
      <c r="J113" s="3">
        <v>10710</v>
      </c>
      <c r="K113" s="3">
        <v>8925</v>
      </c>
      <c r="L113" s="3">
        <v>10710</v>
      </c>
      <c r="M113" s="3">
        <v>3570</v>
      </c>
      <c r="N113" s="3">
        <v>7140</v>
      </c>
      <c r="O113" s="3">
        <v>10759.3</v>
      </c>
      <c r="P113" s="3">
        <v>10710</v>
      </c>
      <c r="Q113" s="3">
        <v>10831.06</v>
      </c>
      <c r="S113" s="7"/>
    </row>
    <row r="114" spans="1:19" x14ac:dyDescent="0.2">
      <c r="A114" s="2" t="s">
        <v>100</v>
      </c>
      <c r="B114" s="2" t="s">
        <v>22</v>
      </c>
      <c r="C114" s="2" t="s">
        <v>29</v>
      </c>
      <c r="D114" s="2" t="s">
        <v>24</v>
      </c>
      <c r="E114" s="3">
        <v>0</v>
      </c>
      <c r="F114" s="3">
        <v>0</v>
      </c>
      <c r="G114" s="3">
        <v>0</v>
      </c>
      <c r="H114" s="3">
        <v>0</v>
      </c>
      <c r="I114" s="3">
        <v>332.5</v>
      </c>
      <c r="J114" s="3">
        <v>570</v>
      </c>
      <c r="K114" s="3">
        <v>2280</v>
      </c>
      <c r="L114" s="3">
        <v>570</v>
      </c>
      <c r="M114" s="3">
        <v>190</v>
      </c>
      <c r="N114" s="3">
        <v>380</v>
      </c>
      <c r="O114" s="3">
        <v>573.20000000000005</v>
      </c>
      <c r="P114" s="3">
        <v>570</v>
      </c>
      <c r="Q114" s="3">
        <v>572.04</v>
      </c>
      <c r="S114" s="7"/>
    </row>
    <row r="115" spans="1:19" x14ac:dyDescent="0.2">
      <c r="A115" s="2" t="s">
        <v>101</v>
      </c>
      <c r="B115" s="2" t="s">
        <v>33</v>
      </c>
      <c r="C115" s="2" t="s">
        <v>34</v>
      </c>
      <c r="D115" s="2" t="s">
        <v>72</v>
      </c>
      <c r="E115" s="3">
        <v>0</v>
      </c>
      <c r="F115" s="3">
        <v>0</v>
      </c>
      <c r="G115" s="3">
        <v>0</v>
      </c>
      <c r="H115" s="3">
        <v>0</v>
      </c>
      <c r="I115" s="3">
        <v>27183</v>
      </c>
      <c r="J115" s="3">
        <v>37060</v>
      </c>
      <c r="K115" s="3">
        <v>46380</v>
      </c>
      <c r="L115" s="3">
        <v>49164</v>
      </c>
      <c r="M115" s="3">
        <v>57436.65</v>
      </c>
      <c r="N115" s="3">
        <v>59364.270000000004</v>
      </c>
      <c r="O115" s="3">
        <v>60288.45</v>
      </c>
      <c r="P115" s="3">
        <v>62136.709999999992</v>
      </c>
      <c r="Q115" s="3">
        <v>64328.171840000025</v>
      </c>
      <c r="S115" s="7"/>
    </row>
    <row r="116" spans="1:19" x14ac:dyDescent="0.2">
      <c r="A116" s="2" t="s">
        <v>102</v>
      </c>
      <c r="B116" s="2" t="s">
        <v>33</v>
      </c>
      <c r="C116" s="2" t="s">
        <v>48</v>
      </c>
      <c r="D116" s="2" t="s">
        <v>31</v>
      </c>
      <c r="E116" s="3">
        <v>0</v>
      </c>
      <c r="F116" s="3">
        <v>0</v>
      </c>
      <c r="G116" s="3">
        <v>0</v>
      </c>
      <c r="H116" s="3">
        <v>0</v>
      </c>
      <c r="I116" s="3">
        <v>37000</v>
      </c>
      <c r="J116" s="3">
        <v>162000</v>
      </c>
      <c r="K116" s="3">
        <v>162000</v>
      </c>
      <c r="L116" s="3">
        <v>162000</v>
      </c>
      <c r="M116" s="3">
        <v>162000</v>
      </c>
      <c r="N116" s="3">
        <v>162000</v>
      </c>
      <c r="O116" s="3">
        <v>162864</v>
      </c>
      <c r="P116" s="3">
        <v>162000</v>
      </c>
      <c r="Q116" s="3">
        <v>164665</v>
      </c>
      <c r="S116" s="7"/>
    </row>
    <row r="117" spans="1:19" x14ac:dyDescent="0.2">
      <c r="A117" s="2" t="s">
        <v>102</v>
      </c>
      <c r="B117" s="2" t="s">
        <v>33</v>
      </c>
      <c r="C117" s="2" t="s">
        <v>34</v>
      </c>
      <c r="D117" s="2" t="s">
        <v>31</v>
      </c>
      <c r="E117" s="3">
        <v>0</v>
      </c>
      <c r="F117" s="3">
        <v>0</v>
      </c>
      <c r="G117" s="3">
        <v>0</v>
      </c>
      <c r="H117" s="3">
        <v>0</v>
      </c>
      <c r="I117" s="3">
        <v>7385.48</v>
      </c>
      <c r="J117" s="3">
        <v>57414.520000000004</v>
      </c>
      <c r="K117" s="3">
        <v>63450</v>
      </c>
      <c r="L117" s="3">
        <v>61560</v>
      </c>
      <c r="M117" s="3">
        <v>61560</v>
      </c>
      <c r="N117" s="3">
        <v>71820</v>
      </c>
      <c r="O117" s="3">
        <v>61560</v>
      </c>
      <c r="P117" s="3">
        <v>51300</v>
      </c>
      <c r="Q117" s="3">
        <v>0</v>
      </c>
      <c r="S117" s="7"/>
    </row>
    <row r="118" spans="1:19" x14ac:dyDescent="0.2">
      <c r="A118" s="2" t="s">
        <v>103</v>
      </c>
      <c r="B118" s="2" t="s">
        <v>22</v>
      </c>
      <c r="C118" s="2" t="s">
        <v>29</v>
      </c>
      <c r="D118" s="2" t="s">
        <v>55</v>
      </c>
      <c r="E118" s="3">
        <v>0</v>
      </c>
      <c r="F118" s="3">
        <v>0</v>
      </c>
      <c r="G118" s="3">
        <v>0</v>
      </c>
      <c r="H118" s="3">
        <v>0</v>
      </c>
      <c r="I118" s="3">
        <v>1125</v>
      </c>
      <c r="J118" s="3">
        <v>18050</v>
      </c>
      <c r="K118" s="3">
        <v>17700</v>
      </c>
      <c r="L118" s="3">
        <v>17175</v>
      </c>
      <c r="M118" s="3">
        <v>16650</v>
      </c>
      <c r="N118" s="3">
        <v>21600</v>
      </c>
      <c r="O118" s="3">
        <v>25100</v>
      </c>
      <c r="P118" s="3">
        <v>26904.839999999997</v>
      </c>
      <c r="Q118" s="3">
        <v>32999.920000000006</v>
      </c>
      <c r="S118" s="7"/>
    </row>
    <row r="119" spans="1:19" x14ac:dyDescent="0.2">
      <c r="A119" s="2" t="s">
        <v>103</v>
      </c>
      <c r="B119" s="2" t="s">
        <v>33</v>
      </c>
      <c r="C119" s="2" t="s">
        <v>53</v>
      </c>
      <c r="D119" s="2" t="s">
        <v>55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15095</v>
      </c>
      <c r="O119" s="3">
        <v>41940</v>
      </c>
      <c r="P119" s="3">
        <v>74810</v>
      </c>
      <c r="Q119" s="3">
        <v>81420</v>
      </c>
      <c r="S119" s="7"/>
    </row>
    <row r="120" spans="1:19" x14ac:dyDescent="0.2">
      <c r="A120" s="2" t="s">
        <v>104</v>
      </c>
      <c r="B120" s="2" t="s">
        <v>22</v>
      </c>
      <c r="C120" s="2" t="s">
        <v>26</v>
      </c>
      <c r="D120" s="2" t="s">
        <v>31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10427.08</v>
      </c>
      <c r="K120" s="3">
        <v>11375</v>
      </c>
      <c r="L120" s="3">
        <v>11375</v>
      </c>
      <c r="M120" s="3">
        <v>11375</v>
      </c>
      <c r="N120" s="3">
        <v>16989.59</v>
      </c>
      <c r="O120" s="3">
        <v>17474.02</v>
      </c>
      <c r="P120" s="3">
        <v>16875.600000000002</v>
      </c>
      <c r="Q120" s="3">
        <v>18543.4516</v>
      </c>
      <c r="S120" s="7"/>
    </row>
    <row r="121" spans="1:19" x14ac:dyDescent="0.2">
      <c r="A121" s="2" t="s">
        <v>104</v>
      </c>
      <c r="B121" s="2" t="s">
        <v>22</v>
      </c>
      <c r="C121" s="2" t="s">
        <v>29</v>
      </c>
      <c r="D121" s="2" t="s">
        <v>31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4950</v>
      </c>
      <c r="K121" s="3">
        <v>7875</v>
      </c>
      <c r="L121" s="3">
        <v>9750</v>
      </c>
      <c r="M121" s="3">
        <v>9900</v>
      </c>
      <c r="N121" s="3">
        <v>10725</v>
      </c>
      <c r="O121" s="3">
        <v>10843.45</v>
      </c>
      <c r="P121" s="3">
        <v>11995.07</v>
      </c>
      <c r="Q121" s="3">
        <v>12045.311760000002</v>
      </c>
      <c r="S121" s="7"/>
    </row>
    <row r="122" spans="1:19" x14ac:dyDescent="0.2">
      <c r="A122" s="2" t="s">
        <v>105</v>
      </c>
      <c r="B122" s="2" t="s">
        <v>22</v>
      </c>
      <c r="C122" s="2" t="s">
        <v>23</v>
      </c>
      <c r="D122" s="2" t="s">
        <v>24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43146.659999999989</v>
      </c>
      <c r="K122" s="3">
        <v>37999.999999999993</v>
      </c>
      <c r="L122" s="3">
        <v>37999.999999999993</v>
      </c>
      <c r="M122" s="3">
        <v>37999.999999999993</v>
      </c>
      <c r="N122" s="3">
        <v>37999.999999999993</v>
      </c>
      <c r="O122" s="3">
        <v>23099.739999999998</v>
      </c>
      <c r="P122" s="3">
        <v>21982.879999999997</v>
      </c>
      <c r="Q122" s="3">
        <v>21611.978400000004</v>
      </c>
      <c r="S122" s="7"/>
    </row>
    <row r="123" spans="1:19" x14ac:dyDescent="0.2">
      <c r="A123" s="2" t="s">
        <v>105</v>
      </c>
      <c r="B123" s="2" t="s">
        <v>22</v>
      </c>
      <c r="C123" s="2" t="s">
        <v>28</v>
      </c>
      <c r="D123" s="2" t="s">
        <v>24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28500</v>
      </c>
      <c r="K123" s="3">
        <v>34700</v>
      </c>
      <c r="L123" s="3">
        <v>33800</v>
      </c>
      <c r="M123" s="3">
        <v>36100</v>
      </c>
      <c r="N123" s="3">
        <v>37100</v>
      </c>
      <c r="O123" s="3">
        <v>39902.839999999997</v>
      </c>
      <c r="P123" s="3">
        <v>41313.840000000004</v>
      </c>
      <c r="Q123" s="3">
        <v>40213.32</v>
      </c>
      <c r="S123" s="7"/>
    </row>
    <row r="124" spans="1:19" x14ac:dyDescent="0.2">
      <c r="A124" s="2" t="s">
        <v>106</v>
      </c>
      <c r="B124" s="2" t="s">
        <v>22</v>
      </c>
      <c r="C124" s="2" t="s">
        <v>28</v>
      </c>
      <c r="D124" s="2" t="s">
        <v>45</v>
      </c>
      <c r="E124" s="3">
        <v>3600</v>
      </c>
      <c r="F124" s="3">
        <v>2700</v>
      </c>
      <c r="G124" s="3">
        <v>3600</v>
      </c>
      <c r="H124" s="3">
        <v>3600</v>
      </c>
      <c r="I124" s="3">
        <v>3600</v>
      </c>
      <c r="J124" s="3">
        <v>3600</v>
      </c>
      <c r="K124" s="3">
        <v>3600</v>
      </c>
      <c r="L124" s="3">
        <v>3600</v>
      </c>
      <c r="M124" s="3">
        <v>3600</v>
      </c>
      <c r="N124" s="3">
        <v>3600</v>
      </c>
      <c r="O124" s="3">
        <v>3596.58</v>
      </c>
      <c r="P124" s="3">
        <v>303.42</v>
      </c>
      <c r="Q124" s="3">
        <v>0</v>
      </c>
      <c r="S124" s="7"/>
    </row>
    <row r="125" spans="1:19" x14ac:dyDescent="0.2">
      <c r="A125" s="2" t="s">
        <v>106</v>
      </c>
      <c r="B125" s="2" t="s">
        <v>22</v>
      </c>
      <c r="C125" s="2" t="s">
        <v>50</v>
      </c>
      <c r="D125" s="2" t="s">
        <v>45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3900</v>
      </c>
      <c r="M125" s="3">
        <v>9400</v>
      </c>
      <c r="N125" s="3">
        <v>9600</v>
      </c>
      <c r="O125" s="3">
        <v>9600</v>
      </c>
      <c r="P125" s="3">
        <v>7597.8799999999992</v>
      </c>
      <c r="Q125" s="3">
        <v>4821.72</v>
      </c>
      <c r="S125" s="7"/>
    </row>
    <row r="126" spans="1:19" x14ac:dyDescent="0.2">
      <c r="A126" s="2" t="s">
        <v>106</v>
      </c>
      <c r="B126" s="2" t="s">
        <v>22</v>
      </c>
      <c r="C126" s="2" t="s">
        <v>29</v>
      </c>
      <c r="D126" s="2" t="s">
        <v>45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840.57999999999993</v>
      </c>
      <c r="Q126" s="3">
        <v>5101.9071999999996</v>
      </c>
      <c r="S126" s="7"/>
    </row>
    <row r="127" spans="1:19" x14ac:dyDescent="0.2">
      <c r="A127" s="2" t="s">
        <v>107</v>
      </c>
      <c r="B127" s="2" t="s">
        <v>22</v>
      </c>
      <c r="C127" s="2" t="s">
        <v>23</v>
      </c>
      <c r="D127" s="2" t="s">
        <v>24</v>
      </c>
      <c r="E127" s="3">
        <v>15800.01</v>
      </c>
      <c r="F127" s="3">
        <v>15000</v>
      </c>
      <c r="G127" s="3">
        <v>15000</v>
      </c>
      <c r="H127" s="3">
        <v>15146.25</v>
      </c>
      <c r="I127" s="3">
        <v>15717.470000000001</v>
      </c>
      <c r="J127" s="3">
        <v>16231.250000000002</v>
      </c>
      <c r="K127" s="3">
        <v>16647.5</v>
      </c>
      <c r="L127" s="3">
        <v>16955</v>
      </c>
      <c r="M127" s="3">
        <v>17702.559999999998</v>
      </c>
      <c r="N127" s="3">
        <v>32987.47</v>
      </c>
      <c r="O127" s="3">
        <v>33862.959999999999</v>
      </c>
      <c r="P127" s="3">
        <v>15455.959999999997</v>
      </c>
      <c r="Q127" s="3">
        <v>0</v>
      </c>
      <c r="S127" s="7"/>
    </row>
    <row r="128" spans="1:19" x14ac:dyDescent="0.2">
      <c r="A128" s="2" t="s">
        <v>107</v>
      </c>
      <c r="B128" s="2" t="s">
        <v>22</v>
      </c>
      <c r="C128" s="2" t="s">
        <v>29</v>
      </c>
      <c r="D128" s="2" t="s">
        <v>24</v>
      </c>
      <c r="E128" s="3">
        <v>8821.6899999999987</v>
      </c>
      <c r="F128" s="3">
        <v>34759.979999999996</v>
      </c>
      <c r="G128" s="3">
        <v>40289.97</v>
      </c>
      <c r="H128" s="3">
        <v>52401.670000000013</v>
      </c>
      <c r="I128" s="3">
        <v>59527.470000000008</v>
      </c>
      <c r="J128" s="3">
        <v>74500.859999999986</v>
      </c>
      <c r="K128" s="3">
        <v>89429.17</v>
      </c>
      <c r="L128" s="3">
        <v>96094.94</v>
      </c>
      <c r="M128" s="3">
        <v>107647.53</v>
      </c>
      <c r="N128" s="3">
        <v>117600</v>
      </c>
      <c r="O128" s="3">
        <v>119557.59999999999</v>
      </c>
      <c r="P128" s="3">
        <v>54147.799999999996</v>
      </c>
      <c r="Q128" s="3">
        <v>0</v>
      </c>
      <c r="S128" s="7"/>
    </row>
    <row r="129" spans="1:19" x14ac:dyDescent="0.2">
      <c r="A129" s="2" t="s">
        <v>107</v>
      </c>
      <c r="B129" s="2" t="s">
        <v>22</v>
      </c>
      <c r="C129" s="2" t="s">
        <v>63</v>
      </c>
      <c r="D129" s="2" t="s">
        <v>24</v>
      </c>
      <c r="E129" s="3">
        <v>0</v>
      </c>
      <c r="F129" s="3">
        <v>0</v>
      </c>
      <c r="G129" s="3">
        <v>13249.97</v>
      </c>
      <c r="H129" s="3">
        <v>78584.999999999985</v>
      </c>
      <c r="I129" s="3">
        <v>88299.999999999985</v>
      </c>
      <c r="J129" s="3">
        <v>65390.029999999992</v>
      </c>
      <c r="K129" s="3">
        <v>69555</v>
      </c>
      <c r="L129" s="3">
        <v>73219.25</v>
      </c>
      <c r="M129" s="3">
        <v>84226.22</v>
      </c>
      <c r="N129" s="3">
        <v>87393.78</v>
      </c>
      <c r="O129" s="3">
        <v>91608.685999999987</v>
      </c>
      <c r="P129" s="3">
        <v>95026.199999999983</v>
      </c>
      <c r="Q129" s="3">
        <v>100478.06</v>
      </c>
      <c r="S129" s="7"/>
    </row>
    <row r="130" spans="1:19" x14ac:dyDescent="0.2">
      <c r="A130" s="2" t="s">
        <v>107</v>
      </c>
      <c r="B130" s="2" t="s">
        <v>22</v>
      </c>
      <c r="C130" s="2" t="s">
        <v>28</v>
      </c>
      <c r="D130" s="2" t="s">
        <v>24</v>
      </c>
      <c r="E130" s="3">
        <v>0</v>
      </c>
      <c r="F130" s="3">
        <v>0</v>
      </c>
      <c r="G130" s="3">
        <v>14312.53</v>
      </c>
      <c r="H130" s="3">
        <v>109997.56999999999</v>
      </c>
      <c r="I130" s="3">
        <v>92700</v>
      </c>
      <c r="J130" s="3">
        <v>105558.78</v>
      </c>
      <c r="K130" s="3">
        <v>110939.97</v>
      </c>
      <c r="L130" s="3">
        <v>113248.78</v>
      </c>
      <c r="M130" s="3">
        <v>116801.22</v>
      </c>
      <c r="N130" s="3">
        <v>126102.47</v>
      </c>
      <c r="O130" s="3">
        <v>113621.54000000001</v>
      </c>
      <c r="P130" s="3">
        <v>111829.36</v>
      </c>
      <c r="Q130" s="3">
        <v>80001.650000000009</v>
      </c>
      <c r="S130" s="7"/>
    </row>
    <row r="131" spans="1:19" x14ac:dyDescent="0.2">
      <c r="A131" s="2" t="s">
        <v>107</v>
      </c>
      <c r="B131" s="2" t="s">
        <v>22</v>
      </c>
      <c r="C131" s="2" t="s">
        <v>29</v>
      </c>
      <c r="D131" s="2" t="s">
        <v>24</v>
      </c>
      <c r="E131" s="3">
        <v>0</v>
      </c>
      <c r="F131" s="3">
        <v>0</v>
      </c>
      <c r="G131" s="3">
        <v>0</v>
      </c>
      <c r="H131" s="3">
        <v>4538.33</v>
      </c>
      <c r="I131" s="3">
        <v>15525.03</v>
      </c>
      <c r="J131" s="3">
        <v>21758.720000000001</v>
      </c>
      <c r="K131" s="3">
        <v>25350.03</v>
      </c>
      <c r="L131" s="3">
        <v>25761.279999999999</v>
      </c>
      <c r="M131" s="3">
        <v>41862.439999999995</v>
      </c>
      <c r="N131" s="3">
        <v>64403.749999999985</v>
      </c>
      <c r="O131" s="3">
        <v>61809.639999999992</v>
      </c>
      <c r="P131" s="3">
        <v>38278.76</v>
      </c>
      <c r="Q131" s="3">
        <v>42292.58</v>
      </c>
      <c r="S131" s="7"/>
    </row>
    <row r="132" spans="1:19" x14ac:dyDescent="0.2">
      <c r="A132" s="2" t="s">
        <v>107</v>
      </c>
      <c r="B132" s="2" t="s">
        <v>33</v>
      </c>
      <c r="C132" s="2" t="s">
        <v>34</v>
      </c>
      <c r="D132" s="2" t="s">
        <v>24</v>
      </c>
      <c r="E132" s="3">
        <v>0</v>
      </c>
      <c r="F132" s="3">
        <v>0</v>
      </c>
      <c r="G132" s="3">
        <v>0</v>
      </c>
      <c r="H132" s="3">
        <v>222706.97</v>
      </c>
      <c r="I132" s="3">
        <v>423300</v>
      </c>
      <c r="J132" s="3">
        <v>432060</v>
      </c>
      <c r="K132" s="3">
        <v>438450</v>
      </c>
      <c r="L132" s="3">
        <v>441060</v>
      </c>
      <c r="M132" s="3">
        <v>441060</v>
      </c>
      <c r="N132" s="3">
        <v>395560</v>
      </c>
      <c r="O132" s="3">
        <v>346400</v>
      </c>
      <c r="P132" s="3">
        <v>156930</v>
      </c>
      <c r="Q132" s="3">
        <v>0</v>
      </c>
      <c r="S132" s="7"/>
    </row>
    <row r="133" spans="1:19" x14ac:dyDescent="0.2">
      <c r="A133" s="2" t="s">
        <v>107</v>
      </c>
      <c r="B133" s="2" t="s">
        <v>22</v>
      </c>
      <c r="C133" s="2" t="s">
        <v>29</v>
      </c>
      <c r="D133" s="2" t="s">
        <v>24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43230</v>
      </c>
      <c r="M133" s="3">
        <v>12300</v>
      </c>
      <c r="N133" s="3">
        <v>13365</v>
      </c>
      <c r="O133" s="3">
        <v>11662.61</v>
      </c>
      <c r="P133" s="3">
        <v>40293.119999999995</v>
      </c>
      <c r="Q133" s="3">
        <v>93987.3</v>
      </c>
      <c r="S133" s="7"/>
    </row>
    <row r="134" spans="1:19" x14ac:dyDescent="0.2">
      <c r="A134" s="2" t="s">
        <v>108</v>
      </c>
      <c r="B134" s="2" t="s">
        <v>22</v>
      </c>
      <c r="C134" s="2" t="s">
        <v>23</v>
      </c>
      <c r="D134" s="2" t="s">
        <v>24</v>
      </c>
      <c r="E134" s="3">
        <v>64029.86</v>
      </c>
      <c r="F134" s="3">
        <v>65910.429999999993</v>
      </c>
      <c r="G134" s="3">
        <v>66213.63</v>
      </c>
      <c r="H134" s="3">
        <v>67545.100000000006</v>
      </c>
      <c r="I134" s="3">
        <v>69980.11</v>
      </c>
      <c r="J134" s="3">
        <v>95000.09</v>
      </c>
      <c r="K134" s="3">
        <v>109959.03999999999</v>
      </c>
      <c r="L134" s="3">
        <v>110125</v>
      </c>
      <c r="M134" s="3">
        <v>112887.44</v>
      </c>
      <c r="N134" s="3">
        <v>122650.03</v>
      </c>
      <c r="O134" s="3">
        <v>127513.40000000001</v>
      </c>
      <c r="P134" s="3">
        <v>132896.02000000002</v>
      </c>
      <c r="Q134" s="3">
        <v>137859.57328000001</v>
      </c>
      <c r="S134" s="7"/>
    </row>
    <row r="135" spans="1:19" x14ac:dyDescent="0.2">
      <c r="A135" s="2" t="s">
        <v>108</v>
      </c>
      <c r="B135" s="2" t="s">
        <v>22</v>
      </c>
      <c r="C135" s="2" t="s">
        <v>36</v>
      </c>
      <c r="D135" s="2" t="s">
        <v>24</v>
      </c>
      <c r="E135" s="3">
        <v>9349.9699999999993</v>
      </c>
      <c r="F135" s="3">
        <v>9500</v>
      </c>
      <c r="G135" s="3">
        <v>9500</v>
      </c>
      <c r="H135" s="3">
        <v>9587.89</v>
      </c>
      <c r="I135" s="3">
        <v>14249.010000000002</v>
      </c>
      <c r="J135" s="3">
        <v>17750.879999999997</v>
      </c>
      <c r="K135" s="3">
        <v>18001.22</v>
      </c>
      <c r="L135" s="3">
        <v>17870</v>
      </c>
      <c r="M135" s="3">
        <v>18376.25</v>
      </c>
      <c r="N135" s="3">
        <v>20142.5</v>
      </c>
      <c r="O135" s="3">
        <v>21041.129999999997</v>
      </c>
      <c r="P135" s="3">
        <v>21818.52</v>
      </c>
      <c r="Q135" s="3">
        <v>21960.92</v>
      </c>
      <c r="S135" s="7"/>
    </row>
    <row r="136" spans="1:19" x14ac:dyDescent="0.2">
      <c r="A136" s="2" t="s">
        <v>108</v>
      </c>
      <c r="B136" s="2" t="s">
        <v>22</v>
      </c>
      <c r="C136" s="2" t="s">
        <v>39</v>
      </c>
      <c r="D136" s="2" t="s">
        <v>24</v>
      </c>
      <c r="E136" s="3">
        <v>48062.92</v>
      </c>
      <c r="F136" s="3">
        <v>59095.099999999991</v>
      </c>
      <c r="G136" s="3">
        <v>63556.239999999991</v>
      </c>
      <c r="H136" s="3">
        <v>60518.15</v>
      </c>
      <c r="I136" s="3">
        <v>62702.549999999996</v>
      </c>
      <c r="J136" s="3">
        <v>64707.529999999992</v>
      </c>
      <c r="K136" s="3">
        <v>66105</v>
      </c>
      <c r="L136" s="3">
        <v>66105</v>
      </c>
      <c r="M136" s="3">
        <v>67767.47</v>
      </c>
      <c r="N136" s="3">
        <v>73625.06</v>
      </c>
      <c r="O136" s="3">
        <v>76184.59600000002</v>
      </c>
      <c r="P136" s="3">
        <v>80012.459999999992</v>
      </c>
      <c r="Q136" s="3">
        <v>81054.243199999997</v>
      </c>
      <c r="S136" s="7"/>
    </row>
    <row r="137" spans="1:19" x14ac:dyDescent="0.2">
      <c r="A137" s="2" t="s">
        <v>108</v>
      </c>
      <c r="B137" s="2" t="s">
        <v>22</v>
      </c>
      <c r="C137" s="2" t="s">
        <v>29</v>
      </c>
      <c r="D137" s="2" t="s">
        <v>24</v>
      </c>
      <c r="E137" s="3">
        <v>0</v>
      </c>
      <c r="F137" s="3">
        <v>0</v>
      </c>
      <c r="G137" s="3">
        <v>0</v>
      </c>
      <c r="H137" s="3">
        <v>875</v>
      </c>
      <c r="I137" s="3">
        <v>13150</v>
      </c>
      <c r="J137" s="3">
        <v>23025</v>
      </c>
      <c r="K137" s="3">
        <v>23925</v>
      </c>
      <c r="L137" s="3">
        <v>28725</v>
      </c>
      <c r="M137" s="3">
        <v>31350</v>
      </c>
      <c r="N137" s="3">
        <v>34038.75</v>
      </c>
      <c r="O137" s="3">
        <v>37239.82</v>
      </c>
      <c r="P137" s="3">
        <v>34337.400000000009</v>
      </c>
      <c r="Q137" s="3">
        <v>36541.089599999999</v>
      </c>
      <c r="S137" s="7"/>
    </row>
    <row r="138" spans="1:19" x14ac:dyDescent="0.2">
      <c r="A138" s="2" t="s">
        <v>108</v>
      </c>
      <c r="B138" s="2" t="s">
        <v>22</v>
      </c>
      <c r="C138" s="2" t="s">
        <v>28</v>
      </c>
      <c r="D138" s="2" t="s">
        <v>24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241899.67</v>
      </c>
      <c r="N138" s="3">
        <v>191785</v>
      </c>
      <c r="O138" s="3">
        <v>203649.81999999998</v>
      </c>
      <c r="P138" s="3">
        <v>203308.4</v>
      </c>
      <c r="Q138" s="3">
        <v>214686.17400000006</v>
      </c>
      <c r="S138" s="7"/>
    </row>
    <row r="139" spans="1:19" x14ac:dyDescent="0.2">
      <c r="A139" s="2" t="s">
        <v>109</v>
      </c>
      <c r="B139" s="2" t="s">
        <v>22</v>
      </c>
      <c r="C139" s="2" t="s">
        <v>26</v>
      </c>
      <c r="D139" s="2" t="s">
        <v>24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19600</v>
      </c>
      <c r="O139" s="3">
        <v>44891.56</v>
      </c>
      <c r="P139" s="3">
        <v>50429.639999999992</v>
      </c>
      <c r="Q139" s="3">
        <v>36517.1</v>
      </c>
      <c r="S139" s="7"/>
    </row>
    <row r="140" spans="1:19" x14ac:dyDescent="0.2">
      <c r="A140" s="2" t="s">
        <v>109</v>
      </c>
      <c r="B140" s="2" t="s">
        <v>22</v>
      </c>
      <c r="C140" s="2" t="s">
        <v>29</v>
      </c>
      <c r="D140" s="2" t="s">
        <v>24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4217.5</v>
      </c>
      <c r="O140" s="3">
        <v>61895.189999999995</v>
      </c>
      <c r="P140" s="3">
        <v>101189.98999999999</v>
      </c>
      <c r="Q140" s="3">
        <v>103597.83000000003</v>
      </c>
      <c r="S140" s="7"/>
    </row>
    <row r="141" spans="1:19" x14ac:dyDescent="0.2">
      <c r="A141" s="2" t="s">
        <v>109</v>
      </c>
      <c r="B141" s="2" t="s">
        <v>22</v>
      </c>
      <c r="C141" s="2" t="s">
        <v>29</v>
      </c>
      <c r="D141" s="2" t="s">
        <v>24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6978.02</v>
      </c>
      <c r="P141" s="3">
        <v>13161.810000000001</v>
      </c>
      <c r="Q141" s="3">
        <v>15842.869999999999</v>
      </c>
      <c r="S141" s="7"/>
    </row>
    <row r="142" spans="1:19" x14ac:dyDescent="0.2">
      <c r="A142" s="2" t="s">
        <v>109</v>
      </c>
      <c r="B142" s="2" t="s">
        <v>52</v>
      </c>
      <c r="C142" s="2" t="s">
        <v>53</v>
      </c>
      <c r="D142" s="2" t="s">
        <v>24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180410</v>
      </c>
      <c r="Q142" s="3">
        <v>265354</v>
      </c>
      <c r="S142" s="7"/>
    </row>
    <row r="143" spans="1:19" x14ac:dyDescent="0.2">
      <c r="A143" s="2" t="s">
        <v>110</v>
      </c>
      <c r="B143" s="2" t="s">
        <v>33</v>
      </c>
      <c r="C143" s="2" t="s">
        <v>38</v>
      </c>
      <c r="D143" s="2" t="s">
        <v>24</v>
      </c>
      <c r="E143" s="3">
        <v>12600</v>
      </c>
      <c r="F143" s="3">
        <v>16762.5</v>
      </c>
      <c r="G143" s="3">
        <v>11362.5</v>
      </c>
      <c r="H143" s="3">
        <v>13500</v>
      </c>
      <c r="I143" s="3">
        <v>11475</v>
      </c>
      <c r="J143" s="3">
        <v>10800</v>
      </c>
      <c r="K143" s="3">
        <v>10800</v>
      </c>
      <c r="L143" s="3">
        <v>10800</v>
      </c>
      <c r="M143" s="3">
        <v>10800</v>
      </c>
      <c r="N143" s="3">
        <v>10800</v>
      </c>
      <c r="O143" s="3">
        <v>11739.26</v>
      </c>
      <c r="P143" s="3">
        <v>9891.1</v>
      </c>
      <c r="Q143" s="3">
        <v>8069.6399999999994</v>
      </c>
      <c r="S143" s="7"/>
    </row>
    <row r="144" spans="1:19" x14ac:dyDescent="0.2">
      <c r="A144" s="2" t="s">
        <v>110</v>
      </c>
      <c r="B144" s="2" t="s">
        <v>22</v>
      </c>
      <c r="C144" s="2" t="s">
        <v>23</v>
      </c>
      <c r="D144" s="2" t="s">
        <v>24</v>
      </c>
      <c r="E144" s="3">
        <v>34999.999999999993</v>
      </c>
      <c r="F144" s="3">
        <v>34999.999999999993</v>
      </c>
      <c r="G144" s="3">
        <v>34999.999999999993</v>
      </c>
      <c r="H144" s="3">
        <v>34999.999999999993</v>
      </c>
      <c r="I144" s="3">
        <v>34999.999999999993</v>
      </c>
      <c r="J144" s="3">
        <v>34999.999999999993</v>
      </c>
      <c r="K144" s="3">
        <v>34999.999999999993</v>
      </c>
      <c r="L144" s="3">
        <v>34999.999999999993</v>
      </c>
      <c r="M144" s="3">
        <v>34999.999999999993</v>
      </c>
      <c r="N144" s="3">
        <v>34999.999999999993</v>
      </c>
      <c r="O144" s="3">
        <v>36555.019999999997</v>
      </c>
      <c r="P144" s="3">
        <v>36739.770000000011</v>
      </c>
      <c r="Q144" s="3">
        <v>39007.61759999999</v>
      </c>
      <c r="S144" s="7"/>
    </row>
    <row r="145" spans="1:19" x14ac:dyDescent="0.2">
      <c r="A145" s="2" t="s">
        <v>110</v>
      </c>
      <c r="B145" s="2" t="s">
        <v>22</v>
      </c>
      <c r="C145" s="2" t="s">
        <v>26</v>
      </c>
      <c r="D145" s="2" t="s">
        <v>24</v>
      </c>
      <c r="E145" s="3">
        <v>14499.999999999998</v>
      </c>
      <c r="F145" s="3">
        <v>31226.499999999996</v>
      </c>
      <c r="G145" s="3">
        <v>14499.999999999998</v>
      </c>
      <c r="H145" s="3">
        <v>14499.999999999998</v>
      </c>
      <c r="I145" s="3">
        <v>14499.999999999998</v>
      </c>
      <c r="J145" s="3">
        <v>14499.999999999998</v>
      </c>
      <c r="K145" s="3">
        <v>14499.999999999998</v>
      </c>
      <c r="L145" s="3">
        <v>14499.999999999998</v>
      </c>
      <c r="M145" s="3">
        <v>14499.999999999998</v>
      </c>
      <c r="N145" s="3">
        <v>15466.640000000001</v>
      </c>
      <c r="O145" s="3">
        <v>16383.880000000001</v>
      </c>
      <c r="P145" s="3">
        <v>17167.249999999996</v>
      </c>
      <c r="Q145" s="3">
        <v>17604.89</v>
      </c>
      <c r="S145" s="7"/>
    </row>
    <row r="146" spans="1:19" x14ac:dyDescent="0.2">
      <c r="A146" s="2" t="s">
        <v>110</v>
      </c>
      <c r="B146" s="2" t="s">
        <v>22</v>
      </c>
      <c r="C146" s="2" t="s">
        <v>29</v>
      </c>
      <c r="D146" s="2" t="s">
        <v>24</v>
      </c>
      <c r="E146" s="3">
        <v>12000</v>
      </c>
      <c r="F146" s="3">
        <v>16901.100000000002</v>
      </c>
      <c r="G146" s="3">
        <v>13800</v>
      </c>
      <c r="H146" s="3">
        <v>16400</v>
      </c>
      <c r="I146" s="3">
        <v>20200</v>
      </c>
      <c r="J146" s="3">
        <v>25600</v>
      </c>
      <c r="K146" s="3">
        <v>29200</v>
      </c>
      <c r="L146" s="3">
        <v>29600</v>
      </c>
      <c r="M146" s="3">
        <v>29400</v>
      </c>
      <c r="N146" s="3">
        <v>24320</v>
      </c>
      <c r="O146" s="3">
        <v>19765.8</v>
      </c>
      <c r="P146" s="3">
        <v>20624.300000000003</v>
      </c>
      <c r="Q146" s="3">
        <v>21841.62</v>
      </c>
      <c r="S146" s="7"/>
    </row>
    <row r="147" spans="1:19" x14ac:dyDescent="0.2">
      <c r="A147" s="2" t="s">
        <v>110</v>
      </c>
      <c r="B147" s="2" t="s">
        <v>22</v>
      </c>
      <c r="C147" s="2" t="s">
        <v>39</v>
      </c>
      <c r="D147" s="2" t="s">
        <v>24</v>
      </c>
      <c r="E147" s="3">
        <v>0</v>
      </c>
      <c r="F147" s="3">
        <v>0</v>
      </c>
      <c r="G147" s="3">
        <v>0</v>
      </c>
      <c r="H147" s="3">
        <v>0</v>
      </c>
      <c r="I147" s="3">
        <v>29166.47</v>
      </c>
      <c r="J147" s="3">
        <v>187505.96000000005</v>
      </c>
      <c r="K147" s="3">
        <v>121482</v>
      </c>
      <c r="L147" s="3">
        <v>121482.04000000001</v>
      </c>
      <c r="M147" s="3">
        <v>121482.04000000001</v>
      </c>
      <c r="N147" s="3">
        <v>117315.37000000001</v>
      </c>
      <c r="O147" s="3">
        <v>71809.210000000006</v>
      </c>
      <c r="P147" s="3">
        <v>74254.009999999995</v>
      </c>
      <c r="Q147" s="3">
        <v>78257.685599999997</v>
      </c>
      <c r="S147" s="7"/>
    </row>
    <row r="148" spans="1:19" x14ac:dyDescent="0.2">
      <c r="A148" s="2" t="s">
        <v>111</v>
      </c>
      <c r="B148" s="2" t="s">
        <v>22</v>
      </c>
      <c r="C148" s="2" t="s">
        <v>26</v>
      </c>
      <c r="D148" s="2" t="s">
        <v>24</v>
      </c>
      <c r="E148" s="3">
        <v>14500</v>
      </c>
      <c r="F148" s="3">
        <v>14499.999999999998</v>
      </c>
      <c r="G148" s="3">
        <v>14499.999999999998</v>
      </c>
      <c r="H148" s="3">
        <v>14499.999999999998</v>
      </c>
      <c r="I148" s="3">
        <v>14499.999999999998</v>
      </c>
      <c r="J148" s="3">
        <v>14499.999999999998</v>
      </c>
      <c r="K148" s="3">
        <v>14500</v>
      </c>
      <c r="L148" s="3">
        <v>14500</v>
      </c>
      <c r="M148" s="3">
        <v>14500</v>
      </c>
      <c r="N148" s="3">
        <v>14500</v>
      </c>
      <c r="O148" s="3">
        <v>14571.49</v>
      </c>
      <c r="P148" s="3">
        <v>14890</v>
      </c>
      <c r="Q148" s="3">
        <v>15046.61</v>
      </c>
      <c r="S148" s="7"/>
    </row>
    <row r="149" spans="1:19" x14ac:dyDescent="0.2">
      <c r="A149" s="2" t="s">
        <v>111</v>
      </c>
      <c r="B149" s="2" t="s">
        <v>22</v>
      </c>
      <c r="C149" s="2" t="s">
        <v>28</v>
      </c>
      <c r="D149" s="2" t="s">
        <v>24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4500</v>
      </c>
      <c r="L149" s="3">
        <v>19500</v>
      </c>
      <c r="M149" s="3">
        <v>18000</v>
      </c>
      <c r="N149" s="3">
        <v>18000</v>
      </c>
      <c r="O149" s="3">
        <v>18530.64</v>
      </c>
      <c r="P149" s="3">
        <v>18000</v>
      </c>
      <c r="Q149" s="3">
        <v>18199.88</v>
      </c>
      <c r="S149" s="7"/>
    </row>
    <row r="150" spans="1:19" x14ac:dyDescent="0.2">
      <c r="A150" s="2" t="s">
        <v>111</v>
      </c>
      <c r="B150" s="2" t="s">
        <v>22</v>
      </c>
      <c r="C150" s="2" t="s">
        <v>28</v>
      </c>
      <c r="D150" s="2" t="s">
        <v>24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53691.759999999995</v>
      </c>
      <c r="P150" s="3">
        <v>52399.999999999993</v>
      </c>
      <c r="Q150" s="3">
        <v>52980.630000000005</v>
      </c>
      <c r="S150" s="7"/>
    </row>
    <row r="151" spans="1:19" x14ac:dyDescent="0.2">
      <c r="A151" s="2" t="s">
        <v>111</v>
      </c>
      <c r="B151" s="2" t="s">
        <v>33</v>
      </c>
      <c r="C151" s="2" t="s">
        <v>34</v>
      </c>
      <c r="D151" s="2" t="s">
        <v>24</v>
      </c>
      <c r="E151" s="3">
        <v>245790</v>
      </c>
      <c r="F151" s="3">
        <v>248976</v>
      </c>
      <c r="G151" s="3">
        <v>244652</v>
      </c>
      <c r="H151" s="3">
        <v>244050</v>
      </c>
      <c r="I151" s="3">
        <v>278580</v>
      </c>
      <c r="J151" s="3">
        <v>306365</v>
      </c>
      <c r="K151" s="3">
        <v>315804</v>
      </c>
      <c r="L151" s="3">
        <v>283637.56</v>
      </c>
      <c r="M151" s="3">
        <v>339563</v>
      </c>
      <c r="N151" s="3">
        <v>352488</v>
      </c>
      <c r="O151" s="3">
        <v>358438</v>
      </c>
      <c r="P151" s="3">
        <v>362688</v>
      </c>
      <c r="Q151" s="3">
        <v>371150.72000000003</v>
      </c>
      <c r="S151" s="7"/>
    </row>
    <row r="152" spans="1:19" x14ac:dyDescent="0.2">
      <c r="A152" s="2" t="s">
        <v>112</v>
      </c>
      <c r="B152" s="2" t="s">
        <v>22</v>
      </c>
      <c r="C152" s="2" t="s">
        <v>29</v>
      </c>
      <c r="D152" s="2" t="s">
        <v>113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34808.629999999997</v>
      </c>
      <c r="Q152" s="3">
        <v>40492.147946026984</v>
      </c>
      <c r="S152" s="7"/>
    </row>
    <row r="153" spans="1:19" x14ac:dyDescent="0.2">
      <c r="A153" s="2" t="s">
        <v>114</v>
      </c>
      <c r="B153" s="2" t="s">
        <v>33</v>
      </c>
      <c r="C153" s="2" t="s">
        <v>34</v>
      </c>
      <c r="D153" s="2" t="s">
        <v>24</v>
      </c>
      <c r="E153" s="3">
        <v>89760</v>
      </c>
      <c r="F153" s="3">
        <v>89760</v>
      </c>
      <c r="G153" s="3">
        <v>89760</v>
      </c>
      <c r="H153" s="3">
        <v>89760</v>
      </c>
      <c r="I153" s="3">
        <v>89760</v>
      </c>
      <c r="J153" s="3">
        <v>89760</v>
      </c>
      <c r="K153" s="3">
        <v>89760</v>
      </c>
      <c r="L153" s="3">
        <v>89760</v>
      </c>
      <c r="M153" s="3">
        <v>89760</v>
      </c>
      <c r="N153" s="3">
        <v>102080</v>
      </c>
      <c r="O153" s="3">
        <v>103200</v>
      </c>
      <c r="P153" s="3">
        <v>106500</v>
      </c>
      <c r="Q153" s="3">
        <v>110695</v>
      </c>
      <c r="S153" s="7"/>
    </row>
    <row r="154" spans="1:19" x14ac:dyDescent="0.2">
      <c r="A154" s="2" t="s">
        <v>115</v>
      </c>
      <c r="B154" s="2" t="s">
        <v>22</v>
      </c>
      <c r="C154" s="2" t="s">
        <v>26</v>
      </c>
      <c r="D154" s="2" t="s">
        <v>69</v>
      </c>
      <c r="E154" s="3">
        <v>17326.05</v>
      </c>
      <c r="F154" s="3">
        <v>0</v>
      </c>
      <c r="G154" s="3">
        <v>15422.400000000003</v>
      </c>
      <c r="H154" s="3">
        <v>18434.850000000002</v>
      </c>
      <c r="I154" s="3">
        <v>18665.430000000004</v>
      </c>
      <c r="J154" s="3">
        <v>18897.480000000003</v>
      </c>
      <c r="K154" s="3">
        <v>17895.149999999998</v>
      </c>
      <c r="L154" s="3">
        <v>18969.93</v>
      </c>
      <c r="M154" s="3">
        <v>17783.849999999999</v>
      </c>
      <c r="N154" s="3">
        <v>20339.089999999997</v>
      </c>
      <c r="O154" s="3">
        <v>20397.003760683765</v>
      </c>
      <c r="P154" s="3">
        <v>19982.310000000001</v>
      </c>
      <c r="Q154" s="3">
        <v>20391.441649175413</v>
      </c>
      <c r="S154" s="7"/>
    </row>
    <row r="155" spans="1:19" x14ac:dyDescent="0.2">
      <c r="A155" s="2" t="s">
        <v>115</v>
      </c>
      <c r="B155" s="2" t="s">
        <v>22</v>
      </c>
      <c r="C155" s="2" t="s">
        <v>29</v>
      </c>
      <c r="D155" s="2" t="s">
        <v>69</v>
      </c>
      <c r="E155" s="3">
        <v>5197.82</v>
      </c>
      <c r="F155" s="3">
        <v>0</v>
      </c>
      <c r="G155" s="3">
        <v>5287.68</v>
      </c>
      <c r="H155" s="3">
        <v>7110.5900000000011</v>
      </c>
      <c r="I155" s="3">
        <v>6399.5800000000008</v>
      </c>
      <c r="J155" s="3">
        <v>6479.14</v>
      </c>
      <c r="K155" s="3">
        <v>6135.4800000000005</v>
      </c>
      <c r="L155" s="3">
        <v>6503.98</v>
      </c>
      <c r="M155" s="3">
        <v>6097.32</v>
      </c>
      <c r="N155" s="3">
        <v>6973.4</v>
      </c>
      <c r="O155" s="3">
        <v>7007.4931623931634</v>
      </c>
      <c r="P155" s="3">
        <v>6855.86</v>
      </c>
      <c r="Q155" s="3">
        <v>7043.7436731634189</v>
      </c>
      <c r="S155" s="7"/>
    </row>
    <row r="156" spans="1:19" x14ac:dyDescent="0.2">
      <c r="A156" s="2" t="s">
        <v>116</v>
      </c>
      <c r="B156" s="2" t="s">
        <v>22</v>
      </c>
      <c r="C156" s="2" t="s">
        <v>28</v>
      </c>
      <c r="D156" s="2" t="s">
        <v>69</v>
      </c>
      <c r="E156" s="3">
        <v>2400</v>
      </c>
      <c r="F156" s="3">
        <v>2400</v>
      </c>
      <c r="G156" s="3">
        <v>2400</v>
      </c>
      <c r="H156" s="3">
        <v>2400</v>
      </c>
      <c r="I156" s="3">
        <v>2400</v>
      </c>
      <c r="J156" s="3">
        <v>2400</v>
      </c>
      <c r="K156" s="3">
        <v>2400</v>
      </c>
      <c r="L156" s="3">
        <v>2400</v>
      </c>
      <c r="M156" s="3">
        <v>2400</v>
      </c>
      <c r="N156" s="3">
        <v>2400</v>
      </c>
      <c r="O156" s="3">
        <v>2606.77</v>
      </c>
      <c r="P156" s="3">
        <v>393.23</v>
      </c>
      <c r="Q156" s="3">
        <v>0</v>
      </c>
      <c r="S156" s="7"/>
    </row>
    <row r="157" spans="1:19" x14ac:dyDescent="0.2">
      <c r="A157" s="2" t="s">
        <v>117</v>
      </c>
      <c r="B157" s="2" t="s">
        <v>33</v>
      </c>
      <c r="C157" s="2" t="s">
        <v>34</v>
      </c>
      <c r="D157" s="2" t="s">
        <v>24</v>
      </c>
      <c r="E157" s="3">
        <v>49818</v>
      </c>
      <c r="F157" s="3">
        <v>50124</v>
      </c>
      <c r="G157" s="3">
        <v>52407</v>
      </c>
      <c r="H157" s="3">
        <v>50124</v>
      </c>
      <c r="I157" s="3">
        <v>50124</v>
      </c>
      <c r="J157" s="3">
        <v>51456</v>
      </c>
      <c r="K157" s="3">
        <v>64050</v>
      </c>
      <c r="L157" s="3">
        <v>69360</v>
      </c>
      <c r="M157" s="3">
        <v>72030</v>
      </c>
      <c r="N157" s="3">
        <v>81750</v>
      </c>
      <c r="O157" s="3">
        <v>82740</v>
      </c>
      <c r="P157" s="3">
        <v>84265</v>
      </c>
      <c r="Q157" s="3">
        <v>86400</v>
      </c>
      <c r="S157" s="7"/>
    </row>
    <row r="158" spans="1:19" x14ac:dyDescent="0.2">
      <c r="A158" s="2" t="s">
        <v>117</v>
      </c>
      <c r="B158" s="2" t="s">
        <v>22</v>
      </c>
      <c r="C158" s="2" t="s">
        <v>23</v>
      </c>
      <c r="D158" s="2" t="s">
        <v>24</v>
      </c>
      <c r="E158" s="3">
        <v>15000</v>
      </c>
      <c r="F158" s="3">
        <v>15000</v>
      </c>
      <c r="G158" s="3">
        <v>15000</v>
      </c>
      <c r="H158" s="3">
        <v>15000</v>
      </c>
      <c r="I158" s="3">
        <v>15000</v>
      </c>
      <c r="J158" s="3">
        <v>15000</v>
      </c>
      <c r="K158" s="3">
        <v>15000</v>
      </c>
      <c r="L158" s="3">
        <v>15000</v>
      </c>
      <c r="M158" s="3">
        <v>15000</v>
      </c>
      <c r="N158" s="3">
        <v>15000</v>
      </c>
      <c r="O158" s="3">
        <v>14986.36</v>
      </c>
      <c r="P158" s="3">
        <v>1263.6400000000001</v>
      </c>
      <c r="Q158" s="3">
        <v>0</v>
      </c>
      <c r="S158" s="7"/>
    </row>
    <row r="159" spans="1:19" x14ac:dyDescent="0.2">
      <c r="A159" s="2" t="s">
        <v>117</v>
      </c>
      <c r="B159" s="2" t="s">
        <v>22</v>
      </c>
      <c r="C159" s="2" t="s">
        <v>36</v>
      </c>
      <c r="D159" s="2" t="s">
        <v>24</v>
      </c>
      <c r="E159" s="3">
        <v>9200</v>
      </c>
      <c r="F159" s="3">
        <v>9200</v>
      </c>
      <c r="G159" s="3">
        <v>9200</v>
      </c>
      <c r="H159" s="3">
        <v>9200</v>
      </c>
      <c r="I159" s="3">
        <v>9200</v>
      </c>
      <c r="J159" s="3">
        <v>9200</v>
      </c>
      <c r="K159" s="3">
        <v>9200</v>
      </c>
      <c r="L159" s="3">
        <v>9200</v>
      </c>
      <c r="M159" s="3">
        <v>9200</v>
      </c>
      <c r="N159" s="3">
        <v>9200</v>
      </c>
      <c r="O159" s="3">
        <v>9228.2899999999991</v>
      </c>
      <c r="P159" s="3">
        <v>9200</v>
      </c>
      <c r="Q159" s="3">
        <v>9307.39</v>
      </c>
      <c r="S159" s="7"/>
    </row>
    <row r="160" spans="1:19" x14ac:dyDescent="0.2">
      <c r="A160" s="2" t="s">
        <v>117</v>
      </c>
      <c r="B160" s="2" t="s">
        <v>22</v>
      </c>
      <c r="C160" s="2" t="s">
        <v>39</v>
      </c>
      <c r="D160" s="2" t="s">
        <v>24</v>
      </c>
      <c r="E160" s="3">
        <v>7500</v>
      </c>
      <c r="F160" s="3">
        <v>7500</v>
      </c>
      <c r="G160" s="3">
        <v>7500</v>
      </c>
      <c r="H160" s="3">
        <v>7500</v>
      </c>
      <c r="I160" s="3">
        <v>7500</v>
      </c>
      <c r="J160" s="3">
        <v>7500</v>
      </c>
      <c r="K160" s="3">
        <v>7500</v>
      </c>
      <c r="L160" s="3">
        <v>7500</v>
      </c>
      <c r="M160" s="3">
        <v>7500</v>
      </c>
      <c r="N160" s="3">
        <v>7500</v>
      </c>
      <c r="O160" s="3">
        <v>25687.5</v>
      </c>
      <c r="P160" s="3">
        <v>22500</v>
      </c>
      <c r="Q160" s="3">
        <v>23067.5</v>
      </c>
      <c r="S160" s="7"/>
    </row>
    <row r="161" spans="1:19" x14ac:dyDescent="0.2">
      <c r="A161" s="2" t="s">
        <v>117</v>
      </c>
      <c r="B161" s="2" t="s">
        <v>22</v>
      </c>
      <c r="C161" s="2" t="s">
        <v>29</v>
      </c>
      <c r="D161" s="2" t="s">
        <v>24</v>
      </c>
      <c r="E161" s="3">
        <v>1800</v>
      </c>
      <c r="F161" s="3">
        <v>1800</v>
      </c>
      <c r="G161" s="3">
        <v>1800</v>
      </c>
      <c r="H161" s="3">
        <v>2010</v>
      </c>
      <c r="I161" s="3">
        <v>2370</v>
      </c>
      <c r="J161" s="3">
        <v>2520</v>
      </c>
      <c r="K161" s="3">
        <v>2730</v>
      </c>
      <c r="L161" s="3">
        <v>2880</v>
      </c>
      <c r="M161" s="3">
        <v>3090</v>
      </c>
      <c r="N161" s="3">
        <v>4080</v>
      </c>
      <c r="O161" s="3">
        <v>5326.92</v>
      </c>
      <c r="P161" s="3">
        <v>5971.86</v>
      </c>
      <c r="Q161" s="3">
        <v>6189.43</v>
      </c>
      <c r="S161" s="7"/>
    </row>
    <row r="162" spans="1:19" x14ac:dyDescent="0.2">
      <c r="A162" s="2" t="s">
        <v>117</v>
      </c>
      <c r="B162" s="2" t="s">
        <v>52</v>
      </c>
      <c r="C162" s="2" t="s">
        <v>53</v>
      </c>
      <c r="D162" s="2" t="s">
        <v>24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5000</v>
      </c>
      <c r="M162" s="3">
        <v>0</v>
      </c>
      <c r="N162" s="3">
        <v>12150</v>
      </c>
      <c r="O162" s="3">
        <v>54100</v>
      </c>
      <c r="P162" s="3">
        <v>94100</v>
      </c>
      <c r="Q162" s="3">
        <v>96600</v>
      </c>
      <c r="S162" s="7"/>
    </row>
    <row r="163" spans="1:19" x14ac:dyDescent="0.2">
      <c r="A163" s="2" t="s">
        <v>117</v>
      </c>
      <c r="B163" s="2" t="s">
        <v>22</v>
      </c>
      <c r="C163" s="2" t="s">
        <v>28</v>
      </c>
      <c r="D163" s="2" t="s">
        <v>24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12322.119999999999</v>
      </c>
      <c r="P163" s="3">
        <v>25598.880000000001</v>
      </c>
      <c r="Q163" s="3">
        <v>29836.719999999994</v>
      </c>
      <c r="S163" s="7"/>
    </row>
    <row r="164" spans="1:19" x14ac:dyDescent="0.2">
      <c r="A164" s="2" t="s">
        <v>118</v>
      </c>
      <c r="B164" s="2" t="s">
        <v>52</v>
      </c>
      <c r="C164" s="2" t="s">
        <v>53</v>
      </c>
      <c r="D164" s="2" t="s">
        <v>55</v>
      </c>
      <c r="E164" s="3">
        <v>0</v>
      </c>
      <c r="F164" s="3">
        <v>41000</v>
      </c>
      <c r="G164" s="3">
        <v>49200</v>
      </c>
      <c r="H164" s="3">
        <v>0</v>
      </c>
      <c r="I164" s="3">
        <v>0</v>
      </c>
      <c r="J164" s="3">
        <v>8500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94320</v>
      </c>
      <c r="Q164" s="3">
        <v>117120</v>
      </c>
      <c r="S164" s="7"/>
    </row>
    <row r="165" spans="1:19" x14ac:dyDescent="0.2">
      <c r="A165" s="2" t="s">
        <v>118</v>
      </c>
      <c r="B165" s="2" t="s">
        <v>33</v>
      </c>
      <c r="C165" s="2" t="s">
        <v>34</v>
      </c>
      <c r="D165" s="2" t="s">
        <v>55</v>
      </c>
      <c r="E165" s="3">
        <v>0</v>
      </c>
      <c r="F165" s="3">
        <v>0</v>
      </c>
      <c r="G165" s="3">
        <v>0</v>
      </c>
      <c r="H165" s="3">
        <v>0</v>
      </c>
      <c r="I165" s="3">
        <v>5000</v>
      </c>
      <c r="J165" s="3">
        <v>9750</v>
      </c>
      <c r="K165" s="3">
        <v>75000</v>
      </c>
      <c r="L165" s="3">
        <v>75000</v>
      </c>
      <c r="M165" s="3">
        <v>75000</v>
      </c>
      <c r="N165" s="3">
        <v>75000</v>
      </c>
      <c r="O165" s="3">
        <v>80510</v>
      </c>
      <c r="P165" s="3">
        <v>110050</v>
      </c>
      <c r="Q165" s="3">
        <v>124949</v>
      </c>
      <c r="S165" s="7"/>
    </row>
    <row r="166" spans="1:19" x14ac:dyDescent="0.2">
      <c r="A166" s="2" t="s">
        <v>119</v>
      </c>
      <c r="B166" s="2" t="s">
        <v>22</v>
      </c>
      <c r="C166" s="2" t="s">
        <v>29</v>
      </c>
      <c r="D166" s="2" t="s">
        <v>91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4309.1778632478636</v>
      </c>
      <c r="P166" s="3">
        <v>5307.01</v>
      </c>
      <c r="Q166" s="3">
        <v>5525.8695502248893</v>
      </c>
      <c r="S166" s="7"/>
    </row>
    <row r="167" spans="1:19" x14ac:dyDescent="0.2">
      <c r="A167" s="2" t="s">
        <v>120</v>
      </c>
      <c r="B167" s="2" t="s">
        <v>33</v>
      </c>
      <c r="C167" s="2" t="s">
        <v>34</v>
      </c>
      <c r="D167" s="2" t="s">
        <v>66</v>
      </c>
      <c r="E167" s="3">
        <v>124533.34</v>
      </c>
      <c r="F167" s="3">
        <v>222450</v>
      </c>
      <c r="G167" s="3">
        <v>222600</v>
      </c>
      <c r="H167" s="3">
        <v>136550</v>
      </c>
      <c r="I167" s="3">
        <v>129500</v>
      </c>
      <c r="J167" s="3">
        <v>120600</v>
      </c>
      <c r="K167" s="3">
        <v>122100</v>
      </c>
      <c r="L167" s="3">
        <v>121350</v>
      </c>
      <c r="M167" s="3">
        <v>125100</v>
      </c>
      <c r="N167" s="3">
        <v>133095</v>
      </c>
      <c r="O167" s="3">
        <v>135600</v>
      </c>
      <c r="P167" s="3">
        <v>139520</v>
      </c>
      <c r="Q167" s="3">
        <v>142634.59999999998</v>
      </c>
      <c r="S167" s="7"/>
    </row>
    <row r="168" spans="1:19" x14ac:dyDescent="0.2">
      <c r="A168" s="2" t="s">
        <v>120</v>
      </c>
      <c r="B168" s="2" t="s">
        <v>22</v>
      </c>
      <c r="C168" s="2" t="s">
        <v>63</v>
      </c>
      <c r="D168" s="2" t="s">
        <v>66</v>
      </c>
      <c r="E168" s="3">
        <v>20833.37</v>
      </c>
      <c r="F168" s="3">
        <v>25000.000000000004</v>
      </c>
      <c r="G168" s="3">
        <v>25000.000000000004</v>
      </c>
      <c r="H168" s="3">
        <v>25000.000000000004</v>
      </c>
      <c r="I168" s="3">
        <v>25000.000000000004</v>
      </c>
      <c r="J168" s="3">
        <v>25000.000000000004</v>
      </c>
      <c r="K168" s="3">
        <v>24999.960000000006</v>
      </c>
      <c r="L168" s="3">
        <v>25000.000000000007</v>
      </c>
      <c r="M168" s="3">
        <v>25000.000000000007</v>
      </c>
      <c r="N168" s="3">
        <v>25000.000000000007</v>
      </c>
      <c r="O168" s="3">
        <v>25000.000000000007</v>
      </c>
      <c r="P168" s="3">
        <v>25135.649999999998</v>
      </c>
      <c r="Q168" s="3">
        <v>25056.520000000004</v>
      </c>
      <c r="S168" s="7"/>
    </row>
    <row r="169" spans="1:19" x14ac:dyDescent="0.2">
      <c r="A169" s="2" t="s">
        <v>120</v>
      </c>
      <c r="B169" s="2" t="s">
        <v>33</v>
      </c>
      <c r="C169" s="2" t="s">
        <v>53</v>
      </c>
      <c r="D169" s="2" t="s">
        <v>66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42000</v>
      </c>
      <c r="P169" s="3">
        <v>42155</v>
      </c>
      <c r="Q169" s="3">
        <v>43930.64</v>
      </c>
      <c r="S169" s="7"/>
    </row>
    <row r="170" spans="1:19" x14ac:dyDescent="0.2">
      <c r="A170" s="2" t="s">
        <v>121</v>
      </c>
      <c r="B170" s="2" t="s">
        <v>33</v>
      </c>
      <c r="C170" s="2" t="s">
        <v>34</v>
      </c>
      <c r="D170" s="2" t="s">
        <v>24</v>
      </c>
      <c r="E170" s="3">
        <v>84330</v>
      </c>
      <c r="F170" s="3">
        <v>86220</v>
      </c>
      <c r="G170" s="3">
        <v>83231.199999999997</v>
      </c>
      <c r="H170" s="3">
        <v>86425</v>
      </c>
      <c r="I170" s="3">
        <v>73680</v>
      </c>
      <c r="J170" s="3">
        <v>68550.650000000023</v>
      </c>
      <c r="K170" s="3">
        <v>88569.89999999998</v>
      </c>
      <c r="L170" s="3">
        <v>93914.549999999988</v>
      </c>
      <c r="M170" s="3">
        <v>99671.76999999999</v>
      </c>
      <c r="N170" s="3">
        <v>107292</v>
      </c>
      <c r="O170" s="3">
        <v>108256.11199999999</v>
      </c>
      <c r="P170" s="3">
        <v>107989</v>
      </c>
      <c r="Q170" s="3">
        <v>110266.68</v>
      </c>
      <c r="S170" s="7"/>
    </row>
    <row r="171" spans="1:19" x14ac:dyDescent="0.2">
      <c r="A171" s="2" t="s">
        <v>121</v>
      </c>
      <c r="B171" s="2" t="s">
        <v>52</v>
      </c>
      <c r="C171" s="2" t="s">
        <v>53</v>
      </c>
      <c r="D171" s="2" t="s">
        <v>24</v>
      </c>
      <c r="E171" s="3">
        <v>19200</v>
      </c>
      <c r="F171" s="3">
        <v>19200</v>
      </c>
      <c r="G171" s="3">
        <v>25600</v>
      </c>
      <c r="H171" s="3">
        <v>28800</v>
      </c>
      <c r="I171" s="3">
        <v>32400</v>
      </c>
      <c r="J171" s="3">
        <v>32400</v>
      </c>
      <c r="K171" s="3">
        <v>35403.17</v>
      </c>
      <c r="L171" s="3">
        <v>51400</v>
      </c>
      <c r="M171" s="3">
        <v>55200</v>
      </c>
      <c r="N171" s="3">
        <v>55200</v>
      </c>
      <c r="O171" s="3">
        <v>55347.199999999997</v>
      </c>
      <c r="P171" s="3">
        <v>55200</v>
      </c>
      <c r="Q171" s="3">
        <v>55752</v>
      </c>
      <c r="S171" s="7"/>
    </row>
    <row r="172" spans="1:19" x14ac:dyDescent="0.2">
      <c r="A172" s="2" t="s">
        <v>121</v>
      </c>
      <c r="B172" s="2" t="s">
        <v>22</v>
      </c>
      <c r="C172" s="2" t="s">
        <v>23</v>
      </c>
      <c r="D172" s="2" t="s">
        <v>24</v>
      </c>
      <c r="E172" s="3">
        <v>15000</v>
      </c>
      <c r="F172" s="3">
        <v>15000</v>
      </c>
      <c r="G172" s="3">
        <v>15000</v>
      </c>
      <c r="H172" s="3">
        <v>15000</v>
      </c>
      <c r="I172" s="3">
        <v>15000</v>
      </c>
      <c r="J172" s="3">
        <v>15000</v>
      </c>
      <c r="K172" s="3">
        <v>15000</v>
      </c>
      <c r="L172" s="3">
        <v>15000</v>
      </c>
      <c r="M172" s="3">
        <v>15000</v>
      </c>
      <c r="N172" s="3">
        <v>15000</v>
      </c>
      <c r="O172" s="3">
        <v>15069.5</v>
      </c>
      <c r="P172" s="3">
        <v>4930.5</v>
      </c>
      <c r="Q172" s="3">
        <v>0</v>
      </c>
      <c r="S172" s="7"/>
    </row>
    <row r="173" spans="1:19" x14ac:dyDescent="0.2">
      <c r="A173" s="2" t="s">
        <v>121</v>
      </c>
      <c r="B173" s="2" t="s">
        <v>22</v>
      </c>
      <c r="C173" s="2" t="s">
        <v>26</v>
      </c>
      <c r="D173" s="2" t="s">
        <v>24</v>
      </c>
      <c r="E173" s="3">
        <v>14499.999999999998</v>
      </c>
      <c r="F173" s="3">
        <v>14499.999999999998</v>
      </c>
      <c r="G173" s="3">
        <v>14499.999999999998</v>
      </c>
      <c r="H173" s="3">
        <v>14499.999999999998</v>
      </c>
      <c r="I173" s="3">
        <v>14499.999999999998</v>
      </c>
      <c r="J173" s="3">
        <v>14499.999999999998</v>
      </c>
      <c r="K173" s="3">
        <v>14499.999999999998</v>
      </c>
      <c r="L173" s="3">
        <v>18850</v>
      </c>
      <c r="M173" s="3">
        <v>28850</v>
      </c>
      <c r="N173" s="3">
        <v>18850</v>
      </c>
      <c r="O173" s="3">
        <v>18913.489999999998</v>
      </c>
      <c r="P173" s="3">
        <v>66670.36</v>
      </c>
      <c r="Q173" s="3">
        <v>22630.720000000001</v>
      </c>
      <c r="S173" s="7"/>
    </row>
    <row r="174" spans="1:19" x14ac:dyDescent="0.2">
      <c r="A174" s="2" t="s">
        <v>121</v>
      </c>
      <c r="B174" s="2" t="s">
        <v>22</v>
      </c>
      <c r="C174" s="2" t="s">
        <v>29</v>
      </c>
      <c r="D174" s="2" t="s">
        <v>24</v>
      </c>
      <c r="E174" s="3">
        <v>4500</v>
      </c>
      <c r="F174" s="3">
        <v>4990</v>
      </c>
      <c r="G174" s="3">
        <v>4913.32</v>
      </c>
      <c r="H174" s="3">
        <v>5250</v>
      </c>
      <c r="I174" s="3">
        <v>6750</v>
      </c>
      <c r="J174" s="3">
        <v>7650</v>
      </c>
      <c r="K174" s="3">
        <v>10950</v>
      </c>
      <c r="L174" s="3">
        <v>13800</v>
      </c>
      <c r="M174" s="3">
        <v>10350</v>
      </c>
      <c r="N174" s="3">
        <v>9000</v>
      </c>
      <c r="O174" s="3">
        <v>10387.25</v>
      </c>
      <c r="P174" s="3">
        <v>10898.19</v>
      </c>
      <c r="Q174" s="3">
        <v>11193.380000000001</v>
      </c>
      <c r="S174" s="7"/>
    </row>
    <row r="175" spans="1:19" x14ac:dyDescent="0.2">
      <c r="A175" s="2" t="s">
        <v>121</v>
      </c>
      <c r="B175" s="2" t="s">
        <v>22</v>
      </c>
      <c r="C175" s="2" t="s">
        <v>29</v>
      </c>
      <c r="D175" s="2" t="s">
        <v>24</v>
      </c>
      <c r="E175" s="3">
        <v>460.84999999999997</v>
      </c>
      <c r="F175" s="3">
        <v>0</v>
      </c>
      <c r="G175" s="3">
        <v>526.64</v>
      </c>
      <c r="H175" s="3">
        <v>790.17000000000007</v>
      </c>
      <c r="I175" s="3">
        <v>790.00000000000011</v>
      </c>
      <c r="J175" s="3">
        <v>790.00000000000011</v>
      </c>
      <c r="K175" s="3">
        <v>790.00000000000011</v>
      </c>
      <c r="L175" s="3">
        <v>790.00000000000011</v>
      </c>
      <c r="M175" s="3">
        <v>790.00000000000011</v>
      </c>
      <c r="N175" s="3">
        <v>790.00000000000011</v>
      </c>
      <c r="O175" s="3">
        <v>791.3900000000001</v>
      </c>
      <c r="P175" s="3">
        <v>790</v>
      </c>
      <c r="Q175" s="3">
        <v>785.74000000000012</v>
      </c>
      <c r="S175" s="7"/>
    </row>
    <row r="176" spans="1:19" x14ac:dyDescent="0.2">
      <c r="A176" s="2" t="s">
        <v>121</v>
      </c>
      <c r="B176" s="2" t="s">
        <v>22</v>
      </c>
      <c r="C176" s="2" t="s">
        <v>63</v>
      </c>
      <c r="D176" s="2" t="s">
        <v>24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12587.53</v>
      </c>
      <c r="K176" s="3">
        <v>50350.000000000015</v>
      </c>
      <c r="L176" s="3">
        <v>50350.000000000015</v>
      </c>
      <c r="M176" s="3">
        <v>50350.000000000015</v>
      </c>
      <c r="N176" s="3">
        <v>50350.000000000015</v>
      </c>
      <c r="O176" s="3">
        <v>53139.66</v>
      </c>
      <c r="P176" s="3">
        <v>66519.320000000007</v>
      </c>
      <c r="Q176" s="3">
        <v>101177.36999999998</v>
      </c>
      <c r="S176" s="7"/>
    </row>
    <row r="177" spans="1:19" x14ac:dyDescent="0.2">
      <c r="A177" s="2" t="s">
        <v>121</v>
      </c>
      <c r="B177" s="2" t="s">
        <v>22</v>
      </c>
      <c r="C177" s="2" t="s">
        <v>29</v>
      </c>
      <c r="D177" s="2" t="s">
        <v>24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2850</v>
      </c>
      <c r="K177" s="3">
        <v>11400</v>
      </c>
      <c r="L177" s="3">
        <v>11400</v>
      </c>
      <c r="M177" s="3">
        <v>11400</v>
      </c>
      <c r="N177" s="3">
        <v>11400</v>
      </c>
      <c r="O177" s="3">
        <v>13543.05</v>
      </c>
      <c r="P177" s="3">
        <v>19101.760000000002</v>
      </c>
      <c r="Q177" s="3">
        <v>20097.648959999999</v>
      </c>
      <c r="S177" s="7"/>
    </row>
    <row r="178" spans="1:19" x14ac:dyDescent="0.2">
      <c r="A178" s="2" t="s">
        <v>121</v>
      </c>
      <c r="B178" s="2" t="s">
        <v>22</v>
      </c>
      <c r="C178" s="2" t="s">
        <v>28</v>
      </c>
      <c r="D178" s="2" t="s">
        <v>24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5462.53</v>
      </c>
      <c r="K178" s="3">
        <v>21850</v>
      </c>
      <c r="L178" s="3">
        <v>22150</v>
      </c>
      <c r="M178" s="3">
        <v>25633.300000000003</v>
      </c>
      <c r="N178" s="3">
        <v>56000.040000000008</v>
      </c>
      <c r="O178" s="3">
        <v>56451.520000000004</v>
      </c>
      <c r="P178" s="3">
        <v>62076.549999999996</v>
      </c>
      <c r="Q178" s="3">
        <v>44923.930000000008</v>
      </c>
      <c r="S178" s="7"/>
    </row>
    <row r="179" spans="1:19" x14ac:dyDescent="0.2">
      <c r="A179" s="2" t="s">
        <v>122</v>
      </c>
      <c r="B179" s="2" t="s">
        <v>22</v>
      </c>
      <c r="C179" s="2" t="s">
        <v>28</v>
      </c>
      <c r="D179" s="2" t="s">
        <v>91</v>
      </c>
      <c r="E179" s="3">
        <v>0</v>
      </c>
      <c r="F179" s="3">
        <v>8672.2900000000009</v>
      </c>
      <c r="G179" s="3">
        <v>0</v>
      </c>
      <c r="H179" s="3">
        <v>10169.960000000001</v>
      </c>
      <c r="I179" s="3">
        <v>10621.549999999997</v>
      </c>
      <c r="J179" s="3">
        <v>10672.180000000002</v>
      </c>
      <c r="K179" s="3">
        <v>10224.210000000001</v>
      </c>
      <c r="L179" s="3">
        <v>10812.95</v>
      </c>
      <c r="M179" s="3">
        <v>10332.23</v>
      </c>
      <c r="N179" s="3">
        <v>10446.269999999999</v>
      </c>
      <c r="O179" s="3">
        <v>12326.799401709404</v>
      </c>
      <c r="P179" s="3">
        <v>11169.02</v>
      </c>
      <c r="Q179" s="3">
        <v>11440.92088455772</v>
      </c>
      <c r="S179" s="7"/>
    </row>
    <row r="180" spans="1:19" x14ac:dyDescent="0.2">
      <c r="A180" s="2" t="s">
        <v>123</v>
      </c>
      <c r="B180" s="2" t="s">
        <v>33</v>
      </c>
      <c r="C180" s="2" t="s">
        <v>34</v>
      </c>
      <c r="D180" s="2" t="s">
        <v>24</v>
      </c>
      <c r="E180" s="3">
        <v>107992.32000000001</v>
      </c>
      <c r="F180" s="3">
        <v>121380</v>
      </c>
      <c r="G180" s="3">
        <v>128017.10000000002</v>
      </c>
      <c r="H180" s="3">
        <v>130021.8</v>
      </c>
      <c r="I180" s="3">
        <v>133185</v>
      </c>
      <c r="J180" s="3">
        <v>145860</v>
      </c>
      <c r="K180" s="3">
        <v>148020</v>
      </c>
      <c r="L180" s="3">
        <v>128020</v>
      </c>
      <c r="M180" s="3">
        <v>124020</v>
      </c>
      <c r="N180" s="3">
        <v>139020</v>
      </c>
      <c r="O180" s="3">
        <v>143440</v>
      </c>
      <c r="P180" s="3">
        <v>146280</v>
      </c>
      <c r="Q180" s="3">
        <v>150180.80000000002</v>
      </c>
      <c r="S180" s="7"/>
    </row>
    <row r="181" spans="1:19" x14ac:dyDescent="0.2">
      <c r="A181" s="2" t="s">
        <v>123</v>
      </c>
      <c r="B181" s="2" t="s">
        <v>52</v>
      </c>
      <c r="C181" s="2" t="s">
        <v>53</v>
      </c>
      <c r="D181" s="2" t="s">
        <v>24</v>
      </c>
      <c r="E181" s="3">
        <v>159490</v>
      </c>
      <c r="F181" s="3">
        <v>168590</v>
      </c>
      <c r="G181" s="3">
        <v>180090</v>
      </c>
      <c r="H181" s="3">
        <v>185700</v>
      </c>
      <c r="I181" s="3">
        <v>191880</v>
      </c>
      <c r="J181" s="3">
        <v>197610</v>
      </c>
      <c r="K181" s="3">
        <v>200520</v>
      </c>
      <c r="L181" s="3">
        <v>163420</v>
      </c>
      <c r="M181" s="3">
        <v>156000</v>
      </c>
      <c r="N181" s="3">
        <v>156000</v>
      </c>
      <c r="O181" s="3">
        <v>156000</v>
      </c>
      <c r="P181" s="3">
        <v>156000</v>
      </c>
      <c r="Q181" s="3">
        <v>159640</v>
      </c>
      <c r="S181" s="7"/>
    </row>
    <row r="182" spans="1:19" x14ac:dyDescent="0.2">
      <c r="A182" s="2" t="s">
        <v>124</v>
      </c>
      <c r="B182" s="2" t="s">
        <v>22</v>
      </c>
      <c r="C182" s="2" t="s">
        <v>23</v>
      </c>
      <c r="D182" s="2" t="s">
        <v>24</v>
      </c>
      <c r="E182" s="3">
        <v>14250.01</v>
      </c>
      <c r="F182" s="3">
        <v>19000</v>
      </c>
      <c r="G182" s="3">
        <v>19000</v>
      </c>
      <c r="H182" s="3">
        <v>26124.989999999998</v>
      </c>
      <c r="I182" s="3">
        <v>28500</v>
      </c>
      <c r="J182" s="3">
        <v>28500</v>
      </c>
      <c r="K182" s="3">
        <v>28500</v>
      </c>
      <c r="L182" s="3">
        <v>21375.010000000002</v>
      </c>
      <c r="M182" s="3">
        <v>19000</v>
      </c>
      <c r="N182" s="3">
        <v>19000</v>
      </c>
      <c r="O182" s="3">
        <v>19052.390000000003</v>
      </c>
      <c r="P182" s="3">
        <v>19000</v>
      </c>
      <c r="Q182" s="3">
        <v>18913.099999999999</v>
      </c>
      <c r="S182" s="7"/>
    </row>
    <row r="183" spans="1:19" x14ac:dyDescent="0.2">
      <c r="A183" s="2" t="s">
        <v>124</v>
      </c>
      <c r="B183" s="2" t="s">
        <v>22</v>
      </c>
      <c r="C183" s="2" t="s">
        <v>39</v>
      </c>
      <c r="D183" s="2" t="s">
        <v>24</v>
      </c>
      <c r="E183" s="3">
        <v>11000</v>
      </c>
      <c r="F183" s="3">
        <v>11000</v>
      </c>
      <c r="G183" s="3">
        <v>12000</v>
      </c>
      <c r="H183" s="3">
        <v>12000</v>
      </c>
      <c r="I183" s="3">
        <v>12000</v>
      </c>
      <c r="J183" s="3">
        <v>26000</v>
      </c>
      <c r="K183" s="3">
        <v>24250</v>
      </c>
      <c r="L183" s="3">
        <v>27000</v>
      </c>
      <c r="M183" s="3">
        <v>27000</v>
      </c>
      <c r="N183" s="3">
        <v>27000</v>
      </c>
      <c r="O183" s="3">
        <v>27074.560000000001</v>
      </c>
      <c r="P183" s="3">
        <v>27000</v>
      </c>
      <c r="Q183" s="3">
        <v>26876.62</v>
      </c>
      <c r="S183" s="7"/>
    </row>
    <row r="184" spans="1:19" x14ac:dyDescent="0.2">
      <c r="A184" s="2" t="s">
        <v>124</v>
      </c>
      <c r="B184" s="2" t="s">
        <v>22</v>
      </c>
      <c r="C184" s="2" t="s">
        <v>28</v>
      </c>
      <c r="D184" s="2" t="s">
        <v>24</v>
      </c>
      <c r="E184" s="3">
        <v>12749.99</v>
      </c>
      <c r="F184" s="3">
        <v>20710</v>
      </c>
      <c r="G184" s="3">
        <v>36608.839999999997</v>
      </c>
      <c r="H184" s="3">
        <v>24352.510000000002</v>
      </c>
      <c r="I184" s="3">
        <v>22882</v>
      </c>
      <c r="J184" s="3">
        <v>23420.479999999996</v>
      </c>
      <c r="K184" s="3">
        <v>27350.020000000004</v>
      </c>
      <c r="L184" s="3">
        <v>28600.000000000007</v>
      </c>
      <c r="M184" s="3">
        <v>29672.489999999998</v>
      </c>
      <c r="N184" s="3">
        <v>37529.99</v>
      </c>
      <c r="O184" s="3">
        <v>35126.249999999993</v>
      </c>
      <c r="P184" s="3">
        <v>41111.479999999996</v>
      </c>
      <c r="Q184" s="3">
        <v>41987.369999999995</v>
      </c>
      <c r="S184" s="7"/>
    </row>
    <row r="185" spans="1:19" x14ac:dyDescent="0.2">
      <c r="A185" s="2" t="s">
        <v>124</v>
      </c>
      <c r="B185" s="2" t="s">
        <v>33</v>
      </c>
      <c r="C185" s="2" t="s">
        <v>34</v>
      </c>
      <c r="D185" s="2" t="s">
        <v>24</v>
      </c>
      <c r="E185" s="3">
        <v>0</v>
      </c>
      <c r="F185" s="3">
        <v>0</v>
      </c>
      <c r="G185" s="3">
        <v>0</v>
      </c>
      <c r="H185" s="3">
        <v>195800</v>
      </c>
      <c r="I185" s="3">
        <v>200150</v>
      </c>
      <c r="J185" s="3">
        <v>125000</v>
      </c>
      <c r="K185" s="3">
        <v>216500</v>
      </c>
      <c r="L185" s="3">
        <v>219900</v>
      </c>
      <c r="M185" s="3">
        <v>215000</v>
      </c>
      <c r="N185" s="3">
        <v>214850</v>
      </c>
      <c r="O185" s="3">
        <v>256520</v>
      </c>
      <c r="P185" s="3">
        <v>398440</v>
      </c>
      <c r="Q185" s="3">
        <v>401970</v>
      </c>
      <c r="S185" s="7"/>
    </row>
    <row r="186" spans="1:19" x14ac:dyDescent="0.2">
      <c r="A186" s="2" t="s">
        <v>124</v>
      </c>
      <c r="B186" s="2" t="s">
        <v>22</v>
      </c>
      <c r="C186" s="2" t="s">
        <v>36</v>
      </c>
      <c r="D186" s="2" t="s">
        <v>24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2100</v>
      </c>
      <c r="K186" s="3">
        <v>8400</v>
      </c>
      <c r="L186" s="3">
        <v>10500</v>
      </c>
      <c r="M186" s="3">
        <v>16800</v>
      </c>
      <c r="N186" s="3">
        <v>16800</v>
      </c>
      <c r="O186" s="3">
        <v>16946.079999999998</v>
      </c>
      <c r="P186" s="3">
        <v>17457.760000000002</v>
      </c>
      <c r="Q186" s="3">
        <v>16921.68</v>
      </c>
      <c r="S186" s="7"/>
    </row>
    <row r="187" spans="1:19" x14ac:dyDescent="0.2">
      <c r="A187" s="2" t="s">
        <v>124</v>
      </c>
      <c r="B187" s="2" t="s">
        <v>22</v>
      </c>
      <c r="C187" s="2" t="s">
        <v>29</v>
      </c>
      <c r="D187" s="2" t="s">
        <v>24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2250</v>
      </c>
      <c r="K187" s="3">
        <v>9675</v>
      </c>
      <c r="L187" s="3">
        <v>14400</v>
      </c>
      <c r="M187" s="3">
        <v>22275</v>
      </c>
      <c r="N187" s="3">
        <v>20700</v>
      </c>
      <c r="O187" s="3">
        <v>18137.72</v>
      </c>
      <c r="P187" s="3">
        <v>21021.079999999998</v>
      </c>
      <c r="Q187" s="3">
        <v>29115.1</v>
      </c>
      <c r="S187" s="7"/>
    </row>
    <row r="188" spans="1:19" x14ac:dyDescent="0.2">
      <c r="A188" s="2" t="s">
        <v>124</v>
      </c>
      <c r="B188" s="2" t="s">
        <v>22</v>
      </c>
      <c r="C188" s="2" t="s">
        <v>28</v>
      </c>
      <c r="D188" s="2" t="s">
        <v>24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2500</v>
      </c>
      <c r="K188" s="3">
        <v>6000</v>
      </c>
      <c r="L188" s="3">
        <v>6000</v>
      </c>
      <c r="M188" s="3">
        <v>6000</v>
      </c>
      <c r="N188" s="3">
        <v>6000</v>
      </c>
      <c r="O188" s="3">
        <v>6340</v>
      </c>
      <c r="P188" s="3">
        <v>6495</v>
      </c>
      <c r="Q188" s="3">
        <v>6660</v>
      </c>
      <c r="S188" s="7"/>
    </row>
    <row r="189" spans="1:19" x14ac:dyDescent="0.2">
      <c r="A189" s="2" t="s">
        <v>125</v>
      </c>
      <c r="B189" s="2" t="s">
        <v>22</v>
      </c>
      <c r="C189" s="2" t="s">
        <v>36</v>
      </c>
      <c r="D189" s="2" t="s">
        <v>24</v>
      </c>
      <c r="E189" s="3">
        <v>0</v>
      </c>
      <c r="F189" s="3">
        <v>0</v>
      </c>
      <c r="G189" s="3">
        <v>7973.8</v>
      </c>
      <c r="H189" s="3">
        <v>10224.76</v>
      </c>
      <c r="I189" s="3">
        <v>10633</v>
      </c>
      <c r="J189" s="3">
        <v>10417.200000000001</v>
      </c>
      <c r="K189" s="3">
        <v>10428.160000000002</v>
      </c>
      <c r="L189" s="3">
        <v>10367.200000000001</v>
      </c>
      <c r="M189" s="3">
        <v>9987.9</v>
      </c>
      <c r="N189" s="3">
        <v>10495.300000000001</v>
      </c>
      <c r="O189" s="3">
        <v>10387.840512820512</v>
      </c>
      <c r="P189" s="3">
        <v>10067.16</v>
      </c>
      <c r="Q189" s="3">
        <v>10183.659160419789</v>
      </c>
      <c r="S189" s="7"/>
    </row>
    <row r="190" spans="1:19" x14ac:dyDescent="0.2">
      <c r="A190" s="2" t="s">
        <v>126</v>
      </c>
      <c r="B190" s="2" t="s">
        <v>33</v>
      </c>
      <c r="C190" s="2" t="s">
        <v>34</v>
      </c>
      <c r="D190" s="2" t="s">
        <v>97</v>
      </c>
      <c r="E190" s="3">
        <v>33734.770000000004</v>
      </c>
      <c r="F190" s="3">
        <v>30476.080000000005</v>
      </c>
      <c r="G190" s="3">
        <v>34670.32</v>
      </c>
      <c r="H190" s="3">
        <v>36920.720000000001</v>
      </c>
      <c r="I190" s="3">
        <v>37227.18</v>
      </c>
      <c r="J190" s="3">
        <v>36774.639999999992</v>
      </c>
      <c r="K190" s="3">
        <v>37368.339999999997</v>
      </c>
      <c r="L190" s="3">
        <v>35121.14</v>
      </c>
      <c r="M190" s="3">
        <v>25657.190000000002</v>
      </c>
      <c r="N190" s="3">
        <v>26058.000000000004</v>
      </c>
      <c r="O190" s="3">
        <v>25478.654273504275</v>
      </c>
      <c r="P190" s="3">
        <v>25702.86</v>
      </c>
      <c r="Q190" s="3">
        <v>26013.417916041974</v>
      </c>
      <c r="S190" s="7"/>
    </row>
    <row r="191" spans="1:19" x14ac:dyDescent="0.2">
      <c r="A191" s="2" t="s">
        <v>126</v>
      </c>
      <c r="B191" s="2" t="s">
        <v>22</v>
      </c>
      <c r="C191" s="2" t="s">
        <v>36</v>
      </c>
      <c r="D191" s="2" t="s">
        <v>97</v>
      </c>
      <c r="E191" s="3">
        <v>9954.4500000000007</v>
      </c>
      <c r="F191" s="3">
        <v>9196.9500000000007</v>
      </c>
      <c r="G191" s="3">
        <v>9215.369999999999</v>
      </c>
      <c r="H191" s="3">
        <v>9999.6899999999987</v>
      </c>
      <c r="I191" s="3">
        <v>10574.7</v>
      </c>
      <c r="J191" s="3">
        <v>10359.720000000001</v>
      </c>
      <c r="K191" s="3">
        <v>10089.24</v>
      </c>
      <c r="L191" s="3">
        <v>10191.119999999999</v>
      </c>
      <c r="M191" s="3">
        <v>9996.99</v>
      </c>
      <c r="N191" s="3">
        <v>10421.969999999999</v>
      </c>
      <c r="O191" s="3">
        <v>10403.219316239316</v>
      </c>
      <c r="P191" s="3">
        <v>10113.06</v>
      </c>
      <c r="Q191" s="3">
        <v>10398.608170914544</v>
      </c>
      <c r="S191" s="7"/>
    </row>
    <row r="192" spans="1:19" x14ac:dyDescent="0.2">
      <c r="A192" s="2" t="s">
        <v>126</v>
      </c>
      <c r="B192" s="2" t="s">
        <v>22</v>
      </c>
      <c r="C192" s="2" t="s">
        <v>29</v>
      </c>
      <c r="D192" s="2" t="s">
        <v>97</v>
      </c>
      <c r="E192" s="3">
        <v>5226.0800000000017</v>
      </c>
      <c r="F192" s="3">
        <v>4828.41</v>
      </c>
      <c r="G192" s="3">
        <v>4838.05</v>
      </c>
      <c r="H192" s="3">
        <v>5249.8500000000022</v>
      </c>
      <c r="I192" s="3">
        <v>5551.7099999999991</v>
      </c>
      <c r="J192" s="3">
        <v>5438.869999999999</v>
      </c>
      <c r="K192" s="3">
        <v>5296.8300000000008</v>
      </c>
      <c r="L192" s="3">
        <v>3045.6699999999996</v>
      </c>
      <c r="M192" s="3">
        <v>2249.3300000000004</v>
      </c>
      <c r="N192" s="3">
        <v>2344.9599999999996</v>
      </c>
      <c r="O192" s="3">
        <v>2342.2747863247864</v>
      </c>
      <c r="P192" s="3">
        <v>1714.8300000000004</v>
      </c>
      <c r="Q192" s="3">
        <v>1567.3414092953524</v>
      </c>
      <c r="S192" s="7"/>
    </row>
    <row r="193" spans="1:19" x14ac:dyDescent="0.2">
      <c r="A193" s="2" t="s">
        <v>126</v>
      </c>
      <c r="B193" s="2" t="s">
        <v>22</v>
      </c>
      <c r="C193" s="2" t="s">
        <v>28</v>
      </c>
      <c r="D193" s="2" t="s">
        <v>97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18946.59</v>
      </c>
      <c r="O193" s="3">
        <v>19204.097948717947</v>
      </c>
      <c r="P193" s="3">
        <v>18796.339999999997</v>
      </c>
      <c r="Q193" s="3">
        <v>19580.013658170916</v>
      </c>
      <c r="S193" s="7"/>
    </row>
    <row r="194" spans="1:19" x14ac:dyDescent="0.2">
      <c r="A194" s="2" t="s">
        <v>127</v>
      </c>
      <c r="B194" s="2" t="s">
        <v>33</v>
      </c>
      <c r="C194" s="2" t="s">
        <v>34</v>
      </c>
      <c r="D194" s="2" t="s">
        <v>27</v>
      </c>
      <c r="E194" s="3">
        <v>147979.88999999998</v>
      </c>
      <c r="F194" s="3">
        <v>137931.54</v>
      </c>
      <c r="G194" s="3">
        <v>161085.30000000002</v>
      </c>
      <c r="H194" s="3">
        <v>172143.00000000003</v>
      </c>
      <c r="I194" s="3">
        <v>138750.93</v>
      </c>
      <c r="J194" s="3">
        <v>137064.19999999998</v>
      </c>
      <c r="K194" s="3">
        <v>139582.54999999999</v>
      </c>
      <c r="L194" s="3">
        <v>134017.03</v>
      </c>
      <c r="M194" s="3">
        <v>141282.18</v>
      </c>
      <c r="N194" s="3">
        <v>159935.92000000001</v>
      </c>
      <c r="O194" s="3">
        <v>162622.06529914532</v>
      </c>
      <c r="P194" s="3">
        <v>166605.87000000002</v>
      </c>
      <c r="Q194" s="3">
        <v>176754.24048575715</v>
      </c>
      <c r="S194" s="7"/>
    </row>
    <row r="195" spans="1:19" x14ac:dyDescent="0.2">
      <c r="A195" s="2" t="s">
        <v>127</v>
      </c>
      <c r="B195" s="2" t="s">
        <v>22</v>
      </c>
      <c r="C195" s="2" t="s">
        <v>63</v>
      </c>
      <c r="D195" s="2" t="s">
        <v>27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8166.67</v>
      </c>
      <c r="N195" s="3">
        <v>40499.999999999993</v>
      </c>
      <c r="O195" s="3">
        <v>46933.119999999995</v>
      </c>
      <c r="P195" s="3">
        <v>48441.39</v>
      </c>
      <c r="Q195" s="3">
        <v>52463.854319999999</v>
      </c>
      <c r="S195" s="7"/>
    </row>
    <row r="196" spans="1:19" x14ac:dyDescent="0.2">
      <c r="A196" s="2" t="s">
        <v>127</v>
      </c>
      <c r="B196" s="2" t="s">
        <v>22</v>
      </c>
      <c r="C196" s="2" t="s">
        <v>29</v>
      </c>
      <c r="D196" s="2" t="s">
        <v>27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350</v>
      </c>
      <c r="N196" s="3">
        <v>4850</v>
      </c>
      <c r="O196" s="3">
        <v>5822.35</v>
      </c>
      <c r="P196" s="3">
        <v>6171.08</v>
      </c>
      <c r="Q196" s="3">
        <v>6254.27</v>
      </c>
      <c r="S196" s="7"/>
    </row>
    <row r="197" spans="1:19" x14ac:dyDescent="0.2">
      <c r="A197" s="2" t="s">
        <v>127</v>
      </c>
      <c r="B197" s="2" t="s">
        <v>22</v>
      </c>
      <c r="C197" s="2" t="s">
        <v>28</v>
      </c>
      <c r="D197" s="2" t="s">
        <v>27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6052.08</v>
      </c>
      <c r="N197" s="3">
        <v>37625.03</v>
      </c>
      <c r="O197" s="3">
        <v>39160.31</v>
      </c>
      <c r="P197" s="3">
        <v>38567.08</v>
      </c>
      <c r="Q197" s="3">
        <v>41399.21</v>
      </c>
      <c r="S197" s="7"/>
    </row>
    <row r="198" spans="1:19" x14ac:dyDescent="0.2">
      <c r="A198" s="2" t="s">
        <v>128</v>
      </c>
      <c r="B198" s="2" t="s">
        <v>33</v>
      </c>
      <c r="C198" s="2" t="s">
        <v>48</v>
      </c>
      <c r="D198" s="2" t="s">
        <v>69</v>
      </c>
      <c r="E198" s="3">
        <v>0</v>
      </c>
      <c r="F198" s="3">
        <v>0</v>
      </c>
      <c r="G198" s="3">
        <v>116250</v>
      </c>
      <c r="H198" s="3">
        <v>106925</v>
      </c>
      <c r="I198" s="3">
        <v>110015</v>
      </c>
      <c r="J198" s="3">
        <v>113305</v>
      </c>
      <c r="K198" s="3">
        <v>116583</v>
      </c>
      <c r="L198" s="3">
        <v>121762</v>
      </c>
      <c r="M198" s="3">
        <v>132544</v>
      </c>
      <c r="N198" s="3">
        <v>180000</v>
      </c>
      <c r="O198" s="3">
        <v>191741</v>
      </c>
      <c r="P198" s="3">
        <v>199889</v>
      </c>
      <c r="Q198" s="3">
        <v>206437.84</v>
      </c>
      <c r="S198" s="7"/>
    </row>
    <row r="199" spans="1:19" x14ac:dyDescent="0.2">
      <c r="A199" s="2" t="s">
        <v>129</v>
      </c>
      <c r="B199" s="2" t="s">
        <v>33</v>
      </c>
      <c r="C199" s="2" t="s">
        <v>38</v>
      </c>
      <c r="D199" s="2" t="s">
        <v>27</v>
      </c>
      <c r="E199" s="3">
        <v>2600</v>
      </c>
      <c r="F199" s="3">
        <v>2400</v>
      </c>
      <c r="G199" s="3">
        <v>2400</v>
      </c>
      <c r="H199" s="3">
        <v>2400</v>
      </c>
      <c r="I199" s="3">
        <v>2400</v>
      </c>
      <c r="J199" s="3">
        <v>2600</v>
      </c>
      <c r="K199" s="3">
        <v>4800</v>
      </c>
      <c r="L199" s="3">
        <v>4800</v>
      </c>
      <c r="M199" s="3">
        <v>4800</v>
      </c>
      <c r="N199" s="3">
        <v>4800</v>
      </c>
      <c r="O199" s="3">
        <v>4808.8900000000003</v>
      </c>
      <c r="P199" s="3">
        <v>4800</v>
      </c>
      <c r="Q199" s="3">
        <v>4868.21</v>
      </c>
      <c r="S199" s="7"/>
    </row>
    <row r="200" spans="1:19" x14ac:dyDescent="0.2">
      <c r="A200" s="2" t="s">
        <v>129</v>
      </c>
      <c r="B200" s="2" t="s">
        <v>33</v>
      </c>
      <c r="C200" s="2" t="s">
        <v>34</v>
      </c>
      <c r="D200" s="2" t="s">
        <v>27</v>
      </c>
      <c r="E200" s="3">
        <v>245000</v>
      </c>
      <c r="F200" s="3">
        <v>211850</v>
      </c>
      <c r="G200" s="3">
        <v>208800</v>
      </c>
      <c r="H200" s="3">
        <v>208800</v>
      </c>
      <c r="I200" s="3">
        <v>208800</v>
      </c>
      <c r="J200" s="3">
        <v>199230</v>
      </c>
      <c r="K200" s="3">
        <v>198360</v>
      </c>
      <c r="L200" s="3">
        <v>159500.25</v>
      </c>
      <c r="M200" s="3">
        <v>178210</v>
      </c>
      <c r="N200" s="3">
        <v>198360</v>
      </c>
      <c r="O200" s="3">
        <v>209160</v>
      </c>
      <c r="P200" s="3">
        <v>209160</v>
      </c>
      <c r="Q200" s="3">
        <v>216960</v>
      </c>
      <c r="S200" s="7"/>
    </row>
    <row r="201" spans="1:19" x14ac:dyDescent="0.2">
      <c r="A201" s="2" t="s">
        <v>129</v>
      </c>
      <c r="B201" s="2" t="s">
        <v>52</v>
      </c>
      <c r="C201" s="2" t="s">
        <v>53</v>
      </c>
      <c r="D201" s="2" t="s">
        <v>27</v>
      </c>
      <c r="E201" s="3">
        <v>63000</v>
      </c>
      <c r="F201" s="3">
        <v>63000</v>
      </c>
      <c r="G201" s="3">
        <v>63000</v>
      </c>
      <c r="H201" s="3">
        <v>63000</v>
      </c>
      <c r="I201" s="3">
        <v>66200</v>
      </c>
      <c r="J201" s="3">
        <v>72120</v>
      </c>
      <c r="K201" s="3">
        <v>72120</v>
      </c>
      <c r="L201" s="3">
        <v>157260</v>
      </c>
      <c r="M201" s="3">
        <v>165000</v>
      </c>
      <c r="N201" s="3">
        <v>165000</v>
      </c>
      <c r="O201" s="3">
        <v>158400</v>
      </c>
      <c r="P201" s="3">
        <v>165000</v>
      </c>
      <c r="Q201" s="3">
        <v>168850</v>
      </c>
      <c r="S201" s="7"/>
    </row>
    <row r="202" spans="1:19" x14ac:dyDescent="0.2">
      <c r="A202" s="2" t="s">
        <v>129</v>
      </c>
      <c r="B202" s="2" t="s">
        <v>22</v>
      </c>
      <c r="C202" s="2" t="s">
        <v>63</v>
      </c>
      <c r="D202" s="2" t="s">
        <v>27</v>
      </c>
      <c r="E202" s="3">
        <v>0</v>
      </c>
      <c r="F202" s="3">
        <v>0</v>
      </c>
      <c r="G202" s="3">
        <v>21250</v>
      </c>
      <c r="H202" s="3">
        <v>21250</v>
      </c>
      <c r="I202" s="3">
        <v>21250</v>
      </c>
      <c r="J202" s="3">
        <v>21250</v>
      </c>
      <c r="K202" s="3">
        <v>21250</v>
      </c>
      <c r="L202" s="3">
        <v>58933.33</v>
      </c>
      <c r="M202" s="3">
        <v>69841.66</v>
      </c>
      <c r="N202" s="3">
        <v>71824.999999999985</v>
      </c>
      <c r="O202" s="3">
        <v>75935.840000000011</v>
      </c>
      <c r="P202" s="3">
        <v>81208.999999999985</v>
      </c>
      <c r="Q202" s="3">
        <v>81538.782000000007</v>
      </c>
      <c r="S202" s="7"/>
    </row>
    <row r="203" spans="1:19" x14ac:dyDescent="0.2">
      <c r="A203" s="2" t="s">
        <v>129</v>
      </c>
      <c r="B203" s="2" t="s">
        <v>22</v>
      </c>
      <c r="C203" s="2" t="s">
        <v>26</v>
      </c>
      <c r="D203" s="2" t="s">
        <v>27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13269.82</v>
      </c>
      <c r="Q203" s="3">
        <v>14642.619999999999</v>
      </c>
      <c r="S203" s="7"/>
    </row>
    <row r="204" spans="1:19" x14ac:dyDescent="0.2">
      <c r="A204" s="2" t="s">
        <v>129</v>
      </c>
      <c r="B204" s="2" t="s">
        <v>22</v>
      </c>
      <c r="C204" s="2" t="s">
        <v>29</v>
      </c>
      <c r="D204" s="2" t="s">
        <v>27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39532.240000000005</v>
      </c>
      <c r="Q204" s="3">
        <v>43661.84</v>
      </c>
      <c r="S204" s="7"/>
    </row>
    <row r="205" spans="1:19" x14ac:dyDescent="0.2">
      <c r="A205" s="2" t="s">
        <v>129</v>
      </c>
      <c r="B205" s="2" t="s">
        <v>22</v>
      </c>
      <c r="C205" s="2" t="s">
        <v>29</v>
      </c>
      <c r="D205" s="2" t="s">
        <v>27</v>
      </c>
      <c r="E205" s="3">
        <v>0</v>
      </c>
      <c r="F205" s="3">
        <v>0</v>
      </c>
      <c r="G205" s="3">
        <v>526.64</v>
      </c>
      <c r="H205" s="3">
        <v>790.00000000000011</v>
      </c>
      <c r="I205" s="3">
        <v>790.00000000000011</v>
      </c>
      <c r="J205" s="3">
        <v>790.00000000000011</v>
      </c>
      <c r="K205" s="3">
        <v>790.00000000000011</v>
      </c>
      <c r="L205" s="3">
        <v>15456.67</v>
      </c>
      <c r="M205" s="3">
        <v>18666.66</v>
      </c>
      <c r="N205" s="3">
        <v>19200</v>
      </c>
      <c r="O205" s="3">
        <v>19460</v>
      </c>
      <c r="P205" s="3">
        <v>20760</v>
      </c>
      <c r="Q205" s="3">
        <v>20491.62</v>
      </c>
      <c r="S205" s="7"/>
    </row>
    <row r="206" spans="1:19" x14ac:dyDescent="0.2">
      <c r="A206" s="2" t="s">
        <v>130</v>
      </c>
      <c r="B206" s="2" t="s">
        <v>33</v>
      </c>
      <c r="C206" s="2" t="s">
        <v>48</v>
      </c>
      <c r="D206" s="2" t="s">
        <v>91</v>
      </c>
      <c r="E206" s="3">
        <v>113873</v>
      </c>
      <c r="F206" s="3">
        <v>148592</v>
      </c>
      <c r="G206" s="3">
        <v>148880</v>
      </c>
      <c r="H206" s="3">
        <v>152254</v>
      </c>
      <c r="I206" s="3">
        <v>157838</v>
      </c>
      <c r="J206" s="3">
        <v>163266</v>
      </c>
      <c r="K206" s="3">
        <v>168072</v>
      </c>
      <c r="L206" s="3">
        <v>172134</v>
      </c>
      <c r="M206" s="3">
        <v>185490</v>
      </c>
      <c r="N206" s="3">
        <v>217724</v>
      </c>
      <c r="O206" s="3">
        <v>232157.72600000002</v>
      </c>
      <c r="P206" s="3">
        <v>243736</v>
      </c>
      <c r="Q206" s="3">
        <v>255467.84000000003</v>
      </c>
      <c r="S206" s="7"/>
    </row>
    <row r="207" spans="1:19" x14ac:dyDescent="0.2">
      <c r="A207" s="2" t="s">
        <v>131</v>
      </c>
      <c r="B207" s="2" t="s">
        <v>33</v>
      </c>
      <c r="C207" s="2" t="s">
        <v>34</v>
      </c>
      <c r="D207" s="2" t="s">
        <v>24</v>
      </c>
      <c r="E207" s="3">
        <v>146120</v>
      </c>
      <c r="F207" s="3">
        <v>144059.20000000001</v>
      </c>
      <c r="G207" s="3">
        <v>146870</v>
      </c>
      <c r="H207" s="3">
        <v>132195</v>
      </c>
      <c r="I207" s="3">
        <v>114450</v>
      </c>
      <c r="J207" s="3">
        <v>103705</v>
      </c>
      <c r="K207" s="3">
        <v>92000</v>
      </c>
      <c r="L207" s="3">
        <v>81000</v>
      </c>
      <c r="M207" s="3">
        <v>82800</v>
      </c>
      <c r="N207" s="3">
        <v>66150</v>
      </c>
      <c r="O207" s="3">
        <v>81927</v>
      </c>
      <c r="P207" s="3">
        <v>77090</v>
      </c>
      <c r="Q207" s="3">
        <v>86864.000000000015</v>
      </c>
      <c r="S207" s="7"/>
    </row>
    <row r="208" spans="1:19" x14ac:dyDescent="0.2">
      <c r="A208" s="2" t="s">
        <v>131</v>
      </c>
      <c r="B208" s="2" t="s">
        <v>22</v>
      </c>
      <c r="C208" s="2" t="s">
        <v>26</v>
      </c>
      <c r="D208" s="2" t="s">
        <v>24</v>
      </c>
      <c r="E208" s="3">
        <v>15200.000000000002</v>
      </c>
      <c r="F208" s="3">
        <v>15200.000000000002</v>
      </c>
      <c r="G208" s="3">
        <v>15200.000000000002</v>
      </c>
      <c r="H208" s="3">
        <v>15200.000000000002</v>
      </c>
      <c r="I208" s="3">
        <v>15200.000000000002</v>
      </c>
      <c r="J208" s="3">
        <v>15200.000000000002</v>
      </c>
      <c r="K208" s="3">
        <v>15200.000000000002</v>
      </c>
      <c r="L208" s="3">
        <v>15200.000000000002</v>
      </c>
      <c r="M208" s="3">
        <v>15200.000000000002</v>
      </c>
      <c r="N208" s="3">
        <v>15200.000000000002</v>
      </c>
      <c r="O208" s="3">
        <v>11451</v>
      </c>
      <c r="P208" s="3">
        <v>15200.000000000002</v>
      </c>
      <c r="Q208" s="3">
        <v>15366.76</v>
      </c>
      <c r="S208" s="7"/>
    </row>
    <row r="209" spans="1:19" x14ac:dyDescent="0.2">
      <c r="A209" s="2" t="s">
        <v>131</v>
      </c>
      <c r="B209" s="2" t="s">
        <v>22</v>
      </c>
      <c r="C209" s="2" t="s">
        <v>29</v>
      </c>
      <c r="D209" s="2" t="s">
        <v>24</v>
      </c>
      <c r="E209" s="3">
        <v>2799.9999999999995</v>
      </c>
      <c r="F209" s="3">
        <v>2799.9999999999995</v>
      </c>
      <c r="G209" s="3">
        <v>2799.9999999999995</v>
      </c>
      <c r="H209" s="3">
        <v>3324.9800000000005</v>
      </c>
      <c r="I209" s="3">
        <v>3500.0000000000005</v>
      </c>
      <c r="J209" s="3">
        <v>2975.0199999999995</v>
      </c>
      <c r="K209" s="3">
        <v>4899.9800000000005</v>
      </c>
      <c r="L209" s="3">
        <v>4025.0000000000005</v>
      </c>
      <c r="M209" s="3">
        <v>1400.0199999999995</v>
      </c>
      <c r="N209" s="3">
        <v>700.00000000000011</v>
      </c>
      <c r="O209" s="3">
        <v>527.33999999999992</v>
      </c>
      <c r="P209" s="3">
        <v>700</v>
      </c>
      <c r="Q209" s="3">
        <v>713.28</v>
      </c>
      <c r="S209" s="7"/>
    </row>
    <row r="210" spans="1:19" x14ac:dyDescent="0.2">
      <c r="A210" s="2" t="s">
        <v>132</v>
      </c>
      <c r="B210" s="2" t="s">
        <v>33</v>
      </c>
      <c r="C210" s="2" t="s">
        <v>34</v>
      </c>
      <c r="D210" s="2" t="s">
        <v>24</v>
      </c>
      <c r="E210" s="3">
        <v>103965</v>
      </c>
      <c r="F210" s="3">
        <v>110550</v>
      </c>
      <c r="G210" s="3">
        <v>103800</v>
      </c>
      <c r="H210" s="3">
        <v>95150</v>
      </c>
      <c r="I210" s="3">
        <v>103800</v>
      </c>
      <c r="J210" s="3">
        <v>103800</v>
      </c>
      <c r="K210" s="3">
        <v>103800</v>
      </c>
      <c r="L210" s="3">
        <v>94635.709999999992</v>
      </c>
      <c r="M210" s="3">
        <v>103800</v>
      </c>
      <c r="N210" s="3">
        <v>107240</v>
      </c>
      <c r="O210" s="3">
        <v>105835.8</v>
      </c>
      <c r="P210" s="3">
        <v>119120</v>
      </c>
      <c r="Q210" s="3">
        <v>127512</v>
      </c>
      <c r="S210" s="7"/>
    </row>
    <row r="211" spans="1:19" x14ac:dyDescent="0.2">
      <c r="A211" s="2" t="s">
        <v>133</v>
      </c>
      <c r="B211" s="2" t="s">
        <v>33</v>
      </c>
      <c r="C211" s="2" t="s">
        <v>34</v>
      </c>
      <c r="D211" s="2" t="s">
        <v>27</v>
      </c>
      <c r="E211" s="3">
        <v>0</v>
      </c>
      <c r="F211" s="3">
        <v>0</v>
      </c>
      <c r="G211" s="3">
        <v>5000</v>
      </c>
      <c r="H211" s="3">
        <v>25920</v>
      </c>
      <c r="I211" s="3">
        <v>27360</v>
      </c>
      <c r="J211" s="3">
        <v>34560</v>
      </c>
      <c r="K211" s="3">
        <v>34560</v>
      </c>
      <c r="L211" s="3">
        <v>34560</v>
      </c>
      <c r="M211" s="3">
        <v>34560</v>
      </c>
      <c r="N211" s="3">
        <v>47160</v>
      </c>
      <c r="O211" s="3">
        <v>34560</v>
      </c>
      <c r="P211" s="3">
        <v>40070</v>
      </c>
      <c r="Q211" s="3">
        <v>42982.8</v>
      </c>
      <c r="S211" s="7"/>
    </row>
    <row r="212" spans="1:19" x14ac:dyDescent="0.2">
      <c r="A212" s="2" t="s">
        <v>134</v>
      </c>
      <c r="B212" s="2" t="s">
        <v>33</v>
      </c>
      <c r="C212" s="2" t="s">
        <v>34</v>
      </c>
      <c r="D212" s="2" t="s">
        <v>27</v>
      </c>
      <c r="E212" s="3">
        <v>105804</v>
      </c>
      <c r="F212" s="3">
        <v>101604</v>
      </c>
      <c r="G212" s="3">
        <v>120604</v>
      </c>
      <c r="H212" s="3">
        <v>116904</v>
      </c>
      <c r="I212" s="3">
        <v>106404</v>
      </c>
      <c r="J212" s="3">
        <v>113604</v>
      </c>
      <c r="K212" s="3">
        <v>120804</v>
      </c>
      <c r="L212" s="3">
        <v>120804</v>
      </c>
      <c r="M212" s="3">
        <v>122604</v>
      </c>
      <c r="N212" s="3">
        <v>131337</v>
      </c>
      <c r="O212" s="3">
        <v>144480</v>
      </c>
      <c r="P212" s="3">
        <v>149760</v>
      </c>
      <c r="Q212" s="3">
        <v>150259.20000000001</v>
      </c>
      <c r="S212" s="7"/>
    </row>
    <row r="213" spans="1:19" x14ac:dyDescent="0.2">
      <c r="A213" s="2" t="s">
        <v>134</v>
      </c>
      <c r="B213" s="2" t="s">
        <v>22</v>
      </c>
      <c r="C213" s="2" t="s">
        <v>26</v>
      </c>
      <c r="D213" s="2" t="s">
        <v>27</v>
      </c>
      <c r="E213" s="3">
        <v>17439.96</v>
      </c>
      <c r="F213" s="3">
        <v>15784.139999999998</v>
      </c>
      <c r="G213" s="3">
        <v>16028.730000000003</v>
      </c>
      <c r="H213" s="3">
        <v>17535.66</v>
      </c>
      <c r="I213" s="3">
        <v>18254.009999999998</v>
      </c>
      <c r="J213" s="3">
        <v>18041.55</v>
      </c>
      <c r="K213" s="3">
        <v>18312.96</v>
      </c>
      <c r="L213" s="3">
        <v>18053.370000000003</v>
      </c>
      <c r="M213" s="3">
        <v>17628.300000000003</v>
      </c>
      <c r="N213" s="3">
        <v>18309.75</v>
      </c>
      <c r="O213" s="3">
        <v>18309.616495726499</v>
      </c>
      <c r="P213" s="3">
        <v>12705.229999999998</v>
      </c>
      <c r="Q213" s="3">
        <v>11140.536206896551</v>
      </c>
      <c r="S213" s="7"/>
    </row>
    <row r="214" spans="1:19" x14ac:dyDescent="0.2">
      <c r="A214" s="2" t="s">
        <v>134</v>
      </c>
      <c r="B214" s="2" t="s">
        <v>22</v>
      </c>
      <c r="C214" s="2" t="s">
        <v>29</v>
      </c>
      <c r="D214" s="2" t="s">
        <v>27</v>
      </c>
      <c r="E214" s="3">
        <v>12706.289999999997</v>
      </c>
      <c r="F214" s="3">
        <v>11991.66</v>
      </c>
      <c r="G214" s="3">
        <v>13411.02</v>
      </c>
      <c r="H214" s="3">
        <v>16184.97</v>
      </c>
      <c r="I214" s="3">
        <v>15434.900000000001</v>
      </c>
      <c r="J214" s="3">
        <v>11229.46</v>
      </c>
      <c r="K214" s="3">
        <v>11388.24</v>
      </c>
      <c r="L214" s="3">
        <v>11605.740000000002</v>
      </c>
      <c r="M214" s="3">
        <v>15840.019999999999</v>
      </c>
      <c r="N214" s="3">
        <v>19838.829999999998</v>
      </c>
      <c r="O214" s="3">
        <v>22041.39393162393</v>
      </c>
      <c r="P214" s="3">
        <v>23493.42</v>
      </c>
      <c r="Q214" s="3">
        <v>24953.506071964017</v>
      </c>
      <c r="S214" s="7"/>
    </row>
    <row r="215" spans="1:19" x14ac:dyDescent="0.2">
      <c r="A215" s="2" t="s">
        <v>134</v>
      </c>
      <c r="B215" s="2" t="s">
        <v>22</v>
      </c>
      <c r="C215" s="2" t="s">
        <v>63</v>
      </c>
      <c r="D215" s="2" t="s">
        <v>27</v>
      </c>
      <c r="E215" s="3">
        <v>0</v>
      </c>
      <c r="F215" s="3">
        <v>0</v>
      </c>
      <c r="G215" s="3">
        <v>29477.599999999999</v>
      </c>
      <c r="H215" s="3">
        <v>44305.4</v>
      </c>
      <c r="I215" s="3">
        <v>56958.350000000006</v>
      </c>
      <c r="J215" s="3">
        <v>46041.65</v>
      </c>
      <c r="K215" s="3">
        <v>49583.31</v>
      </c>
      <c r="L215" s="3">
        <v>52500.01</v>
      </c>
      <c r="M215" s="3">
        <v>53333.350000000006</v>
      </c>
      <c r="N215" s="3">
        <v>56604.15</v>
      </c>
      <c r="O215" s="3">
        <v>59760.369999999995</v>
      </c>
      <c r="P215" s="3">
        <v>61115.01999999999</v>
      </c>
      <c r="Q215" s="3">
        <v>64010.440000000017</v>
      </c>
      <c r="S215" s="7"/>
    </row>
    <row r="216" spans="1:19" x14ac:dyDescent="0.2">
      <c r="A216" s="2" t="s">
        <v>134</v>
      </c>
      <c r="B216" s="2" t="s">
        <v>22</v>
      </c>
      <c r="C216" s="2" t="s">
        <v>39</v>
      </c>
      <c r="D216" s="2" t="s">
        <v>27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52815.6</v>
      </c>
      <c r="P216" s="3">
        <v>64321.919999999998</v>
      </c>
      <c r="Q216" s="3">
        <v>66823.28</v>
      </c>
      <c r="S216" s="7"/>
    </row>
    <row r="217" spans="1:19" x14ac:dyDescent="0.2">
      <c r="A217" s="2" t="s">
        <v>134</v>
      </c>
      <c r="B217" s="2" t="s">
        <v>22</v>
      </c>
      <c r="C217" s="2" t="s">
        <v>29</v>
      </c>
      <c r="D217" s="2" t="s">
        <v>27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2361.54</v>
      </c>
      <c r="P217" s="3">
        <v>4537.8200000000006</v>
      </c>
      <c r="Q217" s="3">
        <v>6409.0999999999995</v>
      </c>
      <c r="S217" s="7"/>
    </row>
    <row r="218" spans="1:19" x14ac:dyDescent="0.2">
      <c r="A218" s="2" t="s">
        <v>135</v>
      </c>
      <c r="B218" s="2" t="s">
        <v>22</v>
      </c>
      <c r="C218" s="2" t="s">
        <v>36</v>
      </c>
      <c r="D218" s="2" t="s">
        <v>45</v>
      </c>
      <c r="E218" s="3">
        <v>15020.369999999999</v>
      </c>
      <c r="F218" s="3">
        <v>15034.579999999998</v>
      </c>
      <c r="G218" s="3">
        <v>15172.729999999996</v>
      </c>
      <c r="H218" s="3">
        <v>16966.919999999998</v>
      </c>
      <c r="I218" s="3">
        <v>17538.890000000003</v>
      </c>
      <c r="J218" s="3">
        <v>17433.13</v>
      </c>
      <c r="K218" s="3">
        <v>16809.229999999996</v>
      </c>
      <c r="L218" s="3">
        <v>17344.570000000003</v>
      </c>
      <c r="M218" s="3">
        <v>16851.230000000007</v>
      </c>
      <c r="N218" s="3">
        <v>17350.02</v>
      </c>
      <c r="O218" s="3">
        <v>17925.189999999999</v>
      </c>
      <c r="P218" s="3">
        <v>17480.510000000002</v>
      </c>
      <c r="Q218" s="3">
        <v>17761.280524737631</v>
      </c>
      <c r="S218" s="7"/>
    </row>
    <row r="219" spans="1:19" x14ac:dyDescent="0.2">
      <c r="A219" s="2" t="s">
        <v>136</v>
      </c>
      <c r="B219" s="2" t="s">
        <v>33</v>
      </c>
      <c r="C219" s="2" t="s">
        <v>34</v>
      </c>
      <c r="D219" s="2" t="s">
        <v>27</v>
      </c>
      <c r="E219" s="3">
        <v>146321.51999999999</v>
      </c>
      <c r="F219" s="3">
        <v>140671.03</v>
      </c>
      <c r="G219" s="3">
        <v>119210.25</v>
      </c>
      <c r="H219" s="3">
        <v>143539.16</v>
      </c>
      <c r="I219" s="3">
        <v>160661.75999999998</v>
      </c>
      <c r="J219" s="3">
        <v>155155.16999999998</v>
      </c>
      <c r="K219" s="3">
        <v>150587.11000000002</v>
      </c>
      <c r="L219" s="3">
        <v>145112.09999999995</v>
      </c>
      <c r="M219" s="3">
        <v>43469.149999999994</v>
      </c>
      <c r="N219" s="3">
        <v>148368.46000000005</v>
      </c>
      <c r="O219" s="3">
        <v>124673.52111111113</v>
      </c>
      <c r="P219" s="3">
        <v>147462.18</v>
      </c>
      <c r="Q219" s="3">
        <v>155442.15728335833</v>
      </c>
      <c r="S219" s="7"/>
    </row>
    <row r="220" spans="1:19" x14ac:dyDescent="0.2">
      <c r="A220" s="2" t="s">
        <v>136</v>
      </c>
      <c r="B220" s="2" t="s">
        <v>22</v>
      </c>
      <c r="C220" s="2" t="s">
        <v>26</v>
      </c>
      <c r="D220" s="2" t="s">
        <v>27</v>
      </c>
      <c r="E220" s="3">
        <v>17440.309999999998</v>
      </c>
      <c r="F220" s="3">
        <v>15741.6</v>
      </c>
      <c r="G220" s="3">
        <v>16014.570000000003</v>
      </c>
      <c r="H220" s="3">
        <v>17535.66</v>
      </c>
      <c r="I220" s="3">
        <v>18448.5</v>
      </c>
      <c r="J220" s="3">
        <v>18106.41</v>
      </c>
      <c r="K220" s="3">
        <v>12882.569999999996</v>
      </c>
      <c r="L220" s="3">
        <v>9012.33</v>
      </c>
      <c r="M220" s="3">
        <v>8814.1600000000017</v>
      </c>
      <c r="N220" s="3">
        <v>13023.579999999998</v>
      </c>
      <c r="O220" s="3">
        <v>9374.9337606837598</v>
      </c>
      <c r="P220" s="3">
        <v>9380.8000000000011</v>
      </c>
      <c r="Q220" s="3">
        <v>10025.107707346328</v>
      </c>
      <c r="S220" s="7"/>
    </row>
    <row r="221" spans="1:19" x14ac:dyDescent="0.2">
      <c r="A221" s="2" t="s">
        <v>136</v>
      </c>
      <c r="B221" s="2" t="s">
        <v>22</v>
      </c>
      <c r="C221" s="2" t="s">
        <v>28</v>
      </c>
      <c r="D221" s="2" t="s">
        <v>27</v>
      </c>
      <c r="E221" s="3">
        <v>3620.6200000000003</v>
      </c>
      <c r="F221" s="3">
        <v>3635.0499999999997</v>
      </c>
      <c r="G221" s="3">
        <v>3709.04</v>
      </c>
      <c r="H221" s="3">
        <v>3953.1800000000007</v>
      </c>
      <c r="I221" s="3">
        <v>3988.6400000000003</v>
      </c>
      <c r="J221" s="3">
        <v>3937.34</v>
      </c>
      <c r="K221" s="3">
        <v>4003.5699999999997</v>
      </c>
      <c r="L221" s="3">
        <v>3857.9899999999993</v>
      </c>
      <c r="M221" s="3">
        <v>3840.4500000000007</v>
      </c>
      <c r="N221" s="3">
        <v>3906.48</v>
      </c>
      <c r="O221" s="3">
        <v>3815.0101709401711</v>
      </c>
      <c r="P221" s="3">
        <v>0</v>
      </c>
      <c r="Q221" s="3">
        <v>0</v>
      </c>
      <c r="S221" s="7"/>
    </row>
    <row r="222" spans="1:19" x14ac:dyDescent="0.2">
      <c r="A222" s="2" t="s">
        <v>137</v>
      </c>
      <c r="B222" s="2" t="s">
        <v>33</v>
      </c>
      <c r="C222" s="2" t="s">
        <v>48</v>
      </c>
      <c r="D222" s="2" t="s">
        <v>27</v>
      </c>
      <c r="E222" s="3">
        <v>274179.70999999996</v>
      </c>
      <c r="F222" s="3">
        <v>254486.72000000003</v>
      </c>
      <c r="G222" s="3">
        <v>295886.29000000004</v>
      </c>
      <c r="H222" s="3">
        <v>325987.92000000004</v>
      </c>
      <c r="I222" s="3">
        <v>355693.32999999996</v>
      </c>
      <c r="J222" s="3">
        <v>361178.61999999994</v>
      </c>
      <c r="K222" s="3">
        <v>419159.76000000007</v>
      </c>
      <c r="L222" s="3">
        <v>372384.03</v>
      </c>
      <c r="M222" s="3">
        <v>402188.47</v>
      </c>
      <c r="N222" s="3">
        <v>484302.96</v>
      </c>
      <c r="O222" s="3">
        <v>561215.15196581197</v>
      </c>
      <c r="P222" s="3">
        <v>592676.05000000005</v>
      </c>
      <c r="Q222" s="3">
        <v>627228.52025487286</v>
      </c>
      <c r="S222" s="7"/>
    </row>
    <row r="223" spans="1:19" x14ac:dyDescent="0.2">
      <c r="A223" s="2" t="s">
        <v>138</v>
      </c>
      <c r="B223" s="2" t="s">
        <v>33</v>
      </c>
      <c r="C223" s="2" t="s">
        <v>48</v>
      </c>
      <c r="D223" s="2" t="s">
        <v>91</v>
      </c>
      <c r="E223" s="3">
        <v>144000</v>
      </c>
      <c r="F223" s="3">
        <v>183500</v>
      </c>
      <c r="G223" s="3">
        <v>192200.91999999998</v>
      </c>
      <c r="H223" s="3">
        <v>187812</v>
      </c>
      <c r="I223" s="3">
        <v>194700</v>
      </c>
      <c r="J223" s="3">
        <v>209024.64000000001</v>
      </c>
      <c r="K223" s="3">
        <v>216103.91999999998</v>
      </c>
      <c r="L223" s="3">
        <v>219938.66</v>
      </c>
      <c r="M223" s="3">
        <v>225519</v>
      </c>
      <c r="N223" s="3">
        <v>268564</v>
      </c>
      <c r="O223" s="3">
        <v>286364.37080000003</v>
      </c>
      <c r="P223" s="3">
        <v>300640</v>
      </c>
      <c r="Q223" s="3">
        <v>315106.80000000005</v>
      </c>
      <c r="S223" s="7"/>
    </row>
    <row r="224" spans="1:19" x14ac:dyDescent="0.2">
      <c r="A224" s="2" t="s">
        <v>139</v>
      </c>
      <c r="B224" s="2" t="s">
        <v>33</v>
      </c>
      <c r="C224" s="2" t="s">
        <v>34</v>
      </c>
      <c r="D224" s="2" t="s">
        <v>27</v>
      </c>
      <c r="E224" s="3">
        <v>243806.4</v>
      </c>
      <c r="F224" s="3">
        <v>279060</v>
      </c>
      <c r="G224" s="3">
        <v>290450</v>
      </c>
      <c r="H224" s="3">
        <v>248340</v>
      </c>
      <c r="I224" s="3">
        <v>150180</v>
      </c>
      <c r="J224" s="3">
        <v>157500</v>
      </c>
      <c r="K224" s="3">
        <v>157500</v>
      </c>
      <c r="L224" s="3">
        <v>154200</v>
      </c>
      <c r="M224" s="3">
        <v>144300</v>
      </c>
      <c r="N224" s="3">
        <v>147870</v>
      </c>
      <c r="O224" s="3">
        <v>153460</v>
      </c>
      <c r="P224" s="3">
        <v>159270</v>
      </c>
      <c r="Q224" s="3">
        <v>166332.59999999998</v>
      </c>
      <c r="S224" s="7"/>
    </row>
    <row r="225" spans="1:19" x14ac:dyDescent="0.2">
      <c r="A225" s="2" t="s">
        <v>139</v>
      </c>
      <c r="B225" s="2" t="s">
        <v>52</v>
      </c>
      <c r="C225" s="2" t="s">
        <v>53</v>
      </c>
      <c r="D225" s="2" t="s">
        <v>27</v>
      </c>
      <c r="E225" s="3">
        <v>2500</v>
      </c>
      <c r="F225" s="3">
        <v>66857.5</v>
      </c>
      <c r="G225" s="3">
        <v>174250</v>
      </c>
      <c r="H225" s="3">
        <v>179400</v>
      </c>
      <c r="I225" s="3">
        <v>146266.79999999999</v>
      </c>
      <c r="J225" s="3">
        <v>146100</v>
      </c>
      <c r="K225" s="3">
        <v>146100</v>
      </c>
      <c r="L225" s="3">
        <v>128556</v>
      </c>
      <c r="M225" s="3">
        <v>87500</v>
      </c>
      <c r="N225" s="3">
        <v>83100</v>
      </c>
      <c r="O225" s="3">
        <v>83100</v>
      </c>
      <c r="P225" s="3">
        <v>38700</v>
      </c>
      <c r="Q225" s="3">
        <v>39603</v>
      </c>
      <c r="S225" s="7"/>
    </row>
    <row r="226" spans="1:19" x14ac:dyDescent="0.2">
      <c r="A226" s="2" t="s">
        <v>140</v>
      </c>
      <c r="B226" s="2" t="s">
        <v>22</v>
      </c>
      <c r="C226" s="2" t="s">
        <v>36</v>
      </c>
      <c r="D226" s="2" t="s">
        <v>113</v>
      </c>
      <c r="E226" s="3">
        <v>10415.620000000003</v>
      </c>
      <c r="F226" s="3">
        <v>9423.43</v>
      </c>
      <c r="G226" s="3">
        <v>9540.9000000000015</v>
      </c>
      <c r="H226" s="3">
        <v>10437.919999999996</v>
      </c>
      <c r="I226" s="3">
        <v>11022.509999999997</v>
      </c>
      <c r="J226" s="3">
        <v>10791.370000000003</v>
      </c>
      <c r="K226" s="3">
        <v>10900.57</v>
      </c>
      <c r="L226" s="3">
        <v>10775.289999999999</v>
      </c>
      <c r="M226" s="3">
        <v>10423.290000000001</v>
      </c>
      <c r="N226" s="3">
        <v>10855.890000000001</v>
      </c>
      <c r="O226" s="3">
        <v>11126.42205128205</v>
      </c>
      <c r="P226" s="3">
        <v>11093.19</v>
      </c>
      <c r="Q226" s="3">
        <v>11596.189715142431</v>
      </c>
      <c r="S226" s="7"/>
    </row>
    <row r="227" spans="1:19" x14ac:dyDescent="0.2">
      <c r="A227" s="2" t="s">
        <v>140</v>
      </c>
      <c r="B227" s="2" t="s">
        <v>22</v>
      </c>
      <c r="C227" s="2" t="s">
        <v>29</v>
      </c>
      <c r="D227" s="2" t="s">
        <v>113</v>
      </c>
      <c r="E227" s="3">
        <v>2591.5500000000002</v>
      </c>
      <c r="F227" s="3">
        <v>2035.4400000000003</v>
      </c>
      <c r="G227" s="3">
        <v>2060.8399999999997</v>
      </c>
      <c r="H227" s="3">
        <v>2254.5900000000006</v>
      </c>
      <c r="I227" s="3">
        <v>2380.86</v>
      </c>
      <c r="J227" s="3">
        <v>2330.9500000000003</v>
      </c>
      <c r="K227" s="3">
        <v>2354.52</v>
      </c>
      <c r="L227" s="3">
        <v>2327.46</v>
      </c>
      <c r="M227" s="3">
        <v>2251.4300000000003</v>
      </c>
      <c r="N227" s="3">
        <v>2345.3799999999997</v>
      </c>
      <c r="O227" s="3">
        <v>2367.5007692307699</v>
      </c>
      <c r="P227" s="3">
        <v>2389.5100000000002</v>
      </c>
      <c r="Q227" s="3">
        <v>2422.2917841079461</v>
      </c>
      <c r="S227" s="7"/>
    </row>
    <row r="228" spans="1:19" x14ac:dyDescent="0.2">
      <c r="A228" s="2" t="s">
        <v>141</v>
      </c>
      <c r="B228" s="2" t="s">
        <v>22</v>
      </c>
      <c r="C228" s="2" t="s">
        <v>36</v>
      </c>
      <c r="D228" s="2" t="s">
        <v>45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5606.99</v>
      </c>
      <c r="N228" s="3">
        <v>8624.2100000000009</v>
      </c>
      <c r="O228" s="3">
        <v>8573.92</v>
      </c>
      <c r="P228" s="3">
        <v>8665.4</v>
      </c>
      <c r="Q228" s="3">
        <v>8427.06</v>
      </c>
      <c r="S228" s="7"/>
    </row>
    <row r="229" spans="1:19" x14ac:dyDescent="0.2">
      <c r="A229" s="2" t="s">
        <v>141</v>
      </c>
      <c r="B229" s="2" t="s">
        <v>22</v>
      </c>
      <c r="C229" s="2" t="s">
        <v>29</v>
      </c>
      <c r="D229" s="2" t="s">
        <v>45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508.69000000000005</v>
      </c>
      <c r="N229" s="3">
        <v>782.45999999999992</v>
      </c>
      <c r="O229" s="3">
        <v>778.02000000000021</v>
      </c>
      <c r="P229" s="3">
        <v>785.77</v>
      </c>
      <c r="Q229" s="3">
        <v>764.52000000000021</v>
      </c>
      <c r="S229" s="7"/>
    </row>
    <row r="230" spans="1:19" x14ac:dyDescent="0.2">
      <c r="A230" s="2" t="s">
        <v>142</v>
      </c>
      <c r="B230" s="2" t="s">
        <v>22</v>
      </c>
      <c r="C230" s="2" t="s">
        <v>29</v>
      </c>
      <c r="D230" s="2" t="s">
        <v>143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4881.7700000000004</v>
      </c>
      <c r="Q230" s="3">
        <v>5280.1017391304367</v>
      </c>
      <c r="S230" s="7"/>
    </row>
    <row r="231" spans="1:19" x14ac:dyDescent="0.2">
      <c r="A231" s="2" t="s">
        <v>144</v>
      </c>
      <c r="B231" s="2" t="s">
        <v>22</v>
      </c>
      <c r="C231" s="2" t="s">
        <v>36</v>
      </c>
      <c r="D231" s="2" t="s">
        <v>57</v>
      </c>
      <c r="E231" s="3">
        <v>9938.65</v>
      </c>
      <c r="F231" s="3">
        <v>9263.1500000000015</v>
      </c>
      <c r="G231" s="3">
        <v>9192.5499999999993</v>
      </c>
      <c r="H231" s="3">
        <v>10262.25</v>
      </c>
      <c r="I231" s="3">
        <v>10605.78</v>
      </c>
      <c r="J231" s="3">
        <v>10544.01</v>
      </c>
      <c r="K231" s="3">
        <v>10166.870000000003</v>
      </c>
      <c r="L231" s="3">
        <v>10490.670000000002</v>
      </c>
      <c r="M231" s="3">
        <v>10192.280000000002</v>
      </c>
      <c r="N231" s="3">
        <v>10518.6</v>
      </c>
      <c r="O231" s="3">
        <v>10846.264615384614</v>
      </c>
      <c r="P231" s="3">
        <v>10570.69</v>
      </c>
      <c r="Q231" s="3">
        <v>10947.418530734634</v>
      </c>
      <c r="S231" s="7"/>
    </row>
    <row r="232" spans="1:19" x14ac:dyDescent="0.2">
      <c r="A232" s="2" t="s">
        <v>144</v>
      </c>
      <c r="B232" s="2" t="s">
        <v>22</v>
      </c>
      <c r="C232" s="2" t="s">
        <v>28</v>
      </c>
      <c r="D232" s="2" t="s">
        <v>57</v>
      </c>
      <c r="E232" s="3">
        <v>0</v>
      </c>
      <c r="F232" s="3">
        <v>9230.77</v>
      </c>
      <c r="G232" s="3">
        <v>9643.1</v>
      </c>
      <c r="H232" s="3">
        <v>10390.689999999999</v>
      </c>
      <c r="I232" s="3">
        <v>11543.76</v>
      </c>
      <c r="J232" s="3">
        <v>10618.739999999996</v>
      </c>
      <c r="K232" s="3">
        <v>10778.49</v>
      </c>
      <c r="L232" s="3">
        <v>10625.700000000003</v>
      </c>
      <c r="M232" s="3">
        <v>10375.520000000002</v>
      </c>
      <c r="N232" s="3">
        <v>11847.28</v>
      </c>
      <c r="O232" s="3">
        <v>12133.550000000003</v>
      </c>
      <c r="P232" s="3">
        <v>2958.4700000000003</v>
      </c>
      <c r="Q232" s="3">
        <v>0</v>
      </c>
      <c r="S232" s="7"/>
    </row>
    <row r="233" spans="1:19" x14ac:dyDescent="0.2">
      <c r="A233" s="2" t="s">
        <v>145</v>
      </c>
      <c r="B233" s="2" t="s">
        <v>22</v>
      </c>
      <c r="C233" s="2" t="s">
        <v>26</v>
      </c>
      <c r="D233" s="2" t="s">
        <v>27</v>
      </c>
      <c r="E233" s="3">
        <v>11345.600000000002</v>
      </c>
      <c r="F233" s="3">
        <v>15653.38</v>
      </c>
      <c r="G233" s="3">
        <v>16030.719999999996</v>
      </c>
      <c r="H233" s="3">
        <v>17379.580000000002</v>
      </c>
      <c r="I233" s="3">
        <v>18282.630000000005</v>
      </c>
      <c r="J233" s="3">
        <v>18186.330000000002</v>
      </c>
      <c r="K233" s="3">
        <v>18220.370000000003</v>
      </c>
      <c r="L233" s="3">
        <v>18186.059999999998</v>
      </c>
      <c r="M233" s="3">
        <v>18026.689999999999</v>
      </c>
      <c r="N233" s="3">
        <v>18048.189999999995</v>
      </c>
      <c r="O233" s="3">
        <v>18703.228547008548</v>
      </c>
      <c r="P233" s="3">
        <v>19023.320000000003</v>
      </c>
      <c r="Q233" s="3">
        <v>20176.614829985007</v>
      </c>
      <c r="S233" s="7"/>
    </row>
    <row r="234" spans="1:19" x14ac:dyDescent="0.2">
      <c r="A234" s="2" t="s">
        <v>145</v>
      </c>
      <c r="B234" s="2" t="s">
        <v>22</v>
      </c>
      <c r="C234" s="2" t="s">
        <v>63</v>
      </c>
      <c r="D234" s="2" t="s">
        <v>27</v>
      </c>
      <c r="E234" s="3">
        <v>0</v>
      </c>
      <c r="F234" s="3">
        <v>0</v>
      </c>
      <c r="G234" s="3">
        <v>0</v>
      </c>
      <c r="H234" s="3">
        <v>15458.35</v>
      </c>
      <c r="I234" s="3">
        <v>35666.80000000001</v>
      </c>
      <c r="J234" s="3">
        <v>35500.000000000007</v>
      </c>
      <c r="K234" s="3">
        <v>35500.000000000007</v>
      </c>
      <c r="L234" s="3">
        <v>35647.58</v>
      </c>
      <c r="M234" s="3">
        <v>35500.000000000007</v>
      </c>
      <c r="N234" s="3">
        <v>35500.000000000007</v>
      </c>
      <c r="O234" s="3">
        <v>37422.1</v>
      </c>
      <c r="P234" s="3">
        <v>49330.27</v>
      </c>
      <c r="Q234" s="3">
        <v>62914.729999999989</v>
      </c>
      <c r="S234" s="7"/>
    </row>
    <row r="235" spans="1:19" x14ac:dyDescent="0.2">
      <c r="A235" s="2" t="s">
        <v>145</v>
      </c>
      <c r="B235" s="2" t="s">
        <v>22</v>
      </c>
      <c r="C235" s="2" t="s">
        <v>29</v>
      </c>
      <c r="D235" s="2" t="s">
        <v>27</v>
      </c>
      <c r="E235" s="3">
        <v>0</v>
      </c>
      <c r="F235" s="3">
        <v>0</v>
      </c>
      <c r="G235" s="3">
        <v>0</v>
      </c>
      <c r="H235" s="3">
        <v>658.34999999999991</v>
      </c>
      <c r="I235" s="3">
        <v>3159.9999999999995</v>
      </c>
      <c r="J235" s="3">
        <v>3159.9999999999995</v>
      </c>
      <c r="K235" s="3">
        <v>3159.9999999999995</v>
      </c>
      <c r="L235" s="3">
        <v>3159.9999999999995</v>
      </c>
      <c r="M235" s="3">
        <v>3159.9999999999995</v>
      </c>
      <c r="N235" s="3">
        <v>3159.9999999999995</v>
      </c>
      <c r="O235" s="3">
        <v>3458.11</v>
      </c>
      <c r="P235" s="3">
        <v>5622.5200000000013</v>
      </c>
      <c r="Q235" s="3">
        <v>7736.6399999999994</v>
      </c>
      <c r="S235" s="7"/>
    </row>
    <row r="236" spans="1:19" x14ac:dyDescent="0.2">
      <c r="A236" s="2" t="s">
        <v>145</v>
      </c>
      <c r="B236" s="2" t="s">
        <v>22</v>
      </c>
      <c r="C236" s="2" t="s">
        <v>29</v>
      </c>
      <c r="D236" s="2" t="s">
        <v>27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141.56</v>
      </c>
      <c r="P236" s="3">
        <v>853.74999999999989</v>
      </c>
      <c r="Q236" s="3">
        <v>852.2399999999999</v>
      </c>
      <c r="S236" s="7"/>
    </row>
    <row r="237" spans="1:19" x14ac:dyDescent="0.2">
      <c r="A237" s="2" t="s">
        <v>146</v>
      </c>
      <c r="B237" s="2" t="s">
        <v>22</v>
      </c>
      <c r="C237" s="2" t="s">
        <v>28</v>
      </c>
      <c r="D237" s="2" t="s">
        <v>91</v>
      </c>
      <c r="E237" s="3">
        <v>7650</v>
      </c>
      <c r="F237" s="3">
        <v>9000</v>
      </c>
      <c r="G237" s="3">
        <v>9000</v>
      </c>
      <c r="H237" s="3">
        <v>4050</v>
      </c>
      <c r="I237" s="3">
        <v>3600</v>
      </c>
      <c r="J237" s="3">
        <v>3600</v>
      </c>
      <c r="K237" s="3">
        <v>3600</v>
      </c>
      <c r="L237" s="3">
        <v>3600</v>
      </c>
      <c r="M237" s="3">
        <v>3600</v>
      </c>
      <c r="N237" s="3">
        <v>3600</v>
      </c>
      <c r="O237" s="3">
        <v>4015.32</v>
      </c>
      <c r="P237" s="3">
        <v>6005.68</v>
      </c>
      <c r="Q237" s="3">
        <v>6069.96</v>
      </c>
      <c r="S237" s="7"/>
    </row>
    <row r="238" spans="1:19" x14ac:dyDescent="0.2">
      <c r="A238" s="2" t="s">
        <v>147</v>
      </c>
      <c r="B238" s="2" t="s">
        <v>33</v>
      </c>
      <c r="C238" s="2" t="s">
        <v>34</v>
      </c>
      <c r="D238" s="2" t="s">
        <v>27</v>
      </c>
      <c r="E238" s="3">
        <v>30600</v>
      </c>
      <c r="F238" s="3">
        <v>29152</v>
      </c>
      <c r="G238" s="3">
        <v>30600</v>
      </c>
      <c r="H238" s="3">
        <v>32400.129999999997</v>
      </c>
      <c r="I238" s="3">
        <v>52200.53</v>
      </c>
      <c r="J238" s="3">
        <v>58500.439999999995</v>
      </c>
      <c r="K238" s="3">
        <v>62999.7</v>
      </c>
      <c r="L238" s="3">
        <v>62999.719999999994</v>
      </c>
      <c r="M238" s="3">
        <v>63000.30999999999</v>
      </c>
      <c r="N238" s="3">
        <v>63000.279999999992</v>
      </c>
      <c r="O238" s="3">
        <v>63524.999999999993</v>
      </c>
      <c r="P238" s="3">
        <v>65835.510000000009</v>
      </c>
      <c r="Q238" s="3">
        <v>68349.880799999984</v>
      </c>
      <c r="S238" s="7"/>
    </row>
    <row r="239" spans="1:19" x14ac:dyDescent="0.2">
      <c r="A239" s="2" t="s">
        <v>147</v>
      </c>
      <c r="B239" s="2" t="s">
        <v>22</v>
      </c>
      <c r="C239" s="2" t="s">
        <v>36</v>
      </c>
      <c r="D239" s="2" t="s">
        <v>27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7008.7300000000005</v>
      </c>
      <c r="N239" s="3">
        <v>11132.310000000001</v>
      </c>
      <c r="O239" s="3">
        <v>11650.909145299145</v>
      </c>
      <c r="P239" s="3">
        <v>88.090000000000828</v>
      </c>
      <c r="Q239" s="3">
        <v>11584.549895052474</v>
      </c>
      <c r="S239" s="7"/>
    </row>
    <row r="240" spans="1:19" x14ac:dyDescent="0.2">
      <c r="A240" s="2" t="s">
        <v>147</v>
      </c>
      <c r="B240" s="2" t="s">
        <v>22</v>
      </c>
      <c r="C240" s="2" t="s">
        <v>29</v>
      </c>
      <c r="D240" s="2" t="s">
        <v>27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536.96</v>
      </c>
      <c r="N240" s="3">
        <v>852.31000000000017</v>
      </c>
      <c r="O240" s="3">
        <v>891.90794871794878</v>
      </c>
      <c r="P240" s="3">
        <v>5.7400000000000801</v>
      </c>
      <c r="Q240" s="3">
        <v>894.92304347826098</v>
      </c>
      <c r="S240" s="7"/>
    </row>
    <row r="241" spans="1:19" x14ac:dyDescent="0.2">
      <c r="A241" s="2" t="s">
        <v>147</v>
      </c>
      <c r="B241" s="2" t="s">
        <v>22</v>
      </c>
      <c r="C241" s="2" t="s">
        <v>50</v>
      </c>
      <c r="D241" s="2" t="s">
        <v>27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18317.202735042734</v>
      </c>
      <c r="P241" s="3">
        <v>20827.54</v>
      </c>
      <c r="Q241" s="3">
        <v>21174.123043478266</v>
      </c>
      <c r="S241" s="7"/>
    </row>
    <row r="242" spans="1:19" x14ac:dyDescent="0.2">
      <c r="A242" s="2" t="s">
        <v>147</v>
      </c>
      <c r="B242" s="2" t="s">
        <v>22</v>
      </c>
      <c r="C242" s="2" t="s">
        <v>29</v>
      </c>
      <c r="D242" s="2" t="s">
        <v>27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842.8</v>
      </c>
      <c r="S242" s="7"/>
    </row>
    <row r="243" spans="1:19" x14ac:dyDescent="0.2">
      <c r="A243" s="2" t="s">
        <v>148</v>
      </c>
      <c r="B243" s="2" t="s">
        <v>22</v>
      </c>
      <c r="C243" s="2" t="s">
        <v>50</v>
      </c>
      <c r="D243" s="2" t="s">
        <v>97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5869.41</v>
      </c>
      <c r="O243" s="3">
        <v>9797.8888123076922</v>
      </c>
      <c r="P243" s="3">
        <v>10110.93</v>
      </c>
      <c r="Q243" s="3">
        <v>11019.002233883059</v>
      </c>
      <c r="S243" s="7"/>
    </row>
    <row r="244" spans="1:19" x14ac:dyDescent="0.2">
      <c r="A244" s="2" t="s">
        <v>148</v>
      </c>
      <c r="B244" s="2" t="s">
        <v>22</v>
      </c>
      <c r="C244" s="2" t="s">
        <v>50</v>
      </c>
      <c r="D244" s="2" t="s">
        <v>97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1973.92</v>
      </c>
      <c r="P244" s="3">
        <v>981.77</v>
      </c>
      <c r="Q244" s="3">
        <v>0</v>
      </c>
      <c r="S244" s="7"/>
    </row>
    <row r="245" spans="1:19" x14ac:dyDescent="0.2">
      <c r="A245" s="2" t="s">
        <v>148</v>
      </c>
      <c r="B245" s="2" t="s">
        <v>22</v>
      </c>
      <c r="C245" s="2" t="s">
        <v>29</v>
      </c>
      <c r="D245" s="2" t="s">
        <v>97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807.7600000000001</v>
      </c>
      <c r="Q245" s="3">
        <v>1619.01</v>
      </c>
      <c r="S245" s="7"/>
    </row>
    <row r="246" spans="1:19" x14ac:dyDescent="0.2">
      <c r="A246" s="2" t="s">
        <v>149</v>
      </c>
      <c r="B246" s="2" t="s">
        <v>22</v>
      </c>
      <c r="C246" s="2" t="s">
        <v>28</v>
      </c>
      <c r="D246" s="2" t="s">
        <v>24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22500</v>
      </c>
      <c r="Q246" s="3">
        <v>18540</v>
      </c>
      <c r="S246" s="7"/>
    </row>
    <row r="247" spans="1:19" x14ac:dyDescent="0.2">
      <c r="A247" s="2" t="s">
        <v>150</v>
      </c>
      <c r="B247" s="2" t="s">
        <v>22</v>
      </c>
      <c r="C247" s="2" t="s">
        <v>28</v>
      </c>
      <c r="D247" s="2" t="s">
        <v>91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3092</v>
      </c>
      <c r="L247" s="3">
        <v>8100</v>
      </c>
      <c r="M247" s="3">
        <v>8100</v>
      </c>
      <c r="N247" s="3">
        <v>8100</v>
      </c>
      <c r="O247" s="3">
        <v>8103.59</v>
      </c>
      <c r="P247" s="3">
        <v>8150.02</v>
      </c>
      <c r="Q247" s="3">
        <v>8302.59</v>
      </c>
      <c r="S247" s="7"/>
    </row>
    <row r="248" spans="1:19" x14ac:dyDescent="0.2">
      <c r="A248" s="2" t="s">
        <v>151</v>
      </c>
      <c r="B248" s="2" t="s">
        <v>33</v>
      </c>
      <c r="C248" s="2" t="s">
        <v>48</v>
      </c>
      <c r="D248" s="2" t="s">
        <v>91</v>
      </c>
      <c r="E248" s="3">
        <v>0</v>
      </c>
      <c r="F248" s="3">
        <v>15336.98</v>
      </c>
      <c r="G248" s="3">
        <v>99058.000000000015</v>
      </c>
      <c r="H248" s="3">
        <v>108335.80000000002</v>
      </c>
      <c r="I248" s="3">
        <v>113459.27</v>
      </c>
      <c r="J248" s="3">
        <v>114886.58999999998</v>
      </c>
      <c r="K248" s="3">
        <v>118519.32</v>
      </c>
      <c r="L248" s="3">
        <v>115639.67000000001</v>
      </c>
      <c r="M248" s="3">
        <v>121867.91999999998</v>
      </c>
      <c r="N248" s="3">
        <v>134770.06</v>
      </c>
      <c r="O248" s="3">
        <v>138321.79641025641</v>
      </c>
      <c r="P248" s="3">
        <v>143503.26</v>
      </c>
      <c r="Q248" s="3">
        <v>151636.75905847075</v>
      </c>
      <c r="S248" s="7"/>
    </row>
    <row r="249" spans="1:19" x14ac:dyDescent="0.2">
      <c r="A249" s="2" t="s">
        <v>152</v>
      </c>
      <c r="B249" s="2" t="s">
        <v>33</v>
      </c>
      <c r="C249" s="2" t="s">
        <v>34</v>
      </c>
      <c r="D249" s="2" t="s">
        <v>27</v>
      </c>
      <c r="E249" s="3">
        <v>0</v>
      </c>
      <c r="F249" s="3">
        <v>0</v>
      </c>
      <c r="G249" s="3">
        <v>0</v>
      </c>
      <c r="H249" s="3">
        <v>33210</v>
      </c>
      <c r="I249" s="3">
        <v>106515</v>
      </c>
      <c r="J249" s="3">
        <v>132300</v>
      </c>
      <c r="K249" s="3">
        <v>166770</v>
      </c>
      <c r="L249" s="3">
        <v>181800</v>
      </c>
      <c r="M249" s="3">
        <v>185760</v>
      </c>
      <c r="N249" s="3">
        <v>173160</v>
      </c>
      <c r="O249" s="3">
        <v>186255.35999999999</v>
      </c>
      <c r="P249" s="3">
        <v>212800</v>
      </c>
      <c r="Q249" s="3">
        <v>234522</v>
      </c>
      <c r="S249" s="7"/>
    </row>
    <row r="250" spans="1:19" x14ac:dyDescent="0.2">
      <c r="A250" s="2" t="s">
        <v>152</v>
      </c>
      <c r="B250" s="2" t="s">
        <v>22</v>
      </c>
      <c r="C250" s="2" t="s">
        <v>39</v>
      </c>
      <c r="D250" s="2" t="s">
        <v>27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2625</v>
      </c>
      <c r="P250" s="3">
        <v>32114.499999999996</v>
      </c>
      <c r="Q250" s="3">
        <v>33450.5</v>
      </c>
      <c r="S250" s="7"/>
    </row>
    <row r="251" spans="1:19" x14ac:dyDescent="0.2">
      <c r="A251" s="2" t="s">
        <v>152</v>
      </c>
      <c r="B251" s="2" t="s">
        <v>22</v>
      </c>
      <c r="C251" s="2" t="s">
        <v>28</v>
      </c>
      <c r="D251" s="2" t="s">
        <v>27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126</v>
      </c>
      <c r="P251" s="3">
        <v>1120.6400000000003</v>
      </c>
      <c r="Q251" s="3">
        <v>774.96</v>
      </c>
      <c r="S251" s="7"/>
    </row>
    <row r="252" spans="1:19" x14ac:dyDescent="0.2">
      <c r="A252" s="2" t="s">
        <v>153</v>
      </c>
      <c r="B252" s="2" t="s">
        <v>22</v>
      </c>
      <c r="C252" s="2" t="s">
        <v>63</v>
      </c>
      <c r="D252" s="2" t="s">
        <v>24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8750</v>
      </c>
      <c r="L252" s="3">
        <v>18208.36</v>
      </c>
      <c r="M252" s="3">
        <v>20500</v>
      </c>
      <c r="N252" s="3">
        <v>20500</v>
      </c>
      <c r="O252" s="3">
        <v>22386.129999999997</v>
      </c>
      <c r="P252" s="3">
        <v>45753.760000000002</v>
      </c>
      <c r="Q252" s="3">
        <v>52095.05</v>
      </c>
      <c r="S252" s="7"/>
    </row>
    <row r="253" spans="1:19" x14ac:dyDescent="0.2">
      <c r="A253" s="2" t="s">
        <v>153</v>
      </c>
      <c r="B253" s="2" t="s">
        <v>22</v>
      </c>
      <c r="C253" s="2" t="s">
        <v>28</v>
      </c>
      <c r="D253" s="2" t="s">
        <v>24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1999.9699999999998</v>
      </c>
      <c r="L253" s="3">
        <v>9875</v>
      </c>
      <c r="M253" s="3">
        <v>17375</v>
      </c>
      <c r="N253" s="3">
        <v>23000</v>
      </c>
      <c r="O253" s="3">
        <v>23350.29</v>
      </c>
      <c r="P253" s="3">
        <v>24350.879999999997</v>
      </c>
      <c r="Q253" s="3">
        <v>25299.739999999998</v>
      </c>
      <c r="S253" s="7"/>
    </row>
    <row r="254" spans="1:19" x14ac:dyDescent="0.2">
      <c r="A254" s="2" t="s">
        <v>153</v>
      </c>
      <c r="B254" s="2" t="s">
        <v>22</v>
      </c>
      <c r="C254" s="2" t="s">
        <v>29</v>
      </c>
      <c r="D254" s="2" t="s">
        <v>24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199.97000000000003</v>
      </c>
      <c r="L254" s="3">
        <v>1266.73</v>
      </c>
      <c r="M254" s="3">
        <v>1600</v>
      </c>
      <c r="N254" s="3">
        <v>1600</v>
      </c>
      <c r="O254" s="3">
        <v>1602.27</v>
      </c>
      <c r="P254" s="3">
        <v>4473.84</v>
      </c>
      <c r="Q254" s="3">
        <v>4855.8500000000004</v>
      </c>
      <c r="S254" s="7"/>
    </row>
    <row r="255" spans="1:19" x14ac:dyDescent="0.2">
      <c r="A255" s="2" t="s">
        <v>153</v>
      </c>
      <c r="B255" s="2" t="s">
        <v>22</v>
      </c>
      <c r="C255" s="2" t="s">
        <v>50</v>
      </c>
      <c r="D255" s="2" t="s">
        <v>24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9083.5299999999988</v>
      </c>
      <c r="P255" s="3">
        <v>23057.370000000003</v>
      </c>
      <c r="Q255" s="3">
        <v>18602.62</v>
      </c>
      <c r="S255" s="7"/>
    </row>
    <row r="256" spans="1:19" x14ac:dyDescent="0.2">
      <c r="A256" s="2" t="s">
        <v>153</v>
      </c>
      <c r="B256" s="2" t="s">
        <v>22</v>
      </c>
      <c r="C256" s="2" t="s">
        <v>29</v>
      </c>
      <c r="D256" s="2" t="s">
        <v>24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6915.7500000000009</v>
      </c>
      <c r="Q256" s="3">
        <v>14473.39</v>
      </c>
      <c r="S256" s="7"/>
    </row>
    <row r="257" spans="1:19" x14ac:dyDescent="0.2">
      <c r="A257" s="2" t="s">
        <v>153</v>
      </c>
      <c r="B257" s="2" t="s">
        <v>52</v>
      </c>
      <c r="C257" s="2" t="s">
        <v>53</v>
      </c>
      <c r="D257" s="2" t="s">
        <v>24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950</v>
      </c>
      <c r="S257" s="7"/>
    </row>
    <row r="258" spans="1:19" x14ac:dyDescent="0.2">
      <c r="A258" s="2" t="s">
        <v>154</v>
      </c>
      <c r="B258" s="2" t="s">
        <v>22</v>
      </c>
      <c r="C258" s="2" t="s">
        <v>36</v>
      </c>
      <c r="D258" s="2" t="s">
        <v>69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6933.32</v>
      </c>
      <c r="N258" s="3">
        <v>10400</v>
      </c>
      <c r="O258" s="3">
        <v>10682.83</v>
      </c>
      <c r="P258" s="3">
        <v>11190.850000000002</v>
      </c>
      <c r="Q258" s="3">
        <v>11474.9</v>
      </c>
      <c r="S258" s="7"/>
    </row>
    <row r="259" spans="1:19" x14ac:dyDescent="0.2">
      <c r="A259" s="2" t="s">
        <v>154</v>
      </c>
      <c r="B259" s="2" t="s">
        <v>22</v>
      </c>
      <c r="C259" s="2" t="s">
        <v>29</v>
      </c>
      <c r="D259" s="2" t="s">
        <v>69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600</v>
      </c>
      <c r="N259" s="3">
        <v>1500</v>
      </c>
      <c r="O259" s="3">
        <v>1848.41</v>
      </c>
      <c r="P259" s="3">
        <v>1933.8999999999999</v>
      </c>
      <c r="Q259" s="3">
        <v>1976.83</v>
      </c>
      <c r="S259" s="7"/>
    </row>
    <row r="260" spans="1:19" x14ac:dyDescent="0.2">
      <c r="A260" s="2" t="s">
        <v>155</v>
      </c>
      <c r="B260" s="2" t="s">
        <v>33</v>
      </c>
      <c r="C260" s="2" t="s">
        <v>48</v>
      </c>
      <c r="D260" s="2" t="s">
        <v>113</v>
      </c>
      <c r="E260" s="3">
        <v>0</v>
      </c>
      <c r="F260" s="3">
        <v>0</v>
      </c>
      <c r="G260" s="3">
        <v>0</v>
      </c>
      <c r="H260" s="3">
        <v>0</v>
      </c>
      <c r="I260" s="3">
        <v>122916.67</v>
      </c>
      <c r="J260" s="3">
        <v>153064</v>
      </c>
      <c r="K260" s="3">
        <v>157542</v>
      </c>
      <c r="L260" s="3">
        <v>161820</v>
      </c>
      <c r="M260" s="3">
        <v>179046</v>
      </c>
      <c r="N260" s="3">
        <v>214555</v>
      </c>
      <c r="O260" s="3">
        <v>301000</v>
      </c>
      <c r="P260" s="3">
        <v>307758</v>
      </c>
      <c r="Q260" s="3">
        <v>334342.32</v>
      </c>
      <c r="S260" s="7"/>
    </row>
    <row r="261" spans="1:19" x14ac:dyDescent="0.2">
      <c r="A261" s="2" t="s">
        <v>156</v>
      </c>
      <c r="B261" s="2" t="s">
        <v>33</v>
      </c>
      <c r="C261" s="2" t="s">
        <v>34</v>
      </c>
      <c r="D261" s="2" t="s">
        <v>24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41000</v>
      </c>
      <c r="K261" s="3">
        <v>66450</v>
      </c>
      <c r="L261" s="3">
        <v>66000</v>
      </c>
      <c r="M261" s="3">
        <v>66000</v>
      </c>
      <c r="N261" s="3">
        <v>55000</v>
      </c>
      <c r="O261" s="3">
        <v>68112</v>
      </c>
      <c r="P261" s="3">
        <v>55534.81</v>
      </c>
      <c r="Q261" s="3">
        <v>0</v>
      </c>
      <c r="S261" s="7"/>
    </row>
    <row r="262" spans="1:19" x14ac:dyDescent="0.2">
      <c r="A262" s="2" t="s">
        <v>156</v>
      </c>
      <c r="B262" s="2" t="s">
        <v>33</v>
      </c>
      <c r="C262" s="2" t="s">
        <v>48</v>
      </c>
      <c r="D262" s="2" t="s">
        <v>24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15753.19</v>
      </c>
      <c r="Q262" s="3">
        <v>73071.48000000001</v>
      </c>
      <c r="S262" s="7"/>
    </row>
    <row r="263" spans="1:19" x14ac:dyDescent="0.2">
      <c r="A263" s="2" t="s">
        <v>157</v>
      </c>
      <c r="B263" s="2" t="s">
        <v>33</v>
      </c>
      <c r="C263" s="2" t="s">
        <v>34</v>
      </c>
      <c r="D263" s="2" t="s">
        <v>27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8954.16</v>
      </c>
      <c r="K263" s="3">
        <v>39849.440000000002</v>
      </c>
      <c r="L263" s="3">
        <v>57531.270000000011</v>
      </c>
      <c r="M263" s="3">
        <v>57472.020000000004</v>
      </c>
      <c r="N263" s="3">
        <v>58425.31</v>
      </c>
      <c r="O263" s="3">
        <v>57128.030948717947</v>
      </c>
      <c r="P263" s="3">
        <v>67078.62</v>
      </c>
      <c r="Q263" s="3">
        <v>64817.834272863591</v>
      </c>
      <c r="S263" s="7"/>
    </row>
    <row r="264" spans="1:19" x14ac:dyDescent="0.2">
      <c r="A264" s="2" t="s">
        <v>158</v>
      </c>
      <c r="B264" s="2" t="s">
        <v>22</v>
      </c>
      <c r="C264" s="2" t="s">
        <v>50</v>
      </c>
      <c r="D264" s="2" t="s">
        <v>24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458.33</v>
      </c>
      <c r="O264" s="3">
        <v>5649.34</v>
      </c>
      <c r="P264" s="3">
        <v>18342.710000000003</v>
      </c>
      <c r="Q264" s="3">
        <v>9566.6</v>
      </c>
      <c r="S264" s="7"/>
    </row>
    <row r="265" spans="1:19" x14ac:dyDescent="0.2">
      <c r="A265" s="2" t="s">
        <v>158</v>
      </c>
      <c r="B265" s="2" t="s">
        <v>22</v>
      </c>
      <c r="C265" s="2" t="s">
        <v>63</v>
      </c>
      <c r="D265" s="2" t="s">
        <v>24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16725.72</v>
      </c>
      <c r="P265" s="3">
        <v>30531.780000000002</v>
      </c>
      <c r="Q265" s="3">
        <v>31555.239999999994</v>
      </c>
      <c r="S265" s="7"/>
    </row>
    <row r="266" spans="1:19" x14ac:dyDescent="0.2">
      <c r="A266" s="2" t="s">
        <v>158</v>
      </c>
      <c r="B266" s="2" t="s">
        <v>22</v>
      </c>
      <c r="C266" s="2" t="s">
        <v>29</v>
      </c>
      <c r="D266" s="2" t="s">
        <v>24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528.58000000000004</v>
      </c>
      <c r="P266" s="3">
        <v>3606.46</v>
      </c>
      <c r="Q266" s="3">
        <v>3727.4199999999992</v>
      </c>
      <c r="S266" s="7"/>
    </row>
    <row r="267" spans="1:19" x14ac:dyDescent="0.2">
      <c r="A267" s="2" t="s">
        <v>158</v>
      </c>
      <c r="B267" s="2" t="s">
        <v>22</v>
      </c>
      <c r="C267" s="2" t="s">
        <v>28</v>
      </c>
      <c r="D267" s="2" t="s">
        <v>24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14288.86</v>
      </c>
      <c r="P267" s="3">
        <v>24199.999999999996</v>
      </c>
      <c r="Q267" s="3">
        <v>25037.100000000006</v>
      </c>
      <c r="S267" s="7"/>
    </row>
    <row r="268" spans="1:19" x14ac:dyDescent="0.2">
      <c r="A268" s="2" t="s">
        <v>158</v>
      </c>
      <c r="B268" s="2" t="s">
        <v>22</v>
      </c>
      <c r="C268" s="2" t="s">
        <v>29</v>
      </c>
      <c r="D268" s="2" t="s">
        <v>24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797.94</v>
      </c>
      <c r="Q268" s="3">
        <v>9723.7800000000007</v>
      </c>
      <c r="S268" s="7"/>
    </row>
    <row r="269" spans="1:19" x14ac:dyDescent="0.2">
      <c r="A269" s="2" t="s">
        <v>159</v>
      </c>
      <c r="B269" s="2" t="s">
        <v>22</v>
      </c>
      <c r="C269" s="2" t="s">
        <v>36</v>
      </c>
      <c r="D269" s="2" t="s">
        <v>27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3680.54</v>
      </c>
      <c r="K269" s="3">
        <v>11053.1</v>
      </c>
      <c r="L269" s="3">
        <v>10926.919999999998</v>
      </c>
      <c r="M269" s="3">
        <v>10654.79</v>
      </c>
      <c r="N269" s="3">
        <v>11579.980000000001</v>
      </c>
      <c r="O269" s="3">
        <v>10706.208376068376</v>
      </c>
      <c r="P269" s="3">
        <v>7197.1</v>
      </c>
      <c r="Q269" s="3">
        <v>0</v>
      </c>
      <c r="S269" s="7"/>
    </row>
    <row r="270" spans="1:19" x14ac:dyDescent="0.2">
      <c r="A270" s="2" t="s">
        <v>159</v>
      </c>
      <c r="B270" s="2" t="s">
        <v>22</v>
      </c>
      <c r="C270" s="2" t="s">
        <v>29</v>
      </c>
      <c r="D270" s="2" t="s">
        <v>27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282.01</v>
      </c>
      <c r="K270" s="3">
        <v>846.75</v>
      </c>
      <c r="L270" s="3">
        <v>837.21000000000015</v>
      </c>
      <c r="M270" s="3">
        <v>816.24000000000012</v>
      </c>
      <c r="N270" s="3">
        <v>1024.4099999999999</v>
      </c>
      <c r="O270" s="3">
        <v>1714.5242735042734</v>
      </c>
      <c r="P270" s="3">
        <v>1104.1300000000001</v>
      </c>
      <c r="Q270" s="3">
        <v>0</v>
      </c>
      <c r="S270" s="7"/>
    </row>
    <row r="271" spans="1:19" x14ac:dyDescent="0.2">
      <c r="A271" s="2" t="s">
        <v>160</v>
      </c>
      <c r="B271" s="2" t="s">
        <v>22</v>
      </c>
      <c r="C271" s="2" t="s">
        <v>50</v>
      </c>
      <c r="D271" s="2" t="s">
        <v>91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13733.880000000005</v>
      </c>
      <c r="O271" s="3">
        <v>16616.960854700857</v>
      </c>
      <c r="P271" s="3">
        <v>12218.470000000003</v>
      </c>
      <c r="Q271" s="3">
        <v>12020.898245877062</v>
      </c>
      <c r="S271" s="7"/>
    </row>
    <row r="272" spans="1:19" x14ac:dyDescent="0.2">
      <c r="A272" s="2" t="s">
        <v>160</v>
      </c>
      <c r="B272" s="2" t="s">
        <v>22</v>
      </c>
      <c r="C272" s="2" t="s">
        <v>29</v>
      </c>
      <c r="D272" s="2" t="s">
        <v>91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5684.380000000001</v>
      </c>
      <c r="Q272" s="3">
        <v>8278.24</v>
      </c>
      <c r="S272" s="7"/>
    </row>
    <row r="273" spans="1:19" x14ac:dyDescent="0.2">
      <c r="A273" s="2" t="s">
        <v>161</v>
      </c>
      <c r="B273" s="2" t="s">
        <v>33</v>
      </c>
      <c r="C273" s="2" t="s">
        <v>34</v>
      </c>
      <c r="D273" s="2" t="s">
        <v>97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73400</v>
      </c>
      <c r="L273" s="3">
        <v>104400</v>
      </c>
      <c r="M273" s="3">
        <v>108450</v>
      </c>
      <c r="N273" s="3">
        <v>126000</v>
      </c>
      <c r="O273" s="3">
        <v>153000</v>
      </c>
      <c r="P273" s="3">
        <v>153000</v>
      </c>
      <c r="Q273" s="3">
        <v>89250</v>
      </c>
      <c r="S273" s="7"/>
    </row>
    <row r="274" spans="1:19" x14ac:dyDescent="0.2">
      <c r="A274" s="2" t="s">
        <v>161</v>
      </c>
      <c r="B274" s="2" t="s">
        <v>22</v>
      </c>
      <c r="C274" s="2" t="s">
        <v>28</v>
      </c>
      <c r="D274" s="2" t="s">
        <v>97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10480</v>
      </c>
      <c r="L274" s="3">
        <v>9000</v>
      </c>
      <c r="M274" s="3">
        <v>9000</v>
      </c>
      <c r="N274" s="3">
        <v>9000</v>
      </c>
      <c r="O274" s="3">
        <v>9000</v>
      </c>
      <c r="P274" s="3">
        <v>8976.2400000000016</v>
      </c>
      <c r="Q274" s="3">
        <v>4510.04</v>
      </c>
      <c r="S274" s="7"/>
    </row>
    <row r="275" spans="1:19" x14ac:dyDescent="0.2">
      <c r="A275" s="2" t="s">
        <v>161</v>
      </c>
      <c r="B275" s="2" t="s">
        <v>22</v>
      </c>
      <c r="C275" s="2" t="s">
        <v>39</v>
      </c>
      <c r="D275" s="2" t="s">
        <v>97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4166.67</v>
      </c>
      <c r="L275" s="3">
        <v>100416.51000000001</v>
      </c>
      <c r="M275" s="3">
        <v>193750.04</v>
      </c>
      <c r="N275" s="3">
        <v>120000.04000000001</v>
      </c>
      <c r="O275" s="3">
        <v>204896.02000000002</v>
      </c>
      <c r="P275" s="3">
        <v>129083.64</v>
      </c>
      <c r="Q275" s="3">
        <v>7093.74</v>
      </c>
      <c r="S275" s="7"/>
    </row>
    <row r="276" spans="1:19" x14ac:dyDescent="0.2">
      <c r="A276" s="2" t="s">
        <v>161</v>
      </c>
      <c r="B276" s="2" t="s">
        <v>22</v>
      </c>
      <c r="C276" s="2" t="s">
        <v>28</v>
      </c>
      <c r="D276" s="2" t="s">
        <v>97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29883.329999999994</v>
      </c>
      <c r="M276" s="3">
        <v>35349.999999999993</v>
      </c>
      <c r="N276" s="3">
        <v>35599.999999999993</v>
      </c>
      <c r="O276" s="3">
        <v>37750.379999999997</v>
      </c>
      <c r="P276" s="3">
        <v>50618.229999999996</v>
      </c>
      <c r="Q276" s="3">
        <v>4398.72</v>
      </c>
      <c r="S276" s="7"/>
    </row>
    <row r="277" spans="1:19" x14ac:dyDescent="0.2">
      <c r="A277" s="2" t="s">
        <v>161</v>
      </c>
      <c r="B277" s="2" t="s">
        <v>22</v>
      </c>
      <c r="C277" s="2" t="s">
        <v>29</v>
      </c>
      <c r="D277" s="2" t="s">
        <v>97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2475</v>
      </c>
      <c r="M277" s="3">
        <v>6825</v>
      </c>
      <c r="N277" s="3">
        <v>8025</v>
      </c>
      <c r="O277" s="3">
        <v>10560.85</v>
      </c>
      <c r="P277" s="3">
        <v>914.15</v>
      </c>
      <c r="Q277" s="3">
        <v>0</v>
      </c>
      <c r="S277" s="7"/>
    </row>
    <row r="278" spans="1:19" x14ac:dyDescent="0.2">
      <c r="A278" s="2" t="s">
        <v>162</v>
      </c>
      <c r="B278" s="2" t="s">
        <v>22</v>
      </c>
      <c r="C278" s="2" t="s">
        <v>28</v>
      </c>
      <c r="D278" s="2" t="s">
        <v>24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8980.0499999999993</v>
      </c>
      <c r="L278" s="3">
        <v>9000</v>
      </c>
      <c r="M278" s="3">
        <v>9000</v>
      </c>
      <c r="N278" s="3">
        <v>9000</v>
      </c>
      <c r="O278" s="3">
        <v>9045.9599999999991</v>
      </c>
      <c r="P278" s="3">
        <v>9000</v>
      </c>
      <c r="Q278" s="3">
        <v>9094.0400000000009</v>
      </c>
      <c r="S278" s="7"/>
    </row>
    <row r="279" spans="1:19" x14ac:dyDescent="0.2">
      <c r="A279" s="2" t="s">
        <v>163</v>
      </c>
      <c r="B279" s="2" t="s">
        <v>33</v>
      </c>
      <c r="C279" s="2" t="s">
        <v>48</v>
      </c>
      <c r="D279" s="2" t="s">
        <v>94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27500</v>
      </c>
      <c r="L279" s="3">
        <v>30000</v>
      </c>
      <c r="M279" s="3">
        <v>30000</v>
      </c>
      <c r="N279" s="3">
        <v>30000</v>
      </c>
      <c r="O279" s="3">
        <v>31650</v>
      </c>
      <c r="P279" s="3">
        <v>32918</v>
      </c>
      <c r="Q279" s="3">
        <v>33852.000000000007</v>
      </c>
      <c r="S279" s="7"/>
    </row>
    <row r="280" spans="1:19" x14ac:dyDescent="0.2">
      <c r="A280" s="2" t="s">
        <v>164</v>
      </c>
      <c r="B280" s="2" t="s">
        <v>52</v>
      </c>
      <c r="C280" s="2" t="s">
        <v>53</v>
      </c>
      <c r="D280" s="2" t="s">
        <v>24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107650</v>
      </c>
      <c r="M280" s="3">
        <v>153700</v>
      </c>
      <c r="N280" s="3">
        <v>151200</v>
      </c>
      <c r="O280" s="3">
        <v>85200</v>
      </c>
      <c r="P280" s="3">
        <v>79200</v>
      </c>
      <c r="Q280" s="3">
        <v>13200</v>
      </c>
      <c r="S280" s="7"/>
    </row>
    <row r="281" spans="1:19" x14ac:dyDescent="0.2">
      <c r="A281" s="2" t="s">
        <v>165</v>
      </c>
      <c r="B281" s="2" t="s">
        <v>22</v>
      </c>
      <c r="C281" s="2" t="s">
        <v>26</v>
      </c>
      <c r="D281" s="2" t="s">
        <v>24</v>
      </c>
      <c r="E281" s="3">
        <v>10208.35</v>
      </c>
      <c r="F281" s="3">
        <v>17500</v>
      </c>
      <c r="G281" s="3">
        <v>17500</v>
      </c>
      <c r="H281" s="3">
        <v>17500</v>
      </c>
      <c r="I281" s="3">
        <v>17500</v>
      </c>
      <c r="J281" s="3">
        <v>17500</v>
      </c>
      <c r="K281" s="3">
        <v>17500</v>
      </c>
      <c r="L281" s="3">
        <v>18958.330000000002</v>
      </c>
      <c r="M281" s="3">
        <v>18958.330000000002</v>
      </c>
      <c r="N281" s="3">
        <v>16041.67</v>
      </c>
      <c r="O281" s="3">
        <v>14664.41</v>
      </c>
      <c r="P281" s="3">
        <v>17547.95</v>
      </c>
      <c r="Q281" s="3">
        <v>5801.05</v>
      </c>
      <c r="S281" s="7"/>
    </row>
    <row r="282" spans="1:19" x14ac:dyDescent="0.2">
      <c r="A282" s="2" t="s">
        <v>165</v>
      </c>
      <c r="B282" s="2" t="s">
        <v>22</v>
      </c>
      <c r="C282" s="2" t="s">
        <v>29</v>
      </c>
      <c r="D282" s="2" t="s">
        <v>24</v>
      </c>
      <c r="E282" s="3">
        <v>0</v>
      </c>
      <c r="F282" s="3">
        <v>8755.8499999999985</v>
      </c>
      <c r="G282" s="3">
        <v>16853.300000000003</v>
      </c>
      <c r="H282" s="3">
        <v>21395.85</v>
      </c>
      <c r="I282" s="3">
        <v>23700</v>
      </c>
      <c r="J282" s="3">
        <v>23700</v>
      </c>
      <c r="K282" s="3">
        <v>13561.65</v>
      </c>
      <c r="L282" s="3">
        <v>3233.35</v>
      </c>
      <c r="M282" s="3">
        <v>975</v>
      </c>
      <c r="N282" s="3">
        <v>825</v>
      </c>
      <c r="O282" s="3">
        <v>755.15</v>
      </c>
      <c r="P282" s="3">
        <v>902.47</v>
      </c>
      <c r="Q282" s="3">
        <v>299.73</v>
      </c>
      <c r="S282" s="7"/>
    </row>
    <row r="283" spans="1:19" x14ac:dyDescent="0.2">
      <c r="A283" s="2" t="s">
        <v>166</v>
      </c>
      <c r="B283" s="2" t="s">
        <v>22</v>
      </c>
      <c r="C283" s="2" t="s">
        <v>50</v>
      </c>
      <c r="D283" s="2" t="s">
        <v>167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3749.8999999999996</v>
      </c>
      <c r="M283" s="3">
        <v>8199.91</v>
      </c>
      <c r="N283" s="3">
        <v>10050.02</v>
      </c>
      <c r="O283" s="3">
        <v>10240.98</v>
      </c>
      <c r="P283" s="3">
        <v>8220.0300000000007</v>
      </c>
      <c r="Q283" s="3">
        <v>6339.42</v>
      </c>
      <c r="S283" s="7"/>
    </row>
    <row r="284" spans="1:19" x14ac:dyDescent="0.2">
      <c r="A284" s="2" t="s">
        <v>166</v>
      </c>
      <c r="B284" s="2" t="s">
        <v>22</v>
      </c>
      <c r="C284" s="2" t="s">
        <v>29</v>
      </c>
      <c r="D284" s="2" t="s">
        <v>167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2046.0800000000002</v>
      </c>
      <c r="Q284" s="3">
        <v>4366.7800000000007</v>
      </c>
      <c r="S284" s="7"/>
    </row>
    <row r="285" spans="1:19" x14ac:dyDescent="0.2">
      <c r="A285" s="2" t="s">
        <v>168</v>
      </c>
      <c r="B285" s="2" t="s">
        <v>22</v>
      </c>
      <c r="C285" s="2" t="s">
        <v>29</v>
      </c>
      <c r="D285" s="2" t="s">
        <v>72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3933.0699999999997</v>
      </c>
      <c r="N285" s="3">
        <v>5533.26</v>
      </c>
      <c r="O285" s="3">
        <v>7790.43</v>
      </c>
      <c r="P285" s="3">
        <v>8980.14</v>
      </c>
      <c r="Q285" s="3">
        <v>9199.119999999999</v>
      </c>
      <c r="S285" s="7"/>
    </row>
    <row r="286" spans="1:19" x14ac:dyDescent="0.2">
      <c r="A286" s="2" t="s">
        <v>168</v>
      </c>
      <c r="B286" s="2" t="s">
        <v>22</v>
      </c>
      <c r="C286" s="2" t="s">
        <v>28</v>
      </c>
      <c r="D286" s="2" t="s">
        <v>72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19983.330000000002</v>
      </c>
      <c r="N286" s="3">
        <v>22900</v>
      </c>
      <c r="O286" s="3">
        <v>22519.329999999998</v>
      </c>
      <c r="P286" s="3">
        <v>23127.040000000001</v>
      </c>
      <c r="Q286" s="3">
        <v>22933.8</v>
      </c>
      <c r="S286" s="7"/>
    </row>
    <row r="287" spans="1:19" x14ac:dyDescent="0.2">
      <c r="A287" s="2" t="s">
        <v>168</v>
      </c>
      <c r="B287" s="2" t="s">
        <v>22</v>
      </c>
      <c r="C287" s="2" t="s">
        <v>63</v>
      </c>
      <c r="D287" s="2" t="s">
        <v>72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41916.399999999994</v>
      </c>
      <c r="N287" s="3">
        <v>52708.270000000011</v>
      </c>
      <c r="O287" s="3">
        <v>45935.470000000008</v>
      </c>
      <c r="P287" s="3">
        <v>47474.18</v>
      </c>
      <c r="Q287" s="3">
        <v>48235.380000000005</v>
      </c>
      <c r="S287" s="7"/>
    </row>
    <row r="288" spans="1:19" x14ac:dyDescent="0.2">
      <c r="A288" s="2" t="s">
        <v>169</v>
      </c>
      <c r="B288" s="2" t="s">
        <v>33</v>
      </c>
      <c r="C288" s="2" t="s">
        <v>34</v>
      </c>
      <c r="D288" s="2" t="s">
        <v>170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57250</v>
      </c>
      <c r="N288" s="3">
        <v>129000</v>
      </c>
      <c r="O288" s="3">
        <v>131900</v>
      </c>
      <c r="P288" s="3">
        <v>146740</v>
      </c>
      <c r="Q288" s="3">
        <v>152449.20000000001</v>
      </c>
      <c r="S288" s="7"/>
    </row>
    <row r="289" spans="1:19" x14ac:dyDescent="0.2">
      <c r="A289" s="2" t="s">
        <v>171</v>
      </c>
      <c r="B289" s="2" t="s">
        <v>22</v>
      </c>
      <c r="C289" s="2" t="s">
        <v>50</v>
      </c>
      <c r="D289" s="2" t="s">
        <v>45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6405</v>
      </c>
      <c r="N289" s="3">
        <v>12810</v>
      </c>
      <c r="O289" s="3">
        <v>12827.451999999999</v>
      </c>
      <c r="P289" s="3">
        <v>12222.49</v>
      </c>
      <c r="Q289" s="3">
        <v>12090.189999999999</v>
      </c>
      <c r="S289" s="7"/>
    </row>
    <row r="290" spans="1:19" x14ac:dyDescent="0.2">
      <c r="A290" s="2" t="s">
        <v>171</v>
      </c>
      <c r="B290" s="2" t="s">
        <v>22</v>
      </c>
      <c r="C290" s="2" t="s">
        <v>29</v>
      </c>
      <c r="D290" s="2" t="s">
        <v>45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796.55</v>
      </c>
      <c r="Q290" s="3">
        <v>1642.0500000000002</v>
      </c>
      <c r="S290" s="7"/>
    </row>
    <row r="291" spans="1:19" x14ac:dyDescent="0.2">
      <c r="A291" s="2" t="s">
        <v>172</v>
      </c>
      <c r="B291" s="2" t="s">
        <v>33</v>
      </c>
      <c r="C291" s="2" t="s">
        <v>34</v>
      </c>
      <c r="D291" s="2" t="s">
        <v>45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5298.02</v>
      </c>
      <c r="N291" s="3">
        <v>17655.14</v>
      </c>
      <c r="O291" s="3">
        <v>10756.941965811964</v>
      </c>
      <c r="P291" s="3">
        <v>20662.289999999997</v>
      </c>
      <c r="Q291" s="3">
        <v>13736.297607196406</v>
      </c>
      <c r="S291" s="7"/>
    </row>
    <row r="292" spans="1:19" x14ac:dyDescent="0.2">
      <c r="A292" s="2" t="s">
        <v>173</v>
      </c>
      <c r="B292" s="2" t="s">
        <v>22</v>
      </c>
      <c r="C292" s="2" t="s">
        <v>50</v>
      </c>
      <c r="D292" s="2" t="s">
        <v>174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3122.42</v>
      </c>
      <c r="N292" s="3">
        <v>12462.72</v>
      </c>
      <c r="O292" s="3">
        <v>12300.388205128203</v>
      </c>
      <c r="P292" s="3">
        <v>10995.240000000002</v>
      </c>
      <c r="Q292" s="3">
        <v>8667.8360869565222</v>
      </c>
      <c r="S292" s="7"/>
    </row>
    <row r="293" spans="1:19" x14ac:dyDescent="0.2">
      <c r="A293" s="2" t="s">
        <v>173</v>
      </c>
      <c r="B293" s="2" t="s">
        <v>22</v>
      </c>
      <c r="C293" s="2" t="s">
        <v>29</v>
      </c>
      <c r="D293" s="2" t="s">
        <v>174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1085.5999999999999</v>
      </c>
      <c r="Q293" s="3">
        <v>4398.0960000000005</v>
      </c>
      <c r="S293" s="7"/>
    </row>
    <row r="294" spans="1:19" x14ac:dyDescent="0.2">
      <c r="A294" s="2" t="s">
        <v>175</v>
      </c>
      <c r="B294" s="2" t="s">
        <v>22</v>
      </c>
      <c r="C294" s="2" t="s">
        <v>26</v>
      </c>
      <c r="D294" s="2" t="s">
        <v>27</v>
      </c>
      <c r="E294" s="3">
        <v>14499.999999999998</v>
      </c>
      <c r="F294" s="3">
        <v>14499.999999999998</v>
      </c>
      <c r="G294" s="3">
        <v>14499.999999999998</v>
      </c>
      <c r="H294" s="3">
        <v>14499.999999999998</v>
      </c>
      <c r="I294" s="3">
        <v>14499.999999999998</v>
      </c>
      <c r="J294" s="3">
        <v>14499.999999999998</v>
      </c>
      <c r="K294" s="3">
        <v>14499.999999999998</v>
      </c>
      <c r="L294" s="3">
        <v>14499.999999999998</v>
      </c>
      <c r="M294" s="3">
        <v>15783.329999999998</v>
      </c>
      <c r="N294" s="3">
        <v>29899.999999999996</v>
      </c>
      <c r="O294" s="3">
        <v>29881.709999999995</v>
      </c>
      <c r="P294" s="3">
        <v>17233.429999999997</v>
      </c>
      <c r="Q294" s="3">
        <v>16105.94</v>
      </c>
      <c r="S294" s="7"/>
    </row>
    <row r="295" spans="1:19" x14ac:dyDescent="0.2">
      <c r="A295" s="2" t="s">
        <v>175</v>
      </c>
      <c r="B295" s="2" t="s">
        <v>22</v>
      </c>
      <c r="C295" s="2" t="s">
        <v>29</v>
      </c>
      <c r="D295" s="2" t="s">
        <v>27</v>
      </c>
      <c r="E295" s="3">
        <v>19426.010000000002</v>
      </c>
      <c r="F295" s="3">
        <v>21944.5</v>
      </c>
      <c r="G295" s="3">
        <v>29013.360000000001</v>
      </c>
      <c r="H295" s="3">
        <v>31600</v>
      </c>
      <c r="I295" s="3">
        <v>31800</v>
      </c>
      <c r="J295" s="3">
        <v>31800</v>
      </c>
      <c r="K295" s="3">
        <v>31250</v>
      </c>
      <c r="L295" s="3">
        <v>33400</v>
      </c>
      <c r="M295" s="3">
        <v>35410</v>
      </c>
      <c r="N295" s="3">
        <v>43140</v>
      </c>
      <c r="O295" s="3">
        <v>47181.85</v>
      </c>
      <c r="P295" s="3">
        <v>10466.84</v>
      </c>
      <c r="Q295" s="3">
        <v>7010.41</v>
      </c>
      <c r="S295" s="7"/>
    </row>
    <row r="296" spans="1:19" x14ac:dyDescent="0.2">
      <c r="A296" s="2" t="s">
        <v>176</v>
      </c>
      <c r="B296" s="2" t="s">
        <v>33</v>
      </c>
      <c r="C296" s="2" t="s">
        <v>34</v>
      </c>
      <c r="D296" s="2" t="s">
        <v>24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2000</v>
      </c>
      <c r="N296" s="3">
        <v>74250</v>
      </c>
      <c r="O296" s="3">
        <v>89250</v>
      </c>
      <c r="P296" s="3">
        <v>91330</v>
      </c>
      <c r="Q296" s="3">
        <v>92280</v>
      </c>
      <c r="S296" s="7"/>
    </row>
    <row r="297" spans="1:19" x14ac:dyDescent="0.2">
      <c r="A297" s="2" t="s">
        <v>177</v>
      </c>
      <c r="B297" s="2" t="s">
        <v>33</v>
      </c>
      <c r="C297" s="2" t="s">
        <v>34</v>
      </c>
      <c r="D297" s="2" t="s">
        <v>24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2000</v>
      </c>
      <c r="N297" s="3">
        <v>58693.2</v>
      </c>
      <c r="O297" s="3">
        <v>63410</v>
      </c>
      <c r="P297" s="3">
        <v>51435</v>
      </c>
      <c r="Q297" s="3">
        <v>0</v>
      </c>
      <c r="S297" s="7"/>
    </row>
    <row r="298" spans="1:19" x14ac:dyDescent="0.2">
      <c r="A298" s="2" t="s">
        <v>177</v>
      </c>
      <c r="B298" s="2" t="s">
        <v>22</v>
      </c>
      <c r="C298" s="2" t="s">
        <v>28</v>
      </c>
      <c r="D298" s="2" t="s">
        <v>24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9360</v>
      </c>
      <c r="S298" s="7"/>
    </row>
    <row r="299" spans="1:19" x14ac:dyDescent="0.2">
      <c r="A299" s="2" t="s">
        <v>178</v>
      </c>
      <c r="B299" s="2" t="s">
        <v>33</v>
      </c>
      <c r="C299" s="2" t="s">
        <v>34</v>
      </c>
      <c r="D299" s="2" t="s">
        <v>31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8943</v>
      </c>
      <c r="O299" s="3">
        <v>9495</v>
      </c>
      <c r="P299" s="3">
        <v>0</v>
      </c>
      <c r="Q299" s="3">
        <v>0</v>
      </c>
      <c r="S299" s="7"/>
    </row>
    <row r="300" spans="1:19" x14ac:dyDescent="0.2">
      <c r="A300" s="2" t="s">
        <v>179</v>
      </c>
      <c r="B300" s="2" t="s">
        <v>33</v>
      </c>
      <c r="C300" s="2" t="s">
        <v>34</v>
      </c>
      <c r="D300" s="2" t="s">
        <v>45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7768.54</v>
      </c>
      <c r="O300" s="3">
        <v>10716.723999999998</v>
      </c>
      <c r="P300" s="3">
        <v>11370.22</v>
      </c>
      <c r="Q300" s="3">
        <v>1931.06</v>
      </c>
      <c r="S300" s="7"/>
    </row>
    <row r="301" spans="1:19" x14ac:dyDescent="0.2">
      <c r="A301" s="2" t="s">
        <v>179</v>
      </c>
      <c r="B301" s="2" t="s">
        <v>52</v>
      </c>
      <c r="C301" s="2" t="s">
        <v>53</v>
      </c>
      <c r="D301" s="2" t="s">
        <v>45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7768.54</v>
      </c>
      <c r="O301" s="3">
        <v>10716.723999999998</v>
      </c>
      <c r="P301" s="3">
        <v>11370.22</v>
      </c>
      <c r="Q301" s="3">
        <v>1931.06</v>
      </c>
      <c r="S301" s="7"/>
    </row>
    <row r="302" spans="1:19" x14ac:dyDescent="0.2">
      <c r="A302" s="2" t="s">
        <v>180</v>
      </c>
      <c r="B302" s="2" t="s">
        <v>33</v>
      </c>
      <c r="C302" s="2" t="s">
        <v>34</v>
      </c>
      <c r="D302" s="2" t="s">
        <v>143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36255.47</v>
      </c>
      <c r="O302" s="3">
        <v>69096.43447863248</v>
      </c>
      <c r="P302" s="3">
        <v>66595.55</v>
      </c>
      <c r="Q302" s="3">
        <v>74528.169250374805</v>
      </c>
      <c r="S302" s="7"/>
    </row>
    <row r="303" spans="1:19" x14ac:dyDescent="0.2">
      <c r="A303" s="2" t="s">
        <v>181</v>
      </c>
      <c r="B303" s="2" t="s">
        <v>22</v>
      </c>
      <c r="C303" s="2" t="s">
        <v>36</v>
      </c>
      <c r="D303" s="2" t="s">
        <v>27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8625.01</v>
      </c>
      <c r="O303" s="3">
        <v>11601.573119999999</v>
      </c>
      <c r="P303" s="3">
        <v>11499.999999999998</v>
      </c>
      <c r="Q303" s="3">
        <v>11941.73</v>
      </c>
      <c r="S303" s="7"/>
    </row>
    <row r="304" spans="1:19" x14ac:dyDescent="0.2">
      <c r="A304" s="2" t="s">
        <v>181</v>
      </c>
      <c r="B304" s="2" t="s">
        <v>22</v>
      </c>
      <c r="C304" s="2" t="s">
        <v>29</v>
      </c>
      <c r="D304" s="2" t="s">
        <v>27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720</v>
      </c>
      <c r="O304" s="3">
        <v>968.36999999999989</v>
      </c>
      <c r="P304" s="3">
        <v>959.99999999999977</v>
      </c>
      <c r="Q304" s="3">
        <v>1001.4099999999999</v>
      </c>
      <c r="S304" s="7"/>
    </row>
    <row r="305" spans="1:19" x14ac:dyDescent="0.2">
      <c r="A305" s="2" t="s">
        <v>181</v>
      </c>
      <c r="B305" s="2" t="s">
        <v>22</v>
      </c>
      <c r="C305" s="2" t="s">
        <v>29</v>
      </c>
      <c r="D305" s="2" t="s">
        <v>27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2132.5100000000002</v>
      </c>
      <c r="Q305" s="3">
        <v>4202.3899999999994</v>
      </c>
      <c r="S305" s="7"/>
    </row>
    <row r="306" spans="1:19" x14ac:dyDescent="0.2">
      <c r="A306" s="2" t="s">
        <v>181</v>
      </c>
      <c r="B306" s="2" t="s">
        <v>52</v>
      </c>
      <c r="C306" s="2" t="s">
        <v>53</v>
      </c>
      <c r="D306" s="2" t="s">
        <v>27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2000</v>
      </c>
      <c r="S306" s="7"/>
    </row>
    <row r="307" spans="1:19" x14ac:dyDescent="0.2">
      <c r="A307" s="2" t="s">
        <v>182</v>
      </c>
      <c r="B307" s="2" t="s">
        <v>33</v>
      </c>
      <c r="C307" s="2" t="s">
        <v>34</v>
      </c>
      <c r="D307" s="2" t="s">
        <v>27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23024.190000000002</v>
      </c>
      <c r="O307" s="3">
        <v>34188</v>
      </c>
      <c r="P307" s="3">
        <v>35232</v>
      </c>
      <c r="Q307" s="3">
        <v>35453.279999999999</v>
      </c>
      <c r="S307" s="7"/>
    </row>
    <row r="308" spans="1:19" x14ac:dyDescent="0.2">
      <c r="A308" s="2" t="s">
        <v>183</v>
      </c>
      <c r="B308" s="2" t="s">
        <v>33</v>
      </c>
      <c r="C308" s="2" t="s">
        <v>34</v>
      </c>
      <c r="D308" s="2" t="s">
        <v>31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25850</v>
      </c>
      <c r="O308" s="3">
        <v>84162.4</v>
      </c>
      <c r="P308" s="3">
        <v>87210</v>
      </c>
      <c r="Q308" s="3">
        <v>90960.599999999991</v>
      </c>
      <c r="S308" s="7"/>
    </row>
    <row r="309" spans="1:19" x14ac:dyDescent="0.2">
      <c r="A309" s="2" t="s">
        <v>184</v>
      </c>
      <c r="B309" s="2" t="s">
        <v>22</v>
      </c>
      <c r="C309" s="2" t="s">
        <v>28</v>
      </c>
      <c r="D309" s="2" t="s">
        <v>24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4292.93</v>
      </c>
      <c r="O309" s="3">
        <v>5926.32</v>
      </c>
      <c r="P309" s="3">
        <v>6117.4800000000005</v>
      </c>
      <c r="Q309" s="3">
        <v>6323.4600000000009</v>
      </c>
      <c r="S309" s="7"/>
    </row>
    <row r="310" spans="1:19" x14ac:dyDescent="0.2">
      <c r="A310" s="2" t="s">
        <v>185</v>
      </c>
      <c r="B310" s="2" t="s">
        <v>22</v>
      </c>
      <c r="C310" s="2" t="s">
        <v>28</v>
      </c>
      <c r="D310" s="2" t="s">
        <v>24</v>
      </c>
      <c r="E310" s="3">
        <v>45108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4292.93</v>
      </c>
      <c r="O310" s="3">
        <v>5926.32</v>
      </c>
      <c r="P310" s="3">
        <v>6117.4800000000005</v>
      </c>
      <c r="Q310" s="3">
        <v>6323.4600000000009</v>
      </c>
      <c r="S310" s="7"/>
    </row>
    <row r="311" spans="1:19" x14ac:dyDescent="0.2">
      <c r="A311" s="2" t="s">
        <v>186</v>
      </c>
      <c r="B311" s="2" t="s">
        <v>33</v>
      </c>
      <c r="C311" s="2" t="s">
        <v>53</v>
      </c>
      <c r="D311" s="2" t="s">
        <v>69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-1124.29</v>
      </c>
      <c r="P311" s="3">
        <v>0</v>
      </c>
      <c r="Q311" s="3">
        <v>0</v>
      </c>
      <c r="S311" s="7"/>
    </row>
    <row r="312" spans="1:19" x14ac:dyDescent="0.2">
      <c r="A312" s="2" t="s">
        <v>186</v>
      </c>
      <c r="B312" s="2" t="s">
        <v>33</v>
      </c>
      <c r="C312" s="2" t="s">
        <v>34</v>
      </c>
      <c r="D312" s="2" t="s">
        <v>69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35610.615811965814</v>
      </c>
      <c r="P312" s="3">
        <v>63334.5</v>
      </c>
      <c r="Q312" s="3">
        <v>71906.326791604195</v>
      </c>
      <c r="S312" s="7"/>
    </row>
    <row r="313" spans="1:19" x14ac:dyDescent="0.2">
      <c r="A313" s="2" t="s">
        <v>186</v>
      </c>
      <c r="B313" s="2" t="s">
        <v>22</v>
      </c>
      <c r="C313" s="2" t="s">
        <v>63</v>
      </c>
      <c r="D313" s="2" t="s">
        <v>69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10614.86</v>
      </c>
      <c r="O313" s="3">
        <v>19051.120769230769</v>
      </c>
      <c r="P313" s="3">
        <v>19501.269999999997</v>
      </c>
      <c r="Q313" s="3">
        <v>21066.773688155925</v>
      </c>
      <c r="S313" s="7"/>
    </row>
    <row r="314" spans="1:19" x14ac:dyDescent="0.2">
      <c r="A314" s="2" t="s">
        <v>186</v>
      </c>
      <c r="B314" s="2" t="s">
        <v>22</v>
      </c>
      <c r="C314" s="2" t="s">
        <v>50</v>
      </c>
      <c r="D314" s="2" t="s">
        <v>69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7031.1299999999992</v>
      </c>
      <c r="O314" s="3">
        <v>13470.784615384615</v>
      </c>
      <c r="P314" s="3">
        <v>11589.460000000001</v>
      </c>
      <c r="Q314" s="3">
        <v>8617.4180209895057</v>
      </c>
      <c r="S314" s="7"/>
    </row>
    <row r="315" spans="1:19" x14ac:dyDescent="0.2">
      <c r="A315" s="2" t="s">
        <v>186</v>
      </c>
      <c r="B315" s="2" t="s">
        <v>22</v>
      </c>
      <c r="C315" s="2" t="s">
        <v>28</v>
      </c>
      <c r="D315" s="2" t="s">
        <v>69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4040.0699999999997</v>
      </c>
      <c r="O315" s="3">
        <v>12142.193418803417</v>
      </c>
      <c r="P315" s="3">
        <v>12430.310000000003</v>
      </c>
      <c r="Q315" s="3">
        <v>13429.524317841082</v>
      </c>
      <c r="S315" s="7"/>
    </row>
    <row r="316" spans="1:19" x14ac:dyDescent="0.2">
      <c r="A316" s="2" t="s">
        <v>186</v>
      </c>
      <c r="B316" s="2" t="s">
        <v>22</v>
      </c>
      <c r="C316" s="2" t="s">
        <v>29</v>
      </c>
      <c r="D316" s="2" t="s">
        <v>69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3205.2799999999997</v>
      </c>
      <c r="Q316" s="3">
        <v>6452.4876461769136</v>
      </c>
      <c r="S316" s="7"/>
    </row>
    <row r="317" spans="1:19" x14ac:dyDescent="0.2">
      <c r="A317" s="2" t="s">
        <v>187</v>
      </c>
      <c r="B317" s="2" t="s">
        <v>33</v>
      </c>
      <c r="C317" s="2" t="s">
        <v>34</v>
      </c>
      <c r="D317" s="2" t="s">
        <v>24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2124.29</v>
      </c>
      <c r="O317" s="3">
        <v>0</v>
      </c>
      <c r="P317" s="3">
        <v>7950</v>
      </c>
      <c r="Q317" s="3">
        <v>69084</v>
      </c>
      <c r="S317" s="7"/>
    </row>
    <row r="318" spans="1:19" x14ac:dyDescent="0.2">
      <c r="A318" s="2" t="s">
        <v>187</v>
      </c>
      <c r="B318" s="2" t="s">
        <v>22</v>
      </c>
      <c r="C318" s="2" t="s">
        <v>28</v>
      </c>
      <c r="D318" s="2" t="s">
        <v>24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3000</v>
      </c>
      <c r="O318" s="3">
        <v>9024</v>
      </c>
      <c r="P318" s="3">
        <v>9000</v>
      </c>
      <c r="Q318" s="3">
        <v>7590</v>
      </c>
      <c r="S318" s="7"/>
    </row>
    <row r="319" spans="1:19" x14ac:dyDescent="0.2">
      <c r="A319" s="2" t="s">
        <v>188</v>
      </c>
      <c r="B319" s="2" t="s">
        <v>22</v>
      </c>
      <c r="C319" s="2" t="s">
        <v>29</v>
      </c>
      <c r="D319" s="2" t="s">
        <v>97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1390.18</v>
      </c>
      <c r="O319" s="3">
        <v>5559.9157264957266</v>
      </c>
      <c r="P319" s="3">
        <v>7576.48</v>
      </c>
      <c r="Q319" s="3">
        <v>6337.0830654128958</v>
      </c>
      <c r="S319" s="7"/>
    </row>
    <row r="320" spans="1:19" x14ac:dyDescent="0.2">
      <c r="A320" s="2" t="s">
        <v>189</v>
      </c>
      <c r="B320" s="2" t="s">
        <v>22</v>
      </c>
      <c r="C320" s="2" t="s">
        <v>50</v>
      </c>
      <c r="D320" s="2" t="s">
        <v>27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1728.34</v>
      </c>
      <c r="O320" s="3">
        <v>14803</v>
      </c>
      <c r="P320" s="3">
        <v>13839.729999999998</v>
      </c>
      <c r="Q320" s="3">
        <v>0</v>
      </c>
      <c r="S320" s="7"/>
    </row>
    <row r="321" spans="1:19" x14ac:dyDescent="0.2">
      <c r="A321" s="2" t="s">
        <v>190</v>
      </c>
      <c r="B321" s="2" t="s">
        <v>22</v>
      </c>
      <c r="C321" s="2" t="s">
        <v>50</v>
      </c>
      <c r="D321" s="2" t="s">
        <v>45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3362.2237606837612</v>
      </c>
      <c r="P321" s="3">
        <v>0</v>
      </c>
      <c r="Q321" s="3">
        <v>0</v>
      </c>
      <c r="S321" s="7"/>
    </row>
    <row r="322" spans="1:19" x14ac:dyDescent="0.2">
      <c r="A322" s="2" t="s">
        <v>190</v>
      </c>
      <c r="B322" s="2" t="s">
        <v>33</v>
      </c>
      <c r="C322" s="2" t="s">
        <v>34</v>
      </c>
      <c r="D322" s="2" t="s">
        <v>45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12402</v>
      </c>
      <c r="P322" s="3">
        <v>159107.34</v>
      </c>
      <c r="Q322" s="3">
        <v>198905.8415892054</v>
      </c>
      <c r="S322" s="7"/>
    </row>
    <row r="323" spans="1:19" x14ac:dyDescent="0.2">
      <c r="A323" s="2" t="s">
        <v>191</v>
      </c>
      <c r="B323" s="2" t="s">
        <v>22</v>
      </c>
      <c r="C323" s="2" t="s">
        <v>50</v>
      </c>
      <c r="D323" s="2" t="s">
        <v>45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981.64</v>
      </c>
      <c r="O323" s="3">
        <v>16392.88</v>
      </c>
      <c r="P323" s="3">
        <v>28247.870000000003</v>
      </c>
      <c r="Q323" s="3">
        <v>28207.166799999995</v>
      </c>
      <c r="S323" s="7"/>
    </row>
    <row r="324" spans="1:19" x14ac:dyDescent="0.2">
      <c r="A324" s="2" t="s">
        <v>191</v>
      </c>
      <c r="B324" s="2" t="s">
        <v>22</v>
      </c>
      <c r="C324" s="2" t="s">
        <v>28</v>
      </c>
      <c r="D324" s="2" t="s">
        <v>45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1818.69</v>
      </c>
      <c r="P324" s="3">
        <v>7320.8700000000008</v>
      </c>
      <c r="Q324" s="3">
        <v>7210.68</v>
      </c>
      <c r="S324" s="7"/>
    </row>
    <row r="325" spans="1:19" x14ac:dyDescent="0.2">
      <c r="A325" s="2" t="s">
        <v>191</v>
      </c>
      <c r="B325" s="2" t="s">
        <v>22</v>
      </c>
      <c r="C325" s="2" t="s">
        <v>29</v>
      </c>
      <c r="D325" s="2" t="s">
        <v>45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4285.51</v>
      </c>
      <c r="Q325" s="3">
        <v>7214.6</v>
      </c>
      <c r="S325" s="7"/>
    </row>
    <row r="326" spans="1:19" x14ac:dyDescent="0.2">
      <c r="A326" s="2" t="s">
        <v>192</v>
      </c>
      <c r="B326" s="2" t="s">
        <v>22</v>
      </c>
      <c r="C326" s="2" t="s">
        <v>63</v>
      </c>
      <c r="D326" s="2" t="s">
        <v>57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40685.743333333332</v>
      </c>
      <c r="P326" s="3">
        <v>45858.270000000004</v>
      </c>
      <c r="Q326" s="3">
        <v>46644.66</v>
      </c>
      <c r="S326" s="7"/>
    </row>
    <row r="327" spans="1:19" x14ac:dyDescent="0.2">
      <c r="A327" s="2" t="s">
        <v>192</v>
      </c>
      <c r="B327" s="2" t="s">
        <v>22</v>
      </c>
      <c r="C327" s="2" t="s">
        <v>29</v>
      </c>
      <c r="D327" s="2" t="s">
        <v>57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11714.943333333333</v>
      </c>
      <c r="P327" s="3">
        <v>14260.090000000002</v>
      </c>
      <c r="Q327" s="3">
        <v>14925.74</v>
      </c>
      <c r="S327" s="7"/>
    </row>
    <row r="328" spans="1:19" x14ac:dyDescent="0.2">
      <c r="A328" s="2" t="s">
        <v>192</v>
      </c>
      <c r="B328" s="2" t="s">
        <v>22</v>
      </c>
      <c r="C328" s="2" t="s">
        <v>28</v>
      </c>
      <c r="D328" s="2" t="s">
        <v>57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23448.193333333336</v>
      </c>
      <c r="P328" s="3">
        <v>29155.499999999996</v>
      </c>
      <c r="Q328" s="3">
        <v>29954.46</v>
      </c>
      <c r="S328" s="7"/>
    </row>
    <row r="329" spans="1:19" x14ac:dyDescent="0.2">
      <c r="A329" s="2" t="s">
        <v>193</v>
      </c>
      <c r="B329" s="2" t="s">
        <v>33</v>
      </c>
      <c r="C329" s="2" t="s">
        <v>34</v>
      </c>
      <c r="D329" s="2" t="s">
        <v>24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9979.2900000000009</v>
      </c>
      <c r="P329" s="3">
        <v>26400</v>
      </c>
      <c r="Q329" s="3">
        <v>26918.75</v>
      </c>
      <c r="S329" s="7"/>
    </row>
    <row r="330" spans="1:19" x14ac:dyDescent="0.2">
      <c r="A330" s="2" t="s">
        <v>194</v>
      </c>
      <c r="B330" s="2" t="s">
        <v>22</v>
      </c>
      <c r="C330" s="2" t="s">
        <v>63</v>
      </c>
      <c r="D330" s="2" t="s">
        <v>45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36549.226752136747</v>
      </c>
      <c r="P330" s="3">
        <v>38575.07</v>
      </c>
      <c r="Q330" s="3">
        <v>41384.671160419799</v>
      </c>
      <c r="S330" s="7"/>
    </row>
    <row r="331" spans="1:19" x14ac:dyDescent="0.2">
      <c r="A331" s="2" t="s">
        <v>194</v>
      </c>
      <c r="B331" s="2" t="s">
        <v>22</v>
      </c>
      <c r="C331" s="2" t="s">
        <v>29</v>
      </c>
      <c r="D331" s="2" t="s">
        <v>45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4085.9912820512823</v>
      </c>
      <c r="P331" s="3">
        <v>5197.7299999999996</v>
      </c>
      <c r="Q331" s="3">
        <v>5573.4398770614689</v>
      </c>
      <c r="S331" s="7"/>
    </row>
    <row r="332" spans="1:19" x14ac:dyDescent="0.2">
      <c r="A332" s="2" t="s">
        <v>194</v>
      </c>
      <c r="B332" s="2" t="s">
        <v>22</v>
      </c>
      <c r="C332" s="2" t="s">
        <v>28</v>
      </c>
      <c r="D332" s="2" t="s">
        <v>45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3525.3747008547016</v>
      </c>
      <c r="P332" s="3">
        <v>4014.8199999999997</v>
      </c>
      <c r="Q332" s="3">
        <v>4498.8120179910065</v>
      </c>
      <c r="S332" s="7"/>
    </row>
    <row r="333" spans="1:19" x14ac:dyDescent="0.2">
      <c r="A333" s="2" t="s">
        <v>195</v>
      </c>
      <c r="B333" s="2" t="s">
        <v>33</v>
      </c>
      <c r="C333" s="2" t="s">
        <v>34</v>
      </c>
      <c r="D333" s="2" t="s">
        <v>170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17900</v>
      </c>
      <c r="P333" s="3">
        <v>77400</v>
      </c>
      <c r="Q333" s="3">
        <v>79206</v>
      </c>
      <c r="S333" s="7"/>
    </row>
    <row r="334" spans="1:19" x14ac:dyDescent="0.2">
      <c r="A334" s="2" t="s">
        <v>196</v>
      </c>
      <c r="B334" s="2" t="s">
        <v>22</v>
      </c>
      <c r="C334" s="2" t="s">
        <v>29</v>
      </c>
      <c r="D334" s="2" t="s">
        <v>91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2815.63</v>
      </c>
      <c r="P334" s="3">
        <v>8384.6299999999992</v>
      </c>
      <c r="Q334" s="3">
        <v>9332.11</v>
      </c>
      <c r="S334" s="7"/>
    </row>
    <row r="335" spans="1:19" x14ac:dyDescent="0.2">
      <c r="A335" s="2" t="s">
        <v>197</v>
      </c>
      <c r="B335" s="2" t="s">
        <v>22</v>
      </c>
      <c r="C335" s="2" t="s">
        <v>29</v>
      </c>
      <c r="D335" s="2" t="s">
        <v>45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2335.79</v>
      </c>
      <c r="P335" s="3">
        <v>7220.94</v>
      </c>
      <c r="Q335" s="3">
        <v>7727.46</v>
      </c>
      <c r="S335" s="7"/>
    </row>
    <row r="336" spans="1:19" x14ac:dyDescent="0.2">
      <c r="A336" s="2" t="s">
        <v>198</v>
      </c>
      <c r="B336" s="2" t="s">
        <v>22</v>
      </c>
      <c r="C336" s="2" t="s">
        <v>28</v>
      </c>
      <c r="D336" s="2" t="s">
        <v>24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1050</v>
      </c>
      <c r="Q336" s="3">
        <v>0</v>
      </c>
      <c r="S336" s="7"/>
    </row>
    <row r="337" spans="1:19" x14ac:dyDescent="0.2">
      <c r="A337" s="2" t="s">
        <v>198</v>
      </c>
      <c r="B337" s="2" t="s">
        <v>33</v>
      </c>
      <c r="C337" s="2" t="s">
        <v>34</v>
      </c>
      <c r="D337" s="2" t="s">
        <v>24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46962.5</v>
      </c>
      <c r="Q337" s="3">
        <v>87964.800000000017</v>
      </c>
      <c r="S337" s="7"/>
    </row>
    <row r="338" spans="1:19" x14ac:dyDescent="0.2">
      <c r="A338" s="2" t="s">
        <v>199</v>
      </c>
      <c r="B338" s="2" t="s">
        <v>22</v>
      </c>
      <c r="C338" s="2" t="s">
        <v>29</v>
      </c>
      <c r="D338" s="2" t="s">
        <v>27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4500</v>
      </c>
      <c r="Q338" s="3">
        <v>0</v>
      </c>
      <c r="S338" s="7"/>
    </row>
    <row r="339" spans="1:19" x14ac:dyDescent="0.2">
      <c r="A339" s="2" t="s">
        <v>199</v>
      </c>
      <c r="B339" s="2" t="s">
        <v>22</v>
      </c>
      <c r="C339" s="2" t="s">
        <v>29</v>
      </c>
      <c r="D339" s="2" t="s">
        <v>27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1889.8</v>
      </c>
      <c r="P339" s="3">
        <v>14009.339999999997</v>
      </c>
      <c r="Q339" s="3">
        <v>21128.207691154428</v>
      </c>
      <c r="S339" s="7"/>
    </row>
    <row r="340" spans="1:19" x14ac:dyDescent="0.2">
      <c r="A340" s="2" t="s">
        <v>200</v>
      </c>
      <c r="B340" s="2" t="s">
        <v>22</v>
      </c>
      <c r="C340" s="2" t="s">
        <v>50</v>
      </c>
      <c r="D340" s="2" t="s">
        <v>91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2654.5</v>
      </c>
      <c r="P340" s="3">
        <v>16041.9</v>
      </c>
      <c r="Q340" s="3">
        <v>16617.36</v>
      </c>
      <c r="S340" s="7"/>
    </row>
    <row r="341" spans="1:19" x14ac:dyDescent="0.2">
      <c r="A341" s="2" t="s">
        <v>200</v>
      </c>
      <c r="B341" s="2" t="s">
        <v>22</v>
      </c>
      <c r="C341" s="2" t="s">
        <v>29</v>
      </c>
      <c r="D341" s="2" t="s">
        <v>91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1301.74</v>
      </c>
      <c r="Q341" s="3">
        <v>3976.9223999999995</v>
      </c>
      <c r="S341" s="7"/>
    </row>
    <row r="342" spans="1:19" x14ac:dyDescent="0.2">
      <c r="A342" s="2" t="s">
        <v>201</v>
      </c>
      <c r="B342" s="2" t="s">
        <v>22</v>
      </c>
      <c r="C342" s="2" t="s">
        <v>29</v>
      </c>
      <c r="D342" s="2" t="s">
        <v>57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1712.61</v>
      </c>
      <c r="Q342" s="3">
        <v>4138.0356000000011</v>
      </c>
      <c r="S342" s="7"/>
    </row>
    <row r="343" spans="1:19" x14ac:dyDescent="0.2">
      <c r="A343" s="2" t="s">
        <v>202</v>
      </c>
      <c r="B343" s="2" t="s">
        <v>33</v>
      </c>
      <c r="C343" s="2" t="s">
        <v>48</v>
      </c>
      <c r="D343" s="2" t="s">
        <v>45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7500</v>
      </c>
      <c r="P343" s="3">
        <v>45680</v>
      </c>
      <c r="Q343" s="3">
        <v>45340</v>
      </c>
      <c r="S343" s="7"/>
    </row>
    <row r="344" spans="1:19" x14ac:dyDescent="0.2">
      <c r="A344" s="2" t="s">
        <v>203</v>
      </c>
      <c r="B344" s="2" t="s">
        <v>33</v>
      </c>
      <c r="C344" s="2" t="s">
        <v>34</v>
      </c>
      <c r="D344" s="2" t="s">
        <v>24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1900</v>
      </c>
      <c r="P344" s="3">
        <v>10875</v>
      </c>
      <c r="Q344" s="3">
        <v>10500</v>
      </c>
      <c r="S344" s="7"/>
    </row>
    <row r="345" spans="1:19" x14ac:dyDescent="0.2">
      <c r="A345" s="2" t="s">
        <v>204</v>
      </c>
      <c r="B345" s="2" t="s">
        <v>22</v>
      </c>
      <c r="C345" s="2" t="s">
        <v>26</v>
      </c>
      <c r="D345" s="2" t="s">
        <v>174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5344.22</v>
      </c>
      <c r="L345" s="3">
        <v>9012.33</v>
      </c>
      <c r="M345" s="3">
        <v>8814.1400000000012</v>
      </c>
      <c r="N345" s="3">
        <v>5286.17</v>
      </c>
      <c r="O345" s="3">
        <v>9083.1064957264934</v>
      </c>
      <c r="P345" s="3">
        <v>8963.0199999999986</v>
      </c>
      <c r="Q345" s="3">
        <v>9030.3187706146928</v>
      </c>
      <c r="S345" s="7"/>
    </row>
    <row r="346" spans="1:19" x14ac:dyDescent="0.2">
      <c r="A346" s="2" t="s">
        <v>205</v>
      </c>
      <c r="B346" s="2" t="s">
        <v>33</v>
      </c>
      <c r="C346" s="2" t="s">
        <v>34</v>
      </c>
      <c r="D346" s="2" t="s">
        <v>24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435.48</v>
      </c>
      <c r="P346" s="3">
        <v>16900</v>
      </c>
      <c r="Q346" s="3">
        <v>17400</v>
      </c>
      <c r="S346" s="7"/>
    </row>
    <row r="347" spans="1:19" x14ac:dyDescent="0.2">
      <c r="A347" s="2" t="s">
        <v>206</v>
      </c>
      <c r="B347" s="2" t="s">
        <v>22</v>
      </c>
      <c r="C347" s="2" t="s">
        <v>50</v>
      </c>
      <c r="D347" s="2" t="s">
        <v>207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1577.46</v>
      </c>
      <c r="P347" s="3">
        <v>9528.59</v>
      </c>
      <c r="Q347" s="3">
        <v>9524.24</v>
      </c>
      <c r="S347" s="7"/>
    </row>
    <row r="348" spans="1:19" x14ac:dyDescent="0.2">
      <c r="A348" s="2" t="s">
        <v>206</v>
      </c>
      <c r="B348" s="2" t="s">
        <v>22</v>
      </c>
      <c r="C348" s="2" t="s">
        <v>29</v>
      </c>
      <c r="D348" s="2" t="s">
        <v>207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450.78999999999996</v>
      </c>
      <c r="Q348" s="3">
        <v>2736.0735999999997</v>
      </c>
      <c r="S348" s="7"/>
    </row>
    <row r="349" spans="1:19" x14ac:dyDescent="0.2">
      <c r="A349" s="2" t="s">
        <v>208</v>
      </c>
      <c r="B349" s="2" t="s">
        <v>33</v>
      </c>
      <c r="C349" s="2" t="s">
        <v>34</v>
      </c>
      <c r="D349" s="2" t="s">
        <v>66</v>
      </c>
      <c r="E349" s="3">
        <v>0</v>
      </c>
      <c r="F349" s="3">
        <v>0</v>
      </c>
      <c r="G349" s="3">
        <v>0</v>
      </c>
      <c r="H349" s="3">
        <v>7500</v>
      </c>
      <c r="I349" s="3">
        <v>24000</v>
      </c>
      <c r="J349" s="3">
        <v>24000</v>
      </c>
      <c r="K349" s="3">
        <v>24000</v>
      </c>
      <c r="L349" s="3">
        <v>32400</v>
      </c>
      <c r="M349" s="3">
        <v>24400</v>
      </c>
      <c r="N349" s="3">
        <v>39400</v>
      </c>
      <c r="O349" s="3">
        <v>60400</v>
      </c>
      <c r="P349" s="3">
        <v>62590</v>
      </c>
      <c r="Q349" s="3">
        <v>66189.2</v>
      </c>
      <c r="S349" s="7"/>
    </row>
    <row r="350" spans="1:19" x14ac:dyDescent="0.2">
      <c r="A350" s="2" t="s">
        <v>208</v>
      </c>
      <c r="B350" s="2" t="s">
        <v>33</v>
      </c>
      <c r="C350" s="2" t="s">
        <v>53</v>
      </c>
      <c r="D350" s="2" t="s">
        <v>66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2000</v>
      </c>
      <c r="P350" s="3">
        <v>30000</v>
      </c>
      <c r="Q350" s="3">
        <v>18300</v>
      </c>
      <c r="S350" s="7"/>
    </row>
    <row r="351" spans="1:19" x14ac:dyDescent="0.2">
      <c r="A351" s="2" t="s">
        <v>209</v>
      </c>
      <c r="B351" s="2" t="s">
        <v>22</v>
      </c>
      <c r="C351" s="2" t="s">
        <v>63</v>
      </c>
      <c r="D351" s="2" t="s">
        <v>91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23470</v>
      </c>
      <c r="S351" s="7"/>
    </row>
    <row r="352" spans="1:19" x14ac:dyDescent="0.2">
      <c r="A352" s="2" t="s">
        <v>209</v>
      </c>
      <c r="B352" s="2" t="s">
        <v>52</v>
      </c>
      <c r="C352" s="2" t="s">
        <v>53</v>
      </c>
      <c r="D352" s="2" t="s">
        <v>91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5000</v>
      </c>
      <c r="P352" s="3">
        <v>53000</v>
      </c>
      <c r="Q352" s="3">
        <v>68684</v>
      </c>
      <c r="S352" s="7"/>
    </row>
    <row r="353" spans="1:19" x14ac:dyDescent="0.2">
      <c r="A353" s="2" t="s">
        <v>210</v>
      </c>
      <c r="B353" s="2" t="s">
        <v>22</v>
      </c>
      <c r="C353" s="2" t="s">
        <v>29</v>
      </c>
      <c r="D353" s="2" t="s">
        <v>94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4143.46</v>
      </c>
      <c r="Q353" s="3">
        <v>813.75</v>
      </c>
      <c r="S353" s="7"/>
    </row>
    <row r="354" spans="1:19" x14ac:dyDescent="0.2">
      <c r="A354" s="2" t="s">
        <v>210</v>
      </c>
      <c r="B354" s="2" t="s">
        <v>22</v>
      </c>
      <c r="C354" s="2" t="s">
        <v>26</v>
      </c>
      <c r="D354" s="2" t="s">
        <v>94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4264.24</v>
      </c>
      <c r="Q354" s="3">
        <v>1605.76</v>
      </c>
      <c r="S354" s="7"/>
    </row>
    <row r="355" spans="1:19" x14ac:dyDescent="0.2">
      <c r="A355" s="2" t="s">
        <v>210</v>
      </c>
      <c r="B355" s="2" t="s">
        <v>22</v>
      </c>
      <c r="C355" s="2" t="s">
        <v>36</v>
      </c>
      <c r="D355" s="2" t="s">
        <v>94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4824.09</v>
      </c>
      <c r="Q355" s="3">
        <v>11630.27</v>
      </c>
      <c r="S355" s="7"/>
    </row>
    <row r="356" spans="1:19" x14ac:dyDescent="0.2">
      <c r="A356" s="2" t="s">
        <v>210</v>
      </c>
      <c r="B356" s="2" t="s">
        <v>22</v>
      </c>
      <c r="C356" s="2" t="s">
        <v>29</v>
      </c>
      <c r="D356" s="2" t="s">
        <v>94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-825.81999999999994</v>
      </c>
      <c r="Q356" s="3">
        <v>4488.03</v>
      </c>
      <c r="S356" s="7"/>
    </row>
    <row r="357" spans="1:19" x14ac:dyDescent="0.2">
      <c r="A357" s="2" t="s">
        <v>210</v>
      </c>
      <c r="B357" s="2" t="s">
        <v>22</v>
      </c>
      <c r="C357" s="2" t="s">
        <v>29</v>
      </c>
      <c r="D357" s="2" t="s">
        <v>94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888.77</v>
      </c>
      <c r="S357" s="7"/>
    </row>
    <row r="358" spans="1:19" x14ac:dyDescent="0.2">
      <c r="A358" s="2" t="s">
        <v>211</v>
      </c>
      <c r="B358" s="2" t="s">
        <v>22</v>
      </c>
      <c r="C358" s="2" t="s">
        <v>26</v>
      </c>
      <c r="D358" s="2" t="s">
        <v>45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55327.12000000001</v>
      </c>
      <c r="Q358" s="3">
        <v>56740.02666666665</v>
      </c>
      <c r="S358" s="7"/>
    </row>
    <row r="359" spans="1:19" x14ac:dyDescent="0.2">
      <c r="A359" s="2" t="s">
        <v>211</v>
      </c>
      <c r="B359" s="2" t="s">
        <v>33</v>
      </c>
      <c r="C359" s="2" t="s">
        <v>34</v>
      </c>
      <c r="D359" s="2" t="s">
        <v>45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85800</v>
      </c>
      <c r="Q359" s="3">
        <v>78172.800000000003</v>
      </c>
      <c r="S359" s="7"/>
    </row>
    <row r="360" spans="1:19" x14ac:dyDescent="0.2">
      <c r="A360" s="2" t="s">
        <v>211</v>
      </c>
      <c r="B360" s="2" t="s">
        <v>22</v>
      </c>
      <c r="C360" s="2" t="s">
        <v>29</v>
      </c>
      <c r="D360" s="2" t="s">
        <v>45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21810.199999999997</v>
      </c>
      <c r="Q360" s="3">
        <v>24311.120000000006</v>
      </c>
      <c r="S360" s="7"/>
    </row>
    <row r="361" spans="1:19" x14ac:dyDescent="0.2">
      <c r="A361" s="2" t="s">
        <v>211</v>
      </c>
      <c r="B361" s="2" t="s">
        <v>22</v>
      </c>
      <c r="C361" s="2" t="s">
        <v>28</v>
      </c>
      <c r="D361" s="2" t="s">
        <v>45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11209.039999999999</v>
      </c>
      <c r="Q361" s="3">
        <v>12479.76</v>
      </c>
      <c r="S361" s="7"/>
    </row>
    <row r="362" spans="1:19" x14ac:dyDescent="0.2">
      <c r="A362" s="2" t="s">
        <v>212</v>
      </c>
      <c r="B362" s="2" t="s">
        <v>22</v>
      </c>
      <c r="C362" s="2" t="s">
        <v>50</v>
      </c>
      <c r="D362" s="2" t="s">
        <v>174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4405.5</v>
      </c>
      <c r="Q362" s="3">
        <v>5915.18</v>
      </c>
      <c r="S362" s="7"/>
    </row>
    <row r="363" spans="1:19" x14ac:dyDescent="0.2">
      <c r="A363" s="2" t="s">
        <v>212</v>
      </c>
      <c r="B363" s="2" t="s">
        <v>22</v>
      </c>
      <c r="C363" s="2" t="s">
        <v>29</v>
      </c>
      <c r="D363" s="2" t="s">
        <v>174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1787.5</v>
      </c>
      <c r="Q363" s="3">
        <v>2403.5</v>
      </c>
      <c r="S363" s="7"/>
    </row>
    <row r="364" spans="1:19" x14ac:dyDescent="0.2">
      <c r="A364" s="2" t="s">
        <v>213</v>
      </c>
      <c r="B364" s="2" t="s">
        <v>22</v>
      </c>
      <c r="C364" s="2" t="s">
        <v>29</v>
      </c>
      <c r="D364" s="2" t="s">
        <v>214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5767.11</v>
      </c>
      <c r="Q364" s="3">
        <v>6107.9300000000012</v>
      </c>
      <c r="S364" s="7"/>
    </row>
    <row r="365" spans="1:19" x14ac:dyDescent="0.2">
      <c r="A365" s="2" t="s">
        <v>215</v>
      </c>
      <c r="B365" s="2" t="s">
        <v>22</v>
      </c>
      <c r="C365" s="2" t="s">
        <v>63</v>
      </c>
      <c r="D365" s="2" t="s">
        <v>24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38904.749999999993</v>
      </c>
      <c r="Q365" s="3">
        <v>47022.909999999996</v>
      </c>
      <c r="S365" s="7"/>
    </row>
    <row r="366" spans="1:19" x14ac:dyDescent="0.2">
      <c r="A366" s="2" t="s">
        <v>215</v>
      </c>
      <c r="B366" s="2" t="s">
        <v>22</v>
      </c>
      <c r="C366" s="2" t="s">
        <v>28</v>
      </c>
      <c r="D366" s="2" t="s">
        <v>24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541.75000000000011</v>
      </c>
      <c r="Q366" s="3">
        <v>729.83</v>
      </c>
      <c r="S366" s="7"/>
    </row>
    <row r="367" spans="1:19" x14ac:dyDescent="0.2">
      <c r="A367" s="2" t="s">
        <v>215</v>
      </c>
      <c r="B367" s="2" t="s">
        <v>22</v>
      </c>
      <c r="C367" s="2" t="s">
        <v>29</v>
      </c>
      <c r="D367" s="2" t="s">
        <v>24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813.99999999999989</v>
      </c>
      <c r="Q367" s="3">
        <v>1094.6399999999999</v>
      </c>
      <c r="S367" s="7"/>
    </row>
    <row r="368" spans="1:19" x14ac:dyDescent="0.2">
      <c r="A368" s="2" t="s">
        <v>216</v>
      </c>
      <c r="B368" s="2" t="s">
        <v>22</v>
      </c>
      <c r="C368" s="2" t="s">
        <v>50</v>
      </c>
      <c r="D368" s="2" t="s">
        <v>167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12938.08</v>
      </c>
      <c r="Q368" s="3">
        <v>17453.860956521734</v>
      </c>
      <c r="S368" s="7"/>
    </row>
    <row r="369" spans="1:19" x14ac:dyDescent="0.2">
      <c r="A369" s="2" t="s">
        <v>216</v>
      </c>
      <c r="B369" s="2" t="s">
        <v>22</v>
      </c>
      <c r="C369" s="2" t="s">
        <v>29</v>
      </c>
      <c r="D369" s="2" t="s">
        <v>167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4607.7700000000004</v>
      </c>
      <c r="Q369" s="3">
        <v>6216.2842608695637</v>
      </c>
      <c r="S369" s="7"/>
    </row>
    <row r="370" spans="1:19" x14ac:dyDescent="0.2">
      <c r="A370" s="2" t="s">
        <v>217</v>
      </c>
      <c r="B370" s="2" t="s">
        <v>22</v>
      </c>
      <c r="C370" s="2" t="s">
        <v>50</v>
      </c>
      <c r="D370" s="2" t="s">
        <v>24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14313.75</v>
      </c>
      <c r="Q370" s="3">
        <v>19210.95</v>
      </c>
      <c r="S370" s="7"/>
    </row>
    <row r="371" spans="1:19" x14ac:dyDescent="0.2">
      <c r="A371" s="2" t="s">
        <v>217</v>
      </c>
      <c r="B371" s="2" t="s">
        <v>22</v>
      </c>
      <c r="C371" s="2" t="s">
        <v>29</v>
      </c>
      <c r="D371" s="2" t="s">
        <v>24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6327.75</v>
      </c>
      <c r="Q371" s="3">
        <v>8487.59</v>
      </c>
      <c r="S371" s="7"/>
    </row>
    <row r="372" spans="1:19" x14ac:dyDescent="0.2">
      <c r="A372" s="2" t="s">
        <v>218</v>
      </c>
      <c r="B372" s="2" t="s">
        <v>22</v>
      </c>
      <c r="C372" s="2" t="s">
        <v>26</v>
      </c>
      <c r="D372" s="2" t="s">
        <v>69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27256.25</v>
      </c>
      <c r="O372" s="3">
        <v>19945.2</v>
      </c>
      <c r="P372" s="3">
        <v>15432.91</v>
      </c>
      <c r="Q372" s="3">
        <v>15605.11</v>
      </c>
      <c r="S372" s="7"/>
    </row>
    <row r="373" spans="1:19" x14ac:dyDescent="0.2">
      <c r="A373" s="2" t="s">
        <v>218</v>
      </c>
      <c r="B373" s="2" t="s">
        <v>22</v>
      </c>
      <c r="C373" s="2" t="s">
        <v>29</v>
      </c>
      <c r="D373" s="2" t="s">
        <v>69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77553.760000000009</v>
      </c>
      <c r="O373" s="3">
        <v>44647.29</v>
      </c>
      <c r="P373" s="3">
        <v>8076.0200000000032</v>
      </c>
      <c r="Q373" s="3">
        <v>1999.78</v>
      </c>
      <c r="S373" s="7"/>
    </row>
    <row r="374" spans="1:19" x14ac:dyDescent="0.2">
      <c r="A374" s="2" t="s">
        <v>219</v>
      </c>
      <c r="B374" s="2" t="s">
        <v>22</v>
      </c>
      <c r="C374" s="2" t="s">
        <v>29</v>
      </c>
      <c r="D374" s="2" t="s">
        <v>66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3069</v>
      </c>
      <c r="Q374" s="3">
        <v>4229.1600000000008</v>
      </c>
      <c r="S374" s="7"/>
    </row>
    <row r="375" spans="1:19" x14ac:dyDescent="0.2">
      <c r="A375" s="2" t="s">
        <v>219</v>
      </c>
      <c r="B375" s="2" t="s">
        <v>22</v>
      </c>
      <c r="C375" s="2" t="s">
        <v>50</v>
      </c>
      <c r="D375" s="2" t="s">
        <v>66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11558.25</v>
      </c>
      <c r="Q375" s="3">
        <v>15926.730000000005</v>
      </c>
      <c r="S375" s="7"/>
    </row>
    <row r="376" spans="1:19" x14ac:dyDescent="0.2">
      <c r="A376" s="2" t="s">
        <v>220</v>
      </c>
      <c r="B376" s="2" t="s">
        <v>22</v>
      </c>
      <c r="C376" s="2" t="s">
        <v>29</v>
      </c>
      <c r="D376" s="2" t="s">
        <v>214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2849.3500000000004</v>
      </c>
      <c r="Q376" s="3">
        <v>4411.6900000000005</v>
      </c>
      <c r="S376" s="7"/>
    </row>
    <row r="377" spans="1:19" x14ac:dyDescent="0.2">
      <c r="A377" s="2" t="s">
        <v>220</v>
      </c>
      <c r="B377" s="2" t="s">
        <v>22</v>
      </c>
      <c r="C377" s="2" t="s">
        <v>50</v>
      </c>
      <c r="D377" s="2" t="s">
        <v>214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7051.0999999999995</v>
      </c>
      <c r="Q377" s="3">
        <v>10903.460000000001</v>
      </c>
      <c r="S377" s="7"/>
    </row>
    <row r="378" spans="1:19" x14ac:dyDescent="0.2">
      <c r="A378" s="2" t="s">
        <v>221</v>
      </c>
      <c r="B378" s="2" t="s">
        <v>22</v>
      </c>
      <c r="C378" s="2" t="s">
        <v>26</v>
      </c>
      <c r="D378" s="2" t="s">
        <v>27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16080</v>
      </c>
      <c r="S378" s="7"/>
    </row>
    <row r="379" spans="1:19" x14ac:dyDescent="0.2">
      <c r="A379" s="2" t="s">
        <v>221</v>
      </c>
      <c r="B379" s="2" t="s">
        <v>22</v>
      </c>
      <c r="C379" s="2" t="s">
        <v>29</v>
      </c>
      <c r="D379" s="2" t="s">
        <v>27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7210</v>
      </c>
      <c r="S379" s="7"/>
    </row>
    <row r="380" spans="1:19" x14ac:dyDescent="0.2">
      <c r="A380" s="2" t="s">
        <v>222</v>
      </c>
      <c r="B380" s="2" t="s">
        <v>22</v>
      </c>
      <c r="C380" s="2" t="s">
        <v>50</v>
      </c>
      <c r="D380" s="2" t="s">
        <v>27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1786.08</v>
      </c>
      <c r="Q380" s="3">
        <v>10021.0272</v>
      </c>
      <c r="S380" s="7"/>
    </row>
    <row r="381" spans="1:19" x14ac:dyDescent="0.2">
      <c r="A381" s="2" t="s">
        <v>222</v>
      </c>
      <c r="B381" s="2" t="s">
        <v>22</v>
      </c>
      <c r="C381" s="2" t="s">
        <v>29</v>
      </c>
      <c r="D381" s="2" t="s">
        <v>27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258.64</v>
      </c>
      <c r="Q381" s="3">
        <v>1451.0176000000004</v>
      </c>
      <c r="S381" s="7"/>
    </row>
    <row r="382" spans="1:19" x14ac:dyDescent="0.2">
      <c r="A382" s="2" t="s">
        <v>223</v>
      </c>
      <c r="B382" s="2" t="s">
        <v>33</v>
      </c>
      <c r="C382" s="2" t="s">
        <v>34</v>
      </c>
      <c r="D382" s="2" t="s">
        <v>31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3086.75</v>
      </c>
      <c r="Q382" s="3">
        <v>500</v>
      </c>
      <c r="S382" s="7"/>
    </row>
    <row r="383" spans="1:19" x14ac:dyDescent="0.2">
      <c r="A383" s="2" t="s">
        <v>223</v>
      </c>
      <c r="B383" s="2" t="s">
        <v>22</v>
      </c>
      <c r="C383" s="2" t="s">
        <v>50</v>
      </c>
      <c r="D383" s="2" t="s">
        <v>31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4542.07</v>
      </c>
      <c r="Q383" s="3">
        <v>18122.330000000002</v>
      </c>
      <c r="S383" s="7"/>
    </row>
    <row r="384" spans="1:19" x14ac:dyDescent="0.2">
      <c r="A384" s="2" t="s">
        <v>223</v>
      </c>
      <c r="B384" s="2" t="s">
        <v>22</v>
      </c>
      <c r="C384" s="2" t="s">
        <v>29</v>
      </c>
      <c r="D384" s="2" t="s">
        <v>31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1900.15</v>
      </c>
      <c r="Q384" s="3">
        <v>11532.975999999999</v>
      </c>
      <c r="S384" s="7"/>
    </row>
    <row r="385" spans="1:19" x14ac:dyDescent="0.2">
      <c r="A385" s="2" t="s">
        <v>223</v>
      </c>
      <c r="B385" s="2" t="s">
        <v>22</v>
      </c>
      <c r="C385" s="2" t="s">
        <v>28</v>
      </c>
      <c r="D385" s="2" t="s">
        <v>31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500</v>
      </c>
      <c r="S385" s="7"/>
    </row>
    <row r="386" spans="1:19" x14ac:dyDescent="0.2">
      <c r="A386" s="2" t="s">
        <v>224</v>
      </c>
      <c r="B386" s="2" t="s">
        <v>22</v>
      </c>
      <c r="C386" s="2" t="s">
        <v>50</v>
      </c>
      <c r="D386" s="2" t="s">
        <v>24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6084.56</v>
      </c>
      <c r="Q386" s="3">
        <v>12438.89</v>
      </c>
      <c r="S386" s="7"/>
    </row>
    <row r="387" spans="1:19" x14ac:dyDescent="0.2">
      <c r="A387" s="2" t="s">
        <v>224</v>
      </c>
      <c r="B387" s="2" t="s">
        <v>22</v>
      </c>
      <c r="C387" s="2" t="s">
        <v>29</v>
      </c>
      <c r="D387" s="2" t="s">
        <v>24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1296.98</v>
      </c>
      <c r="Q387" s="3">
        <v>4343.7</v>
      </c>
      <c r="S387" s="7"/>
    </row>
    <row r="388" spans="1:19" x14ac:dyDescent="0.2">
      <c r="A388" s="2" t="s">
        <v>225</v>
      </c>
      <c r="B388" s="2" t="s">
        <v>22</v>
      </c>
      <c r="C388" s="2" t="s">
        <v>28</v>
      </c>
      <c r="D388" s="2" t="s">
        <v>24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830.22</v>
      </c>
      <c r="Q388" s="3">
        <v>3063.7583999999997</v>
      </c>
      <c r="S388" s="7"/>
    </row>
    <row r="389" spans="1:19" x14ac:dyDescent="0.2">
      <c r="A389" s="2" t="s">
        <v>225</v>
      </c>
      <c r="B389" s="2" t="s">
        <v>22</v>
      </c>
      <c r="C389" s="2" t="s">
        <v>63</v>
      </c>
      <c r="D389" s="2" t="s">
        <v>24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8537.73</v>
      </c>
      <c r="Q389" s="3">
        <v>24126.1656</v>
      </c>
      <c r="S389" s="7"/>
    </row>
    <row r="390" spans="1:19" x14ac:dyDescent="0.2">
      <c r="A390" s="2" t="s">
        <v>225</v>
      </c>
      <c r="B390" s="2" t="s">
        <v>22</v>
      </c>
      <c r="C390" s="2" t="s">
        <v>29</v>
      </c>
      <c r="D390" s="2" t="s">
        <v>24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314.11</v>
      </c>
      <c r="Q390" s="3">
        <v>1159.1591999999998</v>
      </c>
      <c r="S390" s="7"/>
    </row>
    <row r="391" spans="1:19" x14ac:dyDescent="0.2">
      <c r="A391" s="2" t="s">
        <v>226</v>
      </c>
      <c r="B391" s="2" t="s">
        <v>22</v>
      </c>
      <c r="C391" s="2" t="s">
        <v>28</v>
      </c>
      <c r="D391" s="2" t="s">
        <v>31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125.05</v>
      </c>
      <c r="Q391" s="3">
        <v>758.99199999999996</v>
      </c>
      <c r="S391" s="7"/>
    </row>
    <row r="392" spans="1:19" x14ac:dyDescent="0.2">
      <c r="A392" s="2" t="s">
        <v>226</v>
      </c>
      <c r="B392" s="2" t="s">
        <v>22</v>
      </c>
      <c r="C392" s="2" t="s">
        <v>63</v>
      </c>
      <c r="D392" s="2" t="s">
        <v>31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9154.1</v>
      </c>
      <c r="Q392" s="3">
        <v>25213.343999999997</v>
      </c>
      <c r="S392" s="7"/>
    </row>
    <row r="393" spans="1:19" x14ac:dyDescent="0.2">
      <c r="A393" s="2" t="s">
        <v>226</v>
      </c>
      <c r="B393" s="2" t="s">
        <v>22</v>
      </c>
      <c r="C393" s="2" t="s">
        <v>29</v>
      </c>
      <c r="D393" s="2" t="s">
        <v>31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379.41999999999996</v>
      </c>
      <c r="Q393" s="3">
        <v>2302.8927999999996</v>
      </c>
      <c r="S393" s="7"/>
    </row>
    <row r="394" spans="1:19" x14ac:dyDescent="0.2">
      <c r="A394" s="2" t="s">
        <v>227</v>
      </c>
      <c r="B394" s="2" t="s">
        <v>22</v>
      </c>
      <c r="C394" s="2" t="s">
        <v>28</v>
      </c>
      <c r="D394" s="2" t="s">
        <v>27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318.37</v>
      </c>
      <c r="Q394" s="3">
        <v>3816.3959670164927</v>
      </c>
      <c r="S394" s="7"/>
    </row>
    <row r="395" spans="1:19" x14ac:dyDescent="0.2">
      <c r="A395" s="2" t="s">
        <v>227</v>
      </c>
      <c r="B395" s="2" t="s">
        <v>22</v>
      </c>
      <c r="C395" s="2" t="s">
        <v>63</v>
      </c>
      <c r="D395" s="2" t="s">
        <v>27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7075.76</v>
      </c>
      <c r="Q395" s="3">
        <v>3950.6400000000003</v>
      </c>
      <c r="S395" s="7"/>
    </row>
    <row r="396" spans="1:19" x14ac:dyDescent="0.2">
      <c r="A396" s="2" t="s">
        <v>227</v>
      </c>
      <c r="B396" s="2" t="s">
        <v>22</v>
      </c>
      <c r="C396" s="2" t="s">
        <v>29</v>
      </c>
      <c r="D396" s="2" t="s">
        <v>27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289.23</v>
      </c>
      <c r="Q396" s="3">
        <v>3473.8211244377817</v>
      </c>
      <c r="S396" s="7"/>
    </row>
    <row r="397" spans="1:19" x14ac:dyDescent="0.2">
      <c r="A397" s="2" t="s">
        <v>228</v>
      </c>
      <c r="B397" s="2" t="s">
        <v>33</v>
      </c>
      <c r="C397" s="2" t="s">
        <v>34</v>
      </c>
      <c r="D397" s="2" t="s">
        <v>170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2201</v>
      </c>
      <c r="Q397" s="3">
        <v>0</v>
      </c>
      <c r="S397" s="7"/>
    </row>
    <row r="398" spans="1:19" x14ac:dyDescent="0.2">
      <c r="A398" s="2" t="s">
        <v>229</v>
      </c>
      <c r="B398" s="2" t="s">
        <v>52</v>
      </c>
      <c r="C398" s="2" t="s">
        <v>53</v>
      </c>
      <c r="D398" s="2" t="s">
        <v>24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9073.5299999999988</v>
      </c>
      <c r="S398" s="7"/>
    </row>
    <row r="399" spans="1:19" x14ac:dyDescent="0.2">
      <c r="A399" s="2" t="s">
        <v>230</v>
      </c>
      <c r="B399" s="2" t="s">
        <v>22</v>
      </c>
      <c r="C399" s="2" t="s">
        <v>26</v>
      </c>
      <c r="D399" s="2" t="s">
        <v>167</v>
      </c>
      <c r="E399" s="3">
        <v>17464.66</v>
      </c>
      <c r="F399" s="3">
        <v>15605.439999999999</v>
      </c>
      <c r="G399" s="3">
        <v>16100.190000000004</v>
      </c>
      <c r="H399" s="3">
        <v>17676.140000000003</v>
      </c>
      <c r="I399" s="3">
        <v>18433.990000000002</v>
      </c>
      <c r="J399" s="3">
        <v>3088.22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S399" s="7"/>
    </row>
    <row r="400" spans="1:19" x14ac:dyDescent="0.2">
      <c r="A400" s="2" t="s">
        <v>230</v>
      </c>
      <c r="B400" s="2" t="s">
        <v>22</v>
      </c>
      <c r="C400" s="2" t="s">
        <v>29</v>
      </c>
      <c r="D400" s="2" t="s">
        <v>167</v>
      </c>
      <c r="E400" s="3">
        <v>2993.9400000000005</v>
      </c>
      <c r="F400" s="3">
        <v>2675.22</v>
      </c>
      <c r="G400" s="3">
        <v>1597.7900000000002</v>
      </c>
      <c r="H400" s="3">
        <v>1515.08</v>
      </c>
      <c r="I400" s="3">
        <v>1580.0699999999997</v>
      </c>
      <c r="J400" s="3">
        <v>264.7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S400" s="7"/>
    </row>
    <row r="401" spans="1:19" x14ac:dyDescent="0.2">
      <c r="A401" s="2" t="s">
        <v>231</v>
      </c>
      <c r="B401" s="2" t="s">
        <v>22</v>
      </c>
      <c r="C401" s="2" t="s">
        <v>28</v>
      </c>
      <c r="D401" s="2" t="s">
        <v>24</v>
      </c>
      <c r="E401" s="3">
        <v>9000</v>
      </c>
      <c r="F401" s="3">
        <v>9000</v>
      </c>
      <c r="G401" s="3">
        <v>9000</v>
      </c>
      <c r="H401" s="3">
        <v>9000</v>
      </c>
      <c r="I401" s="3">
        <v>9000</v>
      </c>
      <c r="J401" s="3">
        <v>9000</v>
      </c>
      <c r="K401" s="3">
        <v>9000</v>
      </c>
      <c r="L401" s="3">
        <v>9000</v>
      </c>
      <c r="M401" s="3">
        <v>1500</v>
      </c>
      <c r="N401" s="3">
        <v>0</v>
      </c>
      <c r="O401" s="3">
        <v>0</v>
      </c>
      <c r="P401" s="3">
        <v>0</v>
      </c>
      <c r="Q401" s="3">
        <v>0</v>
      </c>
      <c r="S401" s="7"/>
    </row>
    <row r="402" spans="1:19" x14ac:dyDescent="0.2">
      <c r="A402" s="2" t="s">
        <v>232</v>
      </c>
      <c r="B402" s="2" t="s">
        <v>22</v>
      </c>
      <c r="C402" s="2" t="s">
        <v>29</v>
      </c>
      <c r="D402" s="2" t="s">
        <v>27</v>
      </c>
      <c r="E402" s="3">
        <v>7641.33</v>
      </c>
      <c r="F402" s="3">
        <v>10360.950000000003</v>
      </c>
      <c r="G402" s="3">
        <v>13236.75</v>
      </c>
      <c r="H402" s="3">
        <v>17339.370000000003</v>
      </c>
      <c r="I402" s="3">
        <v>18975.599999999999</v>
      </c>
      <c r="J402" s="3">
        <v>21506.6</v>
      </c>
      <c r="K402" s="3">
        <v>5573.5199999999995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S402" s="7"/>
    </row>
    <row r="403" spans="1:19" x14ac:dyDescent="0.2">
      <c r="A403" s="2" t="s">
        <v>233</v>
      </c>
      <c r="B403" s="2" t="s">
        <v>22</v>
      </c>
      <c r="C403" s="2" t="s">
        <v>36</v>
      </c>
      <c r="D403" s="2" t="s">
        <v>69</v>
      </c>
      <c r="E403" s="3">
        <v>6717.5999999999995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S403" s="7"/>
    </row>
    <row r="404" spans="1:19" x14ac:dyDescent="0.2">
      <c r="A404" s="2" t="s">
        <v>234</v>
      </c>
      <c r="B404" s="2" t="s">
        <v>33</v>
      </c>
      <c r="C404" s="2" t="s">
        <v>34</v>
      </c>
      <c r="D404" s="2" t="s">
        <v>27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879.25</v>
      </c>
      <c r="O404" s="3">
        <v>0</v>
      </c>
      <c r="P404" s="3">
        <v>0</v>
      </c>
      <c r="Q404" s="3">
        <v>0</v>
      </c>
      <c r="S404" s="7"/>
    </row>
    <row r="405" spans="1:19" x14ac:dyDescent="0.2">
      <c r="A405" s="2" t="s">
        <v>234</v>
      </c>
      <c r="B405" s="2" t="s">
        <v>52</v>
      </c>
      <c r="C405" s="2" t="s">
        <v>53</v>
      </c>
      <c r="D405" s="2" t="s">
        <v>27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2637.75</v>
      </c>
      <c r="O405" s="3">
        <v>0</v>
      </c>
      <c r="P405" s="3">
        <v>0</v>
      </c>
      <c r="Q405" s="3">
        <v>0</v>
      </c>
      <c r="S405" s="7"/>
    </row>
    <row r="406" spans="1:19" x14ac:dyDescent="0.2">
      <c r="A406" s="2" t="s">
        <v>235</v>
      </c>
      <c r="B406" s="2" t="s">
        <v>22</v>
      </c>
      <c r="C406" s="2" t="s">
        <v>36</v>
      </c>
      <c r="D406" s="2" t="s">
        <v>24</v>
      </c>
      <c r="E406" s="3">
        <v>3600</v>
      </c>
      <c r="F406" s="3">
        <v>1452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S406" s="7"/>
    </row>
    <row r="407" spans="1:19" x14ac:dyDescent="0.2">
      <c r="A407" s="2" t="s">
        <v>235</v>
      </c>
      <c r="B407" s="2" t="s">
        <v>22</v>
      </c>
      <c r="C407" s="2" t="s">
        <v>29</v>
      </c>
      <c r="D407" s="2" t="s">
        <v>24</v>
      </c>
      <c r="E407" s="3">
        <v>600</v>
      </c>
      <c r="F407" s="3">
        <v>242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S407" s="7"/>
    </row>
    <row r="408" spans="1:19" x14ac:dyDescent="0.2">
      <c r="A408" s="2" t="s">
        <v>236</v>
      </c>
      <c r="B408" s="2" t="s">
        <v>22</v>
      </c>
      <c r="C408" s="2" t="s">
        <v>36</v>
      </c>
      <c r="D408" s="2" t="s">
        <v>69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1901.84</v>
      </c>
      <c r="N408" s="3">
        <v>9509.18</v>
      </c>
      <c r="O408" s="3">
        <v>0</v>
      </c>
      <c r="P408" s="3">
        <v>0</v>
      </c>
      <c r="Q408" s="3">
        <v>0</v>
      </c>
      <c r="S408" s="7"/>
    </row>
    <row r="409" spans="1:19" x14ac:dyDescent="0.2">
      <c r="A409" s="2" t="s">
        <v>236</v>
      </c>
      <c r="B409" s="2" t="s">
        <v>22</v>
      </c>
      <c r="C409" s="2" t="s">
        <v>29</v>
      </c>
      <c r="D409" s="2" t="s">
        <v>69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167.29</v>
      </c>
      <c r="N409" s="3">
        <v>836.45999999999992</v>
      </c>
      <c r="O409" s="3">
        <v>0</v>
      </c>
      <c r="P409" s="3">
        <v>0</v>
      </c>
      <c r="Q409" s="3">
        <v>0</v>
      </c>
      <c r="S409" s="7"/>
    </row>
    <row r="410" spans="1:19" x14ac:dyDescent="0.2">
      <c r="A410" s="2" t="s">
        <v>237</v>
      </c>
      <c r="B410" s="2" t="s">
        <v>22</v>
      </c>
      <c r="C410" s="2" t="s">
        <v>36</v>
      </c>
      <c r="D410" s="2" t="s">
        <v>27</v>
      </c>
      <c r="E410" s="3">
        <v>3427.8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S410" s="7"/>
    </row>
    <row r="411" spans="1:19" x14ac:dyDescent="0.2">
      <c r="A411" s="2" t="s">
        <v>237</v>
      </c>
      <c r="B411" s="2" t="s">
        <v>22</v>
      </c>
      <c r="C411" s="2" t="s">
        <v>29</v>
      </c>
      <c r="D411" s="2" t="s">
        <v>27</v>
      </c>
      <c r="E411" s="3">
        <v>514.16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S411" s="7"/>
    </row>
    <row r="412" spans="1:19" x14ac:dyDescent="0.2">
      <c r="A412" s="2" t="s">
        <v>238</v>
      </c>
      <c r="B412" s="2" t="s">
        <v>33</v>
      </c>
      <c r="C412" s="2" t="s">
        <v>38</v>
      </c>
      <c r="D412" s="2" t="s">
        <v>27</v>
      </c>
      <c r="E412" s="3">
        <v>300</v>
      </c>
      <c r="F412" s="3">
        <v>1800</v>
      </c>
      <c r="G412" s="3">
        <v>1800</v>
      </c>
      <c r="H412" s="3">
        <v>1800</v>
      </c>
      <c r="I412" s="3">
        <v>1800</v>
      </c>
      <c r="J412" s="3">
        <v>1800</v>
      </c>
      <c r="K412" s="3">
        <v>1800</v>
      </c>
      <c r="L412" s="3">
        <v>1800</v>
      </c>
      <c r="M412" s="3">
        <v>1800</v>
      </c>
      <c r="N412" s="3">
        <v>1800</v>
      </c>
      <c r="O412" s="3">
        <v>1500</v>
      </c>
      <c r="P412" s="3">
        <v>0</v>
      </c>
      <c r="Q412" s="3">
        <v>0</v>
      </c>
      <c r="S412" s="7"/>
    </row>
    <row r="413" spans="1:19" x14ac:dyDescent="0.2">
      <c r="A413" s="2" t="s">
        <v>239</v>
      </c>
      <c r="B413" s="2" t="s">
        <v>33</v>
      </c>
      <c r="C413" s="2" t="s">
        <v>38</v>
      </c>
      <c r="D413" s="2" t="s">
        <v>24</v>
      </c>
      <c r="E413" s="3">
        <v>2400</v>
      </c>
      <c r="F413" s="3">
        <v>1800</v>
      </c>
      <c r="G413" s="3">
        <v>1800</v>
      </c>
      <c r="H413" s="3">
        <v>1800</v>
      </c>
      <c r="I413" s="3">
        <v>1800</v>
      </c>
      <c r="J413" s="3">
        <v>1800</v>
      </c>
      <c r="K413" s="3">
        <v>1800</v>
      </c>
      <c r="L413" s="3">
        <v>3300</v>
      </c>
      <c r="M413" s="3">
        <v>3600</v>
      </c>
      <c r="N413" s="3">
        <v>3600</v>
      </c>
      <c r="O413" s="3">
        <v>600</v>
      </c>
      <c r="P413" s="3">
        <v>0</v>
      </c>
      <c r="Q413" s="3">
        <v>0</v>
      </c>
      <c r="S413" s="7"/>
    </row>
    <row r="414" spans="1:19" x14ac:dyDescent="0.2">
      <c r="A414" s="2" t="s">
        <v>240</v>
      </c>
      <c r="B414" s="2" t="s">
        <v>33</v>
      </c>
      <c r="C414" s="2" t="s">
        <v>34</v>
      </c>
      <c r="D414" s="2" t="s">
        <v>66</v>
      </c>
      <c r="E414" s="3">
        <v>0</v>
      </c>
      <c r="F414" s="3">
        <v>10220.579999999998</v>
      </c>
      <c r="G414" s="3">
        <v>41884.300000000003</v>
      </c>
      <c r="H414" s="3">
        <v>46414.58</v>
      </c>
      <c r="I414" s="3">
        <v>46799.840000000004</v>
      </c>
      <c r="J414" s="3">
        <v>46230.92</v>
      </c>
      <c r="K414" s="3">
        <v>46977.310000000005</v>
      </c>
      <c r="L414" s="3">
        <v>3858.49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S414" s="7"/>
    </row>
    <row r="415" spans="1:19" x14ac:dyDescent="0.2">
      <c r="A415" s="2" t="s">
        <v>240</v>
      </c>
      <c r="B415" s="2" t="s">
        <v>22</v>
      </c>
      <c r="C415" s="2" t="s">
        <v>36</v>
      </c>
      <c r="D415" s="2" t="s">
        <v>66</v>
      </c>
      <c r="E415" s="3">
        <v>0</v>
      </c>
      <c r="F415" s="3">
        <v>13129.249999999998</v>
      </c>
      <c r="G415" s="3">
        <v>14143.400000000001</v>
      </c>
      <c r="H415" s="3">
        <v>15693.639999999996</v>
      </c>
      <c r="I415" s="3">
        <v>16392.55</v>
      </c>
      <c r="J415" s="3">
        <v>16059.850000000002</v>
      </c>
      <c r="K415" s="3">
        <v>16076.749999999998</v>
      </c>
      <c r="L415" s="3">
        <v>2682.8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S415" s="7"/>
    </row>
    <row r="416" spans="1:19" x14ac:dyDescent="0.2">
      <c r="A416" s="2" t="s">
        <v>240</v>
      </c>
      <c r="B416" s="2" t="s">
        <v>22</v>
      </c>
      <c r="C416" s="2" t="s">
        <v>29</v>
      </c>
      <c r="D416" s="2" t="s">
        <v>66</v>
      </c>
      <c r="E416" s="3">
        <v>0</v>
      </c>
      <c r="F416" s="3">
        <v>564.38</v>
      </c>
      <c r="G416" s="3">
        <v>726.29000000000019</v>
      </c>
      <c r="H416" s="3">
        <v>805.88999999999965</v>
      </c>
      <c r="I416" s="3">
        <v>841.79</v>
      </c>
      <c r="J416" s="3">
        <v>1508.3600000000001</v>
      </c>
      <c r="K416" s="3">
        <v>2339.9500000000003</v>
      </c>
      <c r="L416" s="3">
        <v>413.3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S416" s="7"/>
    </row>
    <row r="417" spans="1:19" x14ac:dyDescent="0.2">
      <c r="A417" s="2" t="s">
        <v>241</v>
      </c>
      <c r="B417" s="2" t="s">
        <v>22</v>
      </c>
      <c r="C417" s="2" t="s">
        <v>36</v>
      </c>
      <c r="D417" s="2" t="s">
        <v>24</v>
      </c>
      <c r="E417" s="3">
        <v>8000</v>
      </c>
      <c r="F417" s="3">
        <v>8000</v>
      </c>
      <c r="G417" s="3">
        <v>6666.7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S417" s="7"/>
    </row>
    <row r="418" spans="1:19" x14ac:dyDescent="0.2">
      <c r="A418" s="2" t="s">
        <v>241</v>
      </c>
      <c r="B418" s="2" t="s">
        <v>22</v>
      </c>
      <c r="C418" s="2" t="s">
        <v>29</v>
      </c>
      <c r="D418" s="2" t="s">
        <v>24</v>
      </c>
      <c r="E418" s="3">
        <v>4000</v>
      </c>
      <c r="F418" s="3">
        <v>2900</v>
      </c>
      <c r="G418" s="3">
        <v>2000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S418" s="7"/>
    </row>
    <row r="419" spans="1:19" x14ac:dyDescent="0.2">
      <c r="A419" s="2" t="s">
        <v>241</v>
      </c>
      <c r="B419" s="2" t="s">
        <v>33</v>
      </c>
      <c r="C419" s="2" t="s">
        <v>34</v>
      </c>
      <c r="D419" s="2" t="s">
        <v>24</v>
      </c>
      <c r="E419" s="3">
        <v>136224</v>
      </c>
      <c r="F419" s="3">
        <v>88800</v>
      </c>
      <c r="G419" s="3">
        <v>41666.67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S419" s="7"/>
    </row>
    <row r="420" spans="1:19" x14ac:dyDescent="0.2">
      <c r="A420" s="2" t="s">
        <v>242</v>
      </c>
      <c r="B420" s="2" t="s">
        <v>33</v>
      </c>
      <c r="C420" s="2" t="s">
        <v>34</v>
      </c>
      <c r="D420" s="2" t="s">
        <v>91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57173.913043478271</v>
      </c>
      <c r="S420" s="7"/>
    </row>
    <row r="421" spans="1:19" x14ac:dyDescent="0.2">
      <c r="A421" s="2" t="s">
        <v>243</v>
      </c>
      <c r="B421" s="2" t="s">
        <v>22</v>
      </c>
      <c r="C421" s="2" t="s">
        <v>26</v>
      </c>
      <c r="D421" s="2" t="s">
        <v>91</v>
      </c>
      <c r="E421" s="3">
        <v>17326.05</v>
      </c>
      <c r="F421" s="3">
        <v>27599.879999999997</v>
      </c>
      <c r="G421" s="3">
        <v>16964.639999999996</v>
      </c>
      <c r="H421" s="3">
        <v>19553</v>
      </c>
      <c r="I421" s="3">
        <v>20531.97</v>
      </c>
      <c r="J421" s="3">
        <v>20787.22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S421" s="7"/>
    </row>
    <row r="422" spans="1:19" x14ac:dyDescent="0.2">
      <c r="A422" s="2" t="s">
        <v>243</v>
      </c>
      <c r="B422" s="2" t="s">
        <v>22</v>
      </c>
      <c r="C422" s="2" t="s">
        <v>29</v>
      </c>
      <c r="D422" s="2" t="s">
        <v>91</v>
      </c>
      <c r="E422" s="3">
        <v>1485.09</v>
      </c>
      <c r="F422" s="3">
        <v>2106</v>
      </c>
      <c r="G422" s="3">
        <v>1982.88</v>
      </c>
      <c r="H422" s="3">
        <v>2285.42</v>
      </c>
      <c r="I422" s="3">
        <v>2399.84</v>
      </c>
      <c r="J422" s="3">
        <v>2429.6799999999998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S422" s="7"/>
    </row>
    <row r="423" spans="1:19" x14ac:dyDescent="0.2">
      <c r="A423" s="2" t="s">
        <v>244</v>
      </c>
      <c r="B423" s="2" t="s">
        <v>22</v>
      </c>
      <c r="C423" s="2" t="s">
        <v>28</v>
      </c>
      <c r="D423" s="2" t="s">
        <v>91</v>
      </c>
      <c r="E423" s="3">
        <v>7228.92</v>
      </c>
      <c r="F423" s="3">
        <v>6530.6</v>
      </c>
      <c r="G423" s="3">
        <v>7429.36</v>
      </c>
      <c r="H423" s="3">
        <v>7911.59</v>
      </c>
      <c r="I423" s="3">
        <v>7977.26</v>
      </c>
      <c r="J423" s="3">
        <v>7880.29</v>
      </c>
      <c r="K423" s="3">
        <v>8007.53</v>
      </c>
      <c r="L423" s="3">
        <v>7705.11</v>
      </c>
      <c r="M423" s="3">
        <v>7695.1400000000012</v>
      </c>
      <c r="N423" s="3">
        <v>7133.7999999999993</v>
      </c>
      <c r="O423" s="3">
        <v>0</v>
      </c>
      <c r="P423" s="3">
        <v>0</v>
      </c>
      <c r="Q423" s="3">
        <v>0</v>
      </c>
      <c r="S423" s="7"/>
    </row>
    <row r="424" spans="1:19" x14ac:dyDescent="0.2">
      <c r="A424" s="2" t="s">
        <v>245</v>
      </c>
      <c r="B424" s="2" t="s">
        <v>33</v>
      </c>
      <c r="C424" s="2" t="s">
        <v>34</v>
      </c>
      <c r="D424" s="2" t="s">
        <v>170</v>
      </c>
      <c r="E424" s="3">
        <v>100860</v>
      </c>
      <c r="F424" s="3">
        <v>102942</v>
      </c>
      <c r="G424" s="3">
        <v>116760</v>
      </c>
      <c r="H424" s="3">
        <v>129732</v>
      </c>
      <c r="I424" s="3">
        <v>129732</v>
      </c>
      <c r="J424" s="3">
        <v>64866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S424" s="7"/>
    </row>
    <row r="425" spans="1:19" x14ac:dyDescent="0.2">
      <c r="A425" s="2" t="s">
        <v>246</v>
      </c>
      <c r="B425" s="2" t="s">
        <v>22</v>
      </c>
      <c r="C425" s="2" t="s">
        <v>39</v>
      </c>
      <c r="D425" s="2" t="s">
        <v>24</v>
      </c>
      <c r="E425" s="3">
        <v>18000</v>
      </c>
      <c r="F425" s="3">
        <v>18000</v>
      </c>
      <c r="G425" s="3">
        <v>18000</v>
      </c>
      <c r="H425" s="3">
        <v>9000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S425" s="7"/>
    </row>
    <row r="426" spans="1:19" x14ac:dyDescent="0.2">
      <c r="A426" s="2" t="s">
        <v>247</v>
      </c>
      <c r="B426" s="2" t="s">
        <v>33</v>
      </c>
      <c r="C426" s="2" t="s">
        <v>34</v>
      </c>
      <c r="D426" s="2" t="s">
        <v>24</v>
      </c>
      <c r="E426" s="3">
        <v>220362.5</v>
      </c>
      <c r="F426" s="3">
        <v>246912.2</v>
      </c>
      <c r="G426" s="3">
        <v>94587.25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S426" s="7"/>
    </row>
    <row r="427" spans="1:19" x14ac:dyDescent="0.2">
      <c r="A427" s="2" t="s">
        <v>248</v>
      </c>
      <c r="B427" s="2" t="s">
        <v>22</v>
      </c>
      <c r="C427" s="2" t="s">
        <v>36</v>
      </c>
      <c r="D427" s="2" t="s">
        <v>24</v>
      </c>
      <c r="E427" s="3">
        <v>7200</v>
      </c>
      <c r="F427" s="3">
        <v>7200</v>
      </c>
      <c r="G427" s="3">
        <v>7200</v>
      </c>
      <c r="H427" s="3">
        <v>3000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S427" s="7"/>
    </row>
    <row r="428" spans="1:19" x14ac:dyDescent="0.2">
      <c r="A428" s="2" t="s">
        <v>248</v>
      </c>
      <c r="B428" s="2" t="s">
        <v>22</v>
      </c>
      <c r="C428" s="2" t="s">
        <v>29</v>
      </c>
      <c r="D428" s="2" t="s">
        <v>24</v>
      </c>
      <c r="E428" s="3">
        <v>3966.6999999999994</v>
      </c>
      <c r="F428" s="3">
        <v>3208.3000000000006</v>
      </c>
      <c r="G428" s="3">
        <v>3500.0000000000005</v>
      </c>
      <c r="H428" s="3">
        <v>1458.3500000000001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S428" s="7"/>
    </row>
    <row r="429" spans="1:19" x14ac:dyDescent="0.2">
      <c r="A429" s="2" t="s">
        <v>249</v>
      </c>
      <c r="B429" s="2" t="s">
        <v>33</v>
      </c>
      <c r="C429" s="2" t="s">
        <v>34</v>
      </c>
      <c r="D429" s="2" t="s">
        <v>72</v>
      </c>
      <c r="E429" s="3">
        <v>51600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S429" s="7"/>
    </row>
    <row r="430" spans="1:19" x14ac:dyDescent="0.2">
      <c r="A430" s="2" t="s">
        <v>250</v>
      </c>
      <c r="B430" s="2" t="s">
        <v>33</v>
      </c>
      <c r="C430" s="2" t="s">
        <v>34</v>
      </c>
      <c r="D430" s="2" t="s">
        <v>24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3500</v>
      </c>
      <c r="K430" s="3">
        <v>49412</v>
      </c>
      <c r="L430" s="3">
        <v>21875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S430" s="7"/>
    </row>
    <row r="431" spans="1:19" x14ac:dyDescent="0.2">
      <c r="A431" s="2" t="s">
        <v>251</v>
      </c>
      <c r="B431" s="2" t="s">
        <v>22</v>
      </c>
      <c r="C431" s="2" t="s">
        <v>36</v>
      </c>
      <c r="D431" s="2" t="s">
        <v>31</v>
      </c>
      <c r="E431" s="3">
        <v>0</v>
      </c>
      <c r="F431" s="3">
        <v>10400</v>
      </c>
      <c r="G431" s="3">
        <v>10400</v>
      </c>
      <c r="H431" s="3">
        <v>10400</v>
      </c>
      <c r="I431" s="3">
        <v>10400</v>
      </c>
      <c r="J431" s="3">
        <v>10400</v>
      </c>
      <c r="K431" s="3">
        <v>10400</v>
      </c>
      <c r="L431" s="3">
        <v>10400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S431" s="7"/>
    </row>
    <row r="432" spans="1:19" x14ac:dyDescent="0.2">
      <c r="A432" s="2" t="s">
        <v>251</v>
      </c>
      <c r="B432" s="2" t="s">
        <v>22</v>
      </c>
      <c r="C432" s="2" t="s">
        <v>29</v>
      </c>
      <c r="D432" s="2" t="s">
        <v>31</v>
      </c>
      <c r="E432" s="3">
        <v>0</v>
      </c>
      <c r="F432" s="3">
        <v>790.00000000000011</v>
      </c>
      <c r="G432" s="3">
        <v>1580</v>
      </c>
      <c r="H432" s="3">
        <v>1580</v>
      </c>
      <c r="I432" s="3">
        <v>1580</v>
      </c>
      <c r="J432" s="3">
        <v>2370</v>
      </c>
      <c r="K432" s="3">
        <v>2370</v>
      </c>
      <c r="L432" s="3">
        <v>2370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S432" s="7"/>
    </row>
    <row r="433" spans="1:19" x14ac:dyDescent="0.2">
      <c r="A433" s="2" t="s">
        <v>251</v>
      </c>
      <c r="B433" s="2" t="s">
        <v>22</v>
      </c>
      <c r="C433" s="2" t="s">
        <v>28</v>
      </c>
      <c r="D433" s="2" t="s">
        <v>31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11333.000000000004</v>
      </c>
      <c r="O433" s="3">
        <v>0</v>
      </c>
      <c r="P433" s="3">
        <v>0</v>
      </c>
      <c r="Q433" s="3">
        <v>0</v>
      </c>
      <c r="S433" s="7"/>
    </row>
    <row r="434" spans="1:19" x14ac:dyDescent="0.2">
      <c r="A434" s="2" t="s">
        <v>252</v>
      </c>
      <c r="B434" s="2" t="s">
        <v>22</v>
      </c>
      <c r="C434" s="2" t="s">
        <v>253</v>
      </c>
      <c r="D434" s="2" t="s">
        <v>24</v>
      </c>
      <c r="E434" s="3">
        <v>9870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S434" s="7"/>
    </row>
    <row r="435" spans="1:19" x14ac:dyDescent="0.2">
      <c r="A435" s="2" t="s">
        <v>252</v>
      </c>
      <c r="B435" s="2" t="s">
        <v>52</v>
      </c>
      <c r="C435" s="2" t="s">
        <v>53</v>
      </c>
      <c r="D435" s="2" t="s">
        <v>24</v>
      </c>
      <c r="E435" s="3">
        <v>0</v>
      </c>
      <c r="F435" s="3">
        <v>0</v>
      </c>
      <c r="G435" s="3">
        <v>6320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S435" s="7"/>
    </row>
    <row r="436" spans="1:19" x14ac:dyDescent="0.2">
      <c r="A436" s="2" t="s">
        <v>254</v>
      </c>
      <c r="B436" s="2" t="s">
        <v>22</v>
      </c>
      <c r="C436" s="2" t="s">
        <v>36</v>
      </c>
      <c r="D436" s="2" t="s">
        <v>24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7000</v>
      </c>
      <c r="L436" s="3">
        <v>10500</v>
      </c>
      <c r="M436" s="3">
        <v>3500</v>
      </c>
      <c r="N436" s="3">
        <v>0</v>
      </c>
      <c r="O436" s="3">
        <v>0</v>
      </c>
      <c r="P436" s="3">
        <v>0</v>
      </c>
      <c r="Q436" s="3">
        <v>0</v>
      </c>
      <c r="S436" s="7"/>
    </row>
    <row r="437" spans="1:19" x14ac:dyDescent="0.2">
      <c r="A437" s="2" t="s">
        <v>254</v>
      </c>
      <c r="B437" s="2" t="s">
        <v>22</v>
      </c>
      <c r="C437" s="2" t="s">
        <v>29</v>
      </c>
      <c r="D437" s="2" t="s">
        <v>24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600</v>
      </c>
      <c r="L437" s="3">
        <v>900</v>
      </c>
      <c r="M437" s="3">
        <v>300</v>
      </c>
      <c r="N437" s="3">
        <v>0</v>
      </c>
      <c r="O437" s="3">
        <v>0</v>
      </c>
      <c r="P437" s="3">
        <v>0</v>
      </c>
      <c r="Q437" s="3">
        <v>0</v>
      </c>
      <c r="S437" s="7"/>
    </row>
    <row r="438" spans="1:19" x14ac:dyDescent="0.2">
      <c r="A438" s="2" t="s">
        <v>255</v>
      </c>
      <c r="B438" s="2" t="s">
        <v>22</v>
      </c>
      <c r="C438" s="2" t="s">
        <v>36</v>
      </c>
      <c r="D438" s="2" t="s">
        <v>24</v>
      </c>
      <c r="E438" s="3">
        <v>0</v>
      </c>
      <c r="F438" s="3">
        <v>12133.3</v>
      </c>
      <c r="G438" s="3">
        <v>10399.999999999998</v>
      </c>
      <c r="H438" s="3">
        <v>8666.6999999999989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S438" s="7"/>
    </row>
    <row r="439" spans="1:19" x14ac:dyDescent="0.2">
      <c r="A439" s="2" t="s">
        <v>255</v>
      </c>
      <c r="B439" s="2" t="s">
        <v>22</v>
      </c>
      <c r="C439" s="2" t="s">
        <v>63</v>
      </c>
      <c r="D439" s="2" t="s">
        <v>24</v>
      </c>
      <c r="E439" s="3">
        <v>0</v>
      </c>
      <c r="F439" s="3">
        <v>37333.299999999988</v>
      </c>
      <c r="G439" s="3">
        <v>32000</v>
      </c>
      <c r="H439" s="3">
        <v>26666.699999999997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S439" s="7"/>
    </row>
    <row r="440" spans="1:19" x14ac:dyDescent="0.2">
      <c r="A440" s="2" t="s">
        <v>255</v>
      </c>
      <c r="B440" s="2" t="s">
        <v>22</v>
      </c>
      <c r="C440" s="2" t="s">
        <v>29</v>
      </c>
      <c r="D440" s="2" t="s">
        <v>24</v>
      </c>
      <c r="E440" s="3">
        <v>0</v>
      </c>
      <c r="F440" s="3">
        <v>0</v>
      </c>
      <c r="G440" s="3">
        <v>1580.02</v>
      </c>
      <c r="H440" s="3">
        <v>3225.8600000000006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S440" s="7"/>
    </row>
    <row r="441" spans="1:19" x14ac:dyDescent="0.2">
      <c r="A441" s="2" t="s">
        <v>256</v>
      </c>
      <c r="B441" s="2" t="s">
        <v>22</v>
      </c>
      <c r="C441" s="2" t="s">
        <v>23</v>
      </c>
      <c r="D441" s="2" t="s">
        <v>24</v>
      </c>
      <c r="E441" s="3">
        <v>2333.33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S441" s="7"/>
    </row>
    <row r="442" spans="1:19" x14ac:dyDescent="0.2">
      <c r="A442" s="2" t="s">
        <v>257</v>
      </c>
      <c r="B442" s="2" t="s">
        <v>52</v>
      </c>
      <c r="C442" s="2" t="s">
        <v>53</v>
      </c>
      <c r="D442" s="2" t="s">
        <v>24</v>
      </c>
      <c r="E442" s="3">
        <v>86580</v>
      </c>
      <c r="F442" s="3">
        <v>69300</v>
      </c>
      <c r="G442" s="3">
        <v>55800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S442" s="7"/>
    </row>
    <row r="443" spans="1:19" x14ac:dyDescent="0.2">
      <c r="A443" s="2" t="s">
        <v>258</v>
      </c>
      <c r="B443" s="2" t="s">
        <v>33</v>
      </c>
      <c r="C443" s="2" t="s">
        <v>34</v>
      </c>
      <c r="D443" s="2" t="s">
        <v>24</v>
      </c>
      <c r="E443" s="3">
        <v>101760</v>
      </c>
      <c r="F443" s="3">
        <v>83990</v>
      </c>
      <c r="G443" s="3">
        <v>62460</v>
      </c>
      <c r="H443" s="3">
        <v>40500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S443" s="7"/>
    </row>
    <row r="444" spans="1:19" x14ac:dyDescent="0.2">
      <c r="A444" s="2" t="s">
        <v>259</v>
      </c>
      <c r="B444" s="2" t="s">
        <v>22</v>
      </c>
      <c r="C444" s="2" t="s">
        <v>253</v>
      </c>
      <c r="D444" s="2" t="s">
        <v>24</v>
      </c>
      <c r="E444" s="3">
        <v>1724.56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S444" s="7"/>
    </row>
    <row r="445" spans="1:19" x14ac:dyDescent="0.2">
      <c r="A445" s="2" t="s">
        <v>260</v>
      </c>
      <c r="B445" s="2" t="s">
        <v>22</v>
      </c>
      <c r="C445" s="2" t="s">
        <v>253</v>
      </c>
      <c r="D445" s="2" t="s">
        <v>24</v>
      </c>
      <c r="E445" s="3">
        <v>10330.83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S445" s="7"/>
    </row>
    <row r="446" spans="1:19" x14ac:dyDescent="0.2">
      <c r="A446" s="2" t="s">
        <v>261</v>
      </c>
      <c r="B446" s="2" t="s">
        <v>22</v>
      </c>
      <c r="C446" s="2" t="s">
        <v>28</v>
      </c>
      <c r="D446" s="2" t="s">
        <v>174</v>
      </c>
      <c r="E446" s="3">
        <v>9600</v>
      </c>
      <c r="F446" s="3">
        <v>9600</v>
      </c>
      <c r="G446" s="3">
        <v>9600</v>
      </c>
      <c r="H446" s="3">
        <v>9600</v>
      </c>
      <c r="I446" s="3">
        <v>8800</v>
      </c>
      <c r="J446" s="3">
        <v>9600</v>
      </c>
      <c r="K446" s="3">
        <v>9600</v>
      </c>
      <c r="L446" s="3">
        <v>9600</v>
      </c>
      <c r="M446" s="3">
        <v>9600</v>
      </c>
      <c r="N446" s="3">
        <v>9600</v>
      </c>
      <c r="O446" s="3">
        <v>8000</v>
      </c>
      <c r="P446" s="3">
        <v>0</v>
      </c>
      <c r="Q446" s="3">
        <v>0</v>
      </c>
      <c r="S446" s="7"/>
    </row>
    <row r="447" spans="1:19" x14ac:dyDescent="0.2">
      <c r="A447" s="2" t="s">
        <v>262</v>
      </c>
      <c r="B447" s="2" t="s">
        <v>22</v>
      </c>
      <c r="C447" s="2" t="s">
        <v>29</v>
      </c>
      <c r="D447" s="2" t="s">
        <v>24</v>
      </c>
      <c r="E447" s="3">
        <v>0</v>
      </c>
      <c r="F447" s="3">
        <v>0</v>
      </c>
      <c r="G447" s="3">
        <v>921.64999999999986</v>
      </c>
      <c r="H447" s="3">
        <v>1580.0000000000002</v>
      </c>
      <c r="I447" s="3">
        <v>1580.0000000000002</v>
      </c>
      <c r="J447" s="3">
        <v>658.34999999999991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S447" s="7"/>
    </row>
    <row r="448" spans="1:19" x14ac:dyDescent="0.2">
      <c r="A448" s="2" t="s">
        <v>263</v>
      </c>
      <c r="B448" s="2" t="s">
        <v>22</v>
      </c>
      <c r="C448" s="2" t="s">
        <v>36</v>
      </c>
      <c r="D448" s="2" t="s">
        <v>170</v>
      </c>
      <c r="E448" s="3">
        <v>9000</v>
      </c>
      <c r="F448" s="3">
        <v>9000</v>
      </c>
      <c r="G448" s="3">
        <v>9000</v>
      </c>
      <c r="H448" s="3">
        <v>9000</v>
      </c>
      <c r="I448" s="3">
        <v>9000</v>
      </c>
      <c r="J448" s="3">
        <v>8250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S448" s="7"/>
    </row>
    <row r="449" spans="1:19" x14ac:dyDescent="0.2">
      <c r="A449" s="2" t="s">
        <v>264</v>
      </c>
      <c r="B449" s="2" t="s">
        <v>33</v>
      </c>
      <c r="C449" s="2" t="s">
        <v>34</v>
      </c>
      <c r="D449" s="2" t="s">
        <v>24</v>
      </c>
      <c r="E449" s="3">
        <v>0</v>
      </c>
      <c r="F449" s="3">
        <v>0</v>
      </c>
      <c r="G449" s="3">
        <v>38500</v>
      </c>
      <c r="H449" s="3">
        <v>66000</v>
      </c>
      <c r="I449" s="3">
        <v>66000</v>
      </c>
      <c r="J449" s="3">
        <v>57200</v>
      </c>
      <c r="K449" s="3">
        <v>24933.33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S449" s="7"/>
    </row>
    <row r="450" spans="1:19" x14ac:dyDescent="0.2">
      <c r="A450" s="2" t="s">
        <v>265</v>
      </c>
      <c r="B450" s="2" t="s">
        <v>33</v>
      </c>
      <c r="C450" s="2" t="s">
        <v>38</v>
      </c>
      <c r="D450" s="2" t="s">
        <v>24</v>
      </c>
      <c r="E450" s="3">
        <v>14879.669999999998</v>
      </c>
      <c r="F450" s="3">
        <v>15776.669999999995</v>
      </c>
      <c r="G450" s="3">
        <v>15069.400000000005</v>
      </c>
      <c r="H450" s="3">
        <v>9021.52</v>
      </c>
      <c r="I450" s="3">
        <v>9400</v>
      </c>
      <c r="J450" s="3">
        <v>8450</v>
      </c>
      <c r="K450" s="3">
        <v>6435</v>
      </c>
      <c r="L450" s="3">
        <v>780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S450" s="7"/>
    </row>
    <row r="451" spans="1:19" x14ac:dyDescent="0.2">
      <c r="A451" s="2" t="s">
        <v>266</v>
      </c>
      <c r="B451" s="2" t="s">
        <v>22</v>
      </c>
      <c r="C451" s="2" t="s">
        <v>36</v>
      </c>
      <c r="D451" s="2" t="s">
        <v>55</v>
      </c>
      <c r="E451" s="3">
        <v>10400</v>
      </c>
      <c r="F451" s="3">
        <v>10400</v>
      </c>
      <c r="G451" s="3">
        <v>10400</v>
      </c>
      <c r="H451" s="3">
        <v>10400</v>
      </c>
      <c r="I451" s="3">
        <v>10400</v>
      </c>
      <c r="J451" s="3">
        <v>10400</v>
      </c>
      <c r="K451" s="3">
        <v>10400</v>
      </c>
      <c r="L451" s="3">
        <v>10400</v>
      </c>
      <c r="M451" s="3">
        <v>10400</v>
      </c>
      <c r="N451" s="3">
        <v>10400</v>
      </c>
      <c r="O451" s="3">
        <v>1733.34</v>
      </c>
      <c r="P451" s="3">
        <v>0</v>
      </c>
      <c r="Q451" s="3">
        <v>0</v>
      </c>
      <c r="S451" s="7"/>
    </row>
    <row r="452" spans="1:19" x14ac:dyDescent="0.2">
      <c r="A452" s="2" t="s">
        <v>266</v>
      </c>
      <c r="B452" s="2" t="s">
        <v>22</v>
      </c>
      <c r="C452" s="2" t="s">
        <v>29</v>
      </c>
      <c r="D452" s="2" t="s">
        <v>55</v>
      </c>
      <c r="E452" s="3">
        <v>790.00000000000011</v>
      </c>
      <c r="F452" s="3">
        <v>790.00000000000011</v>
      </c>
      <c r="G452" s="3">
        <v>790.00000000000011</v>
      </c>
      <c r="H452" s="3">
        <v>790.00000000000011</v>
      </c>
      <c r="I452" s="3">
        <v>790.00000000000011</v>
      </c>
      <c r="J452" s="3">
        <v>790.00000000000011</v>
      </c>
      <c r="K452" s="3">
        <v>790.00000000000011</v>
      </c>
      <c r="L452" s="3">
        <v>790.00000000000011</v>
      </c>
      <c r="M452" s="3">
        <v>790.00000000000011</v>
      </c>
      <c r="N452" s="3">
        <v>790.00000000000011</v>
      </c>
      <c r="O452" s="3">
        <v>131.66</v>
      </c>
      <c r="P452" s="3">
        <v>0</v>
      </c>
      <c r="Q452" s="3">
        <v>0</v>
      </c>
      <c r="S452" s="7"/>
    </row>
    <row r="453" spans="1:19" x14ac:dyDescent="0.2">
      <c r="A453" s="2" t="s">
        <v>266</v>
      </c>
      <c r="B453" s="2" t="s">
        <v>33</v>
      </c>
      <c r="C453" s="2" t="s">
        <v>267</v>
      </c>
      <c r="D453" s="2" t="s">
        <v>55</v>
      </c>
      <c r="E453" s="3">
        <v>0</v>
      </c>
      <c r="F453" s="3">
        <v>1000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S453" s="7"/>
    </row>
    <row r="454" spans="1:19" x14ac:dyDescent="0.2">
      <c r="A454" s="2" t="s">
        <v>266</v>
      </c>
      <c r="B454" s="2" t="s">
        <v>22</v>
      </c>
      <c r="C454" s="2" t="s">
        <v>28</v>
      </c>
      <c r="D454" s="2" t="s">
        <v>55</v>
      </c>
      <c r="E454" s="3">
        <v>0</v>
      </c>
      <c r="F454" s="3">
        <v>0</v>
      </c>
      <c r="G454" s="3">
        <v>0</v>
      </c>
      <c r="H454" s="3">
        <v>1292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S454" s="7"/>
    </row>
    <row r="455" spans="1:19" x14ac:dyDescent="0.2">
      <c r="A455" s="2" t="s">
        <v>268</v>
      </c>
      <c r="B455" s="2" t="s">
        <v>33</v>
      </c>
      <c r="C455" s="2" t="s">
        <v>34</v>
      </c>
      <c r="D455" s="2" t="s">
        <v>24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1500</v>
      </c>
      <c r="O455" s="3">
        <v>0</v>
      </c>
      <c r="P455" s="3">
        <v>0</v>
      </c>
      <c r="Q455" s="3">
        <v>0</v>
      </c>
      <c r="S455" s="7"/>
    </row>
    <row r="456" spans="1:19" x14ac:dyDescent="0.2">
      <c r="A456" s="2" t="s">
        <v>269</v>
      </c>
      <c r="B456" s="2" t="s">
        <v>33</v>
      </c>
      <c r="C456" s="2" t="s">
        <v>34</v>
      </c>
      <c r="D456" s="2" t="s">
        <v>91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1500</v>
      </c>
      <c r="P456" s="3">
        <v>0</v>
      </c>
      <c r="Q456" s="3">
        <v>15750</v>
      </c>
      <c r="S456" s="7"/>
    </row>
    <row r="457" spans="1:19" x14ac:dyDescent="0.2">
      <c r="A457" s="2" t="s">
        <v>270</v>
      </c>
      <c r="B457" s="2" t="s">
        <v>22</v>
      </c>
      <c r="C457" s="2" t="s">
        <v>253</v>
      </c>
      <c r="D457" s="2" t="s">
        <v>24</v>
      </c>
      <c r="E457" s="3">
        <v>3172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S457" s="7"/>
    </row>
    <row r="458" spans="1:19" x14ac:dyDescent="0.2">
      <c r="A458" s="2" t="s">
        <v>271</v>
      </c>
      <c r="B458" s="2" t="s">
        <v>22</v>
      </c>
      <c r="C458" s="2" t="s">
        <v>36</v>
      </c>
      <c r="D458" s="2" t="s">
        <v>170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2100</v>
      </c>
      <c r="K458" s="3">
        <v>8400</v>
      </c>
      <c r="L458" s="3">
        <v>6300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S458" s="7"/>
    </row>
    <row r="459" spans="1:19" x14ac:dyDescent="0.2">
      <c r="A459" s="2" t="s">
        <v>271</v>
      </c>
      <c r="B459" s="2" t="s">
        <v>22</v>
      </c>
      <c r="C459" s="2" t="s">
        <v>29</v>
      </c>
      <c r="D459" s="2" t="s">
        <v>170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3">
        <v>1350</v>
      </c>
      <c r="K459" s="3">
        <v>5400</v>
      </c>
      <c r="L459" s="3">
        <v>4050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S459" s="7"/>
    </row>
    <row r="460" spans="1:19" x14ac:dyDescent="0.2">
      <c r="A460" s="2" t="s">
        <v>272</v>
      </c>
      <c r="B460" s="2" t="s">
        <v>33</v>
      </c>
      <c r="C460" s="2" t="s">
        <v>34</v>
      </c>
      <c r="D460" s="2" t="s">
        <v>24</v>
      </c>
      <c r="E460" s="3">
        <v>0</v>
      </c>
      <c r="F460" s="3">
        <v>0</v>
      </c>
      <c r="G460" s="3">
        <v>0</v>
      </c>
      <c r="H460" s="3">
        <v>201000</v>
      </c>
      <c r="I460" s="3">
        <v>198400</v>
      </c>
      <c r="J460" s="3">
        <v>269587</v>
      </c>
      <c r="K460" s="3">
        <v>148100</v>
      </c>
      <c r="L460" s="3">
        <v>159850</v>
      </c>
      <c r="M460" s="3">
        <v>152500</v>
      </c>
      <c r="N460" s="3">
        <v>146500</v>
      </c>
      <c r="O460" s="3">
        <v>130485</v>
      </c>
      <c r="P460" s="3">
        <v>0</v>
      </c>
      <c r="Q460" s="3">
        <v>0</v>
      </c>
      <c r="S460" s="7"/>
    </row>
    <row r="461" spans="1:19" x14ac:dyDescent="0.2">
      <c r="A461" s="2" t="s">
        <v>273</v>
      </c>
      <c r="B461" s="2" t="s">
        <v>33</v>
      </c>
      <c r="C461" s="2" t="s">
        <v>38</v>
      </c>
      <c r="D461" s="2" t="s">
        <v>24</v>
      </c>
      <c r="E461" s="3">
        <v>5400</v>
      </c>
      <c r="F461" s="3">
        <v>3600</v>
      </c>
      <c r="G461" s="3">
        <v>1200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S461" s="7"/>
    </row>
    <row r="462" spans="1:19" x14ac:dyDescent="0.2">
      <c r="A462" s="2" t="s">
        <v>273</v>
      </c>
      <c r="B462" s="2" t="s">
        <v>33</v>
      </c>
      <c r="C462" s="2" t="s">
        <v>34</v>
      </c>
      <c r="D462" s="2" t="s">
        <v>24</v>
      </c>
      <c r="E462" s="3">
        <v>392050</v>
      </c>
      <c r="F462" s="3">
        <v>389250</v>
      </c>
      <c r="G462" s="3">
        <v>396400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S462" s="7"/>
    </row>
    <row r="463" spans="1:19" x14ac:dyDescent="0.2">
      <c r="A463" s="2" t="s">
        <v>273</v>
      </c>
      <c r="B463" s="2" t="s">
        <v>52</v>
      </c>
      <c r="C463" s="2" t="s">
        <v>53</v>
      </c>
      <c r="D463" s="2" t="s">
        <v>24</v>
      </c>
      <c r="E463" s="3">
        <v>13750</v>
      </c>
      <c r="F463" s="3">
        <v>13800</v>
      </c>
      <c r="G463" s="3">
        <v>10350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S463" s="7"/>
    </row>
    <row r="464" spans="1:19" x14ac:dyDescent="0.2">
      <c r="A464" s="2" t="s">
        <v>274</v>
      </c>
      <c r="B464" s="2" t="s">
        <v>22</v>
      </c>
      <c r="C464" s="2" t="s">
        <v>50</v>
      </c>
      <c r="D464" s="2" t="s">
        <v>27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14733.55322338831</v>
      </c>
      <c r="S464" s="7"/>
    </row>
    <row r="465" spans="1:19" x14ac:dyDescent="0.2">
      <c r="A465" s="2" t="s">
        <v>275</v>
      </c>
      <c r="B465" s="2" t="s">
        <v>33</v>
      </c>
      <c r="C465" s="2" t="s">
        <v>34</v>
      </c>
      <c r="D465" s="2" t="s">
        <v>24</v>
      </c>
      <c r="E465" s="3">
        <v>49860</v>
      </c>
      <c r="F465" s="3">
        <v>49860</v>
      </c>
      <c r="G465" s="3">
        <v>42700</v>
      </c>
      <c r="H465" s="3">
        <v>19560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S465" s="7"/>
    </row>
    <row r="466" spans="1:19" x14ac:dyDescent="0.2">
      <c r="A466" s="2" t="s">
        <v>275</v>
      </c>
      <c r="B466" s="2" t="s">
        <v>22</v>
      </c>
      <c r="C466" s="2" t="s">
        <v>26</v>
      </c>
      <c r="D466" s="2" t="s">
        <v>24</v>
      </c>
      <c r="E466" s="3">
        <v>15099.999999999998</v>
      </c>
      <c r="F466" s="3">
        <v>15099.999999999998</v>
      </c>
      <c r="G466" s="3">
        <v>15099.999999999998</v>
      </c>
      <c r="H466" s="3">
        <v>5033.32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S466" s="7"/>
    </row>
    <row r="467" spans="1:19" x14ac:dyDescent="0.2">
      <c r="A467" s="2" t="s">
        <v>275</v>
      </c>
      <c r="B467" s="2" t="s">
        <v>22</v>
      </c>
      <c r="C467" s="2" t="s">
        <v>29</v>
      </c>
      <c r="D467" s="2" t="s">
        <v>24</v>
      </c>
      <c r="E467" s="3">
        <v>2100</v>
      </c>
      <c r="F467" s="3">
        <v>2100</v>
      </c>
      <c r="G467" s="3">
        <v>2100</v>
      </c>
      <c r="H467" s="3">
        <v>700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S467" s="7"/>
    </row>
    <row r="468" spans="1:19" x14ac:dyDescent="0.2">
      <c r="A468" s="2" t="s">
        <v>276</v>
      </c>
      <c r="B468" s="2" t="s">
        <v>22</v>
      </c>
      <c r="C468" s="2" t="s">
        <v>29</v>
      </c>
      <c r="D468" s="2" t="s">
        <v>57</v>
      </c>
      <c r="E468" s="3">
        <v>6902.7899999999991</v>
      </c>
      <c r="F468" s="3">
        <v>3721.1999999999994</v>
      </c>
      <c r="G468" s="3">
        <v>1551.4800000000005</v>
      </c>
      <c r="H468" s="3">
        <v>827.11</v>
      </c>
      <c r="I468" s="3">
        <v>795.43000000000029</v>
      </c>
      <c r="J468" s="3">
        <v>790.81000000000017</v>
      </c>
      <c r="K468" s="3">
        <v>762.5200000000001</v>
      </c>
      <c r="L468" s="3">
        <v>63.33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S468" s="7"/>
    </row>
    <row r="469" spans="1:19" x14ac:dyDescent="0.2">
      <c r="A469" s="2" t="s">
        <v>276</v>
      </c>
      <c r="B469" s="2" t="s">
        <v>33</v>
      </c>
      <c r="C469" s="2" t="s">
        <v>277</v>
      </c>
      <c r="D469" s="2" t="s">
        <v>57</v>
      </c>
      <c r="E469" s="3">
        <v>801.5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S469" s="7"/>
    </row>
    <row r="470" spans="1:19" x14ac:dyDescent="0.2">
      <c r="A470" s="2" t="s">
        <v>276</v>
      </c>
      <c r="B470" s="2" t="s">
        <v>33</v>
      </c>
      <c r="C470" s="2" t="s">
        <v>34</v>
      </c>
      <c r="D470" s="2" t="s">
        <v>57</v>
      </c>
      <c r="E470" s="3">
        <v>11146.439999999999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S470" s="7"/>
    </row>
    <row r="471" spans="1:19" x14ac:dyDescent="0.2">
      <c r="A471" s="2" t="s">
        <v>278</v>
      </c>
      <c r="B471" s="2" t="s">
        <v>22</v>
      </c>
      <c r="C471" s="2" t="s">
        <v>50</v>
      </c>
      <c r="D471" s="2" t="s">
        <v>24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25310</v>
      </c>
      <c r="S471" s="7"/>
    </row>
    <row r="472" spans="1:19" x14ac:dyDescent="0.2">
      <c r="A472" s="2" t="s">
        <v>278</v>
      </c>
      <c r="B472" s="2" t="s">
        <v>22</v>
      </c>
      <c r="C472" s="2" t="s">
        <v>29</v>
      </c>
      <c r="D472" s="2" t="s">
        <v>24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10530</v>
      </c>
      <c r="S472" s="7"/>
    </row>
    <row r="473" spans="1:19" x14ac:dyDescent="0.2">
      <c r="A473" s="2" t="s">
        <v>279</v>
      </c>
      <c r="B473" s="2" t="s">
        <v>22</v>
      </c>
      <c r="C473" s="2" t="s">
        <v>63</v>
      </c>
      <c r="D473" s="2" t="s">
        <v>24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58030</v>
      </c>
      <c r="S473" s="7"/>
    </row>
    <row r="474" spans="1:19" x14ac:dyDescent="0.2">
      <c r="A474" s="2" t="s">
        <v>279</v>
      </c>
      <c r="B474" s="2" t="s">
        <v>22</v>
      </c>
      <c r="C474" s="2" t="s">
        <v>29</v>
      </c>
      <c r="D474" s="2" t="s">
        <v>24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11340</v>
      </c>
      <c r="S474" s="7"/>
    </row>
    <row r="475" spans="1:19" x14ac:dyDescent="0.2">
      <c r="A475" s="2" t="s">
        <v>280</v>
      </c>
      <c r="B475" s="2" t="s">
        <v>22</v>
      </c>
      <c r="C475" s="2" t="s">
        <v>63</v>
      </c>
      <c r="D475" s="2" t="s">
        <v>45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2277.3100000000004</v>
      </c>
      <c r="O475" s="3">
        <v>11245.872136752138</v>
      </c>
      <c r="P475" s="3">
        <v>0</v>
      </c>
      <c r="Q475" s="3">
        <v>0</v>
      </c>
      <c r="S475" s="7"/>
    </row>
    <row r="476" spans="1:19" x14ac:dyDescent="0.2">
      <c r="A476" s="2" t="s">
        <v>281</v>
      </c>
      <c r="B476" s="2" t="s">
        <v>33</v>
      </c>
      <c r="C476" s="2" t="s">
        <v>38</v>
      </c>
      <c r="D476" s="2" t="s">
        <v>45</v>
      </c>
      <c r="E476" s="3">
        <v>9000</v>
      </c>
      <c r="F476" s="3">
        <v>4500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S476" s="7"/>
    </row>
    <row r="477" spans="1:19" x14ac:dyDescent="0.2">
      <c r="A477" s="2" t="s">
        <v>282</v>
      </c>
      <c r="B477" s="2" t="s">
        <v>33</v>
      </c>
      <c r="C477" s="2" t="s">
        <v>34</v>
      </c>
      <c r="D477" s="2" t="s">
        <v>24</v>
      </c>
      <c r="E477" s="3">
        <v>108840</v>
      </c>
      <c r="F477" s="3">
        <v>58520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S477" s="7"/>
    </row>
    <row r="478" spans="1:19" x14ac:dyDescent="0.2">
      <c r="A478" s="2" t="s">
        <v>283</v>
      </c>
      <c r="B478" s="2" t="s">
        <v>52</v>
      </c>
      <c r="C478" s="2" t="s">
        <v>53</v>
      </c>
      <c r="D478" s="2" t="s">
        <v>69</v>
      </c>
      <c r="E478" s="3">
        <v>5250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S478" s="7"/>
    </row>
    <row r="479" spans="1:19" x14ac:dyDescent="0.2">
      <c r="A479" s="2" t="s">
        <v>284</v>
      </c>
      <c r="B479" s="2" t="s">
        <v>22</v>
      </c>
      <c r="C479" s="2" t="s">
        <v>36</v>
      </c>
      <c r="D479" s="2" t="s">
        <v>113</v>
      </c>
      <c r="E479" s="3">
        <v>7557.2999999999993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S479" s="7"/>
    </row>
    <row r="480" spans="1:19" x14ac:dyDescent="0.2">
      <c r="A480" s="2" t="s">
        <v>285</v>
      </c>
      <c r="B480" s="2" t="s">
        <v>22</v>
      </c>
      <c r="C480" s="2" t="s">
        <v>23</v>
      </c>
      <c r="D480" s="2" t="s">
        <v>57</v>
      </c>
      <c r="E480" s="3">
        <v>30000</v>
      </c>
      <c r="F480" s="3">
        <v>25000</v>
      </c>
      <c r="G480" s="3">
        <v>35000</v>
      </c>
      <c r="H480" s="3">
        <v>30000</v>
      </c>
      <c r="I480" s="3">
        <v>30000</v>
      </c>
      <c r="J480" s="3">
        <v>30000</v>
      </c>
      <c r="K480" s="3">
        <v>30000</v>
      </c>
      <c r="L480" s="3">
        <v>25000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S480" s="7"/>
    </row>
    <row r="481" spans="1:19" x14ac:dyDescent="0.2">
      <c r="A481" s="2" t="s">
        <v>285</v>
      </c>
      <c r="B481" s="2" t="s">
        <v>22</v>
      </c>
      <c r="C481" s="2" t="s">
        <v>39</v>
      </c>
      <c r="D481" s="2" t="s">
        <v>57</v>
      </c>
      <c r="E481" s="3">
        <v>41250</v>
      </c>
      <c r="F481" s="3">
        <v>37812.5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S481" s="7"/>
    </row>
    <row r="482" spans="1:19" x14ac:dyDescent="0.2">
      <c r="A482" s="2" t="s">
        <v>285</v>
      </c>
      <c r="B482" s="2" t="s">
        <v>22</v>
      </c>
      <c r="C482" s="2" t="s">
        <v>29</v>
      </c>
      <c r="D482" s="2" t="s">
        <v>57</v>
      </c>
      <c r="E482" s="3">
        <v>7020</v>
      </c>
      <c r="F482" s="3">
        <v>5100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S482" s="7"/>
    </row>
    <row r="483" spans="1:19" x14ac:dyDescent="0.2">
      <c r="A483" s="2" t="s">
        <v>286</v>
      </c>
      <c r="B483" s="2" t="s">
        <v>22</v>
      </c>
      <c r="C483" s="2" t="s">
        <v>36</v>
      </c>
      <c r="D483" s="2" t="s">
        <v>57</v>
      </c>
      <c r="E483" s="3">
        <v>8100</v>
      </c>
      <c r="F483" s="3">
        <v>8100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S483" s="7"/>
    </row>
    <row r="484" spans="1:19" x14ac:dyDescent="0.2">
      <c r="A484" s="2" t="s">
        <v>287</v>
      </c>
      <c r="B484" s="2" t="s">
        <v>33</v>
      </c>
      <c r="C484" s="2" t="s">
        <v>34</v>
      </c>
      <c r="D484" s="2" t="s">
        <v>57</v>
      </c>
      <c r="E484" s="3">
        <v>94800</v>
      </c>
      <c r="F484" s="3">
        <v>94800</v>
      </c>
      <c r="G484" s="3">
        <v>94800</v>
      </c>
      <c r="H484" s="3">
        <v>94800</v>
      </c>
      <c r="I484" s="3">
        <v>94800</v>
      </c>
      <c r="J484" s="3">
        <v>47400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S484" s="7"/>
    </row>
    <row r="485" spans="1:19" x14ac:dyDescent="0.2">
      <c r="A485" s="2" t="s">
        <v>288</v>
      </c>
      <c r="B485" s="2" t="s">
        <v>33</v>
      </c>
      <c r="C485" s="2" t="s">
        <v>34</v>
      </c>
      <c r="D485" s="2" t="s">
        <v>27</v>
      </c>
      <c r="E485" s="3">
        <v>55662.33</v>
      </c>
      <c r="F485" s="3">
        <v>10616.579999999998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S485" s="7"/>
    </row>
    <row r="486" spans="1:19" x14ac:dyDescent="0.2">
      <c r="A486" s="2" t="s">
        <v>288</v>
      </c>
      <c r="B486" s="2" t="s">
        <v>33</v>
      </c>
      <c r="C486" s="2" t="s">
        <v>277</v>
      </c>
      <c r="D486" s="2" t="s">
        <v>27</v>
      </c>
      <c r="E486" s="3">
        <v>915.98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S486" s="7"/>
    </row>
    <row r="487" spans="1:19" x14ac:dyDescent="0.2">
      <c r="A487" s="2" t="s">
        <v>289</v>
      </c>
      <c r="B487" s="2" t="s">
        <v>22</v>
      </c>
      <c r="C487" s="2" t="s">
        <v>26</v>
      </c>
      <c r="D487" s="2" t="s">
        <v>45</v>
      </c>
      <c r="E487" s="3">
        <v>17582.899999999994</v>
      </c>
      <c r="F487" s="3">
        <v>16407.699999999997</v>
      </c>
      <c r="G487" s="3">
        <v>15549.380000000003</v>
      </c>
      <c r="H487" s="3">
        <v>18786.730000000003</v>
      </c>
      <c r="I487" s="3">
        <v>15561.499999999998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S487" s="7"/>
    </row>
    <row r="488" spans="1:19" x14ac:dyDescent="0.2">
      <c r="A488" s="2" t="s">
        <v>289</v>
      </c>
      <c r="B488" s="2" t="s">
        <v>22</v>
      </c>
      <c r="C488" s="2" t="s">
        <v>29</v>
      </c>
      <c r="D488" s="2" t="s">
        <v>45</v>
      </c>
      <c r="E488" s="3">
        <v>1004.7399999999998</v>
      </c>
      <c r="F488" s="3">
        <v>937.57999999999993</v>
      </c>
      <c r="G488" s="3">
        <v>888.52</v>
      </c>
      <c r="H488" s="3">
        <v>1073.58</v>
      </c>
      <c r="I488" s="3">
        <v>889.19999999999982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S488" s="7"/>
    </row>
    <row r="489" spans="1:19" x14ac:dyDescent="0.2">
      <c r="A489" s="2" t="s">
        <v>290</v>
      </c>
      <c r="B489" s="2" t="s">
        <v>22</v>
      </c>
      <c r="C489" s="2" t="s">
        <v>28</v>
      </c>
      <c r="D489" s="2" t="s">
        <v>27</v>
      </c>
      <c r="E489" s="3">
        <v>0</v>
      </c>
      <c r="F489" s="3">
        <v>0</v>
      </c>
      <c r="G489" s="3">
        <v>850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S489" s="7"/>
    </row>
    <row r="490" spans="1:19" x14ac:dyDescent="0.2">
      <c r="A490" s="2" t="s">
        <v>291</v>
      </c>
      <c r="B490" s="2" t="s">
        <v>22</v>
      </c>
      <c r="C490" s="2" t="s">
        <v>36</v>
      </c>
      <c r="D490" s="2" t="s">
        <v>45</v>
      </c>
      <c r="E490" s="3">
        <v>863.1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S490" s="7"/>
    </row>
    <row r="491" spans="1:19" x14ac:dyDescent="0.2">
      <c r="A491" s="2" t="s">
        <v>292</v>
      </c>
      <c r="B491" s="2" t="s">
        <v>33</v>
      </c>
      <c r="C491" s="2" t="s">
        <v>34</v>
      </c>
      <c r="D491" s="2" t="s">
        <v>91</v>
      </c>
      <c r="E491" s="3">
        <v>9696.99</v>
      </c>
      <c r="F491" s="3">
        <v>714.25</v>
      </c>
      <c r="G491" s="3">
        <v>8701.159999999998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951.04</v>
      </c>
      <c r="O491" s="3">
        <v>-951.04</v>
      </c>
      <c r="P491" s="3">
        <v>0</v>
      </c>
      <c r="Q491" s="3">
        <v>0</v>
      </c>
      <c r="S491" s="7"/>
    </row>
    <row r="492" spans="1:19" x14ac:dyDescent="0.2">
      <c r="A492" s="2" t="s">
        <v>292</v>
      </c>
      <c r="B492" s="2" t="s">
        <v>33</v>
      </c>
      <c r="C492" s="2" t="s">
        <v>277</v>
      </c>
      <c r="D492" s="2" t="s">
        <v>91</v>
      </c>
      <c r="E492" s="3">
        <v>2400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S492" s="7"/>
    </row>
    <row r="493" spans="1:19" x14ac:dyDescent="0.2">
      <c r="A493" s="2" t="s">
        <v>293</v>
      </c>
      <c r="B493" s="2" t="s">
        <v>33</v>
      </c>
      <c r="C493" s="2" t="s">
        <v>34</v>
      </c>
      <c r="D493" s="2" t="s">
        <v>24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900</v>
      </c>
      <c r="O493" s="3">
        <v>0</v>
      </c>
      <c r="P493" s="3">
        <v>0</v>
      </c>
      <c r="Q493" s="3">
        <v>0</v>
      </c>
      <c r="S493" s="7"/>
    </row>
    <row r="494" spans="1:19" x14ac:dyDescent="0.2">
      <c r="A494" s="2" t="s">
        <v>294</v>
      </c>
      <c r="B494" s="2" t="s">
        <v>22</v>
      </c>
      <c r="C494" s="2" t="s">
        <v>26</v>
      </c>
      <c r="D494" s="2" t="s">
        <v>66</v>
      </c>
      <c r="E494" s="3">
        <v>4513.9500000000007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S494" s="7"/>
    </row>
    <row r="495" spans="1:19" x14ac:dyDescent="0.2">
      <c r="A495" s="2" t="s">
        <v>294</v>
      </c>
      <c r="B495" s="2" t="s">
        <v>22</v>
      </c>
      <c r="C495" s="2" t="s">
        <v>29</v>
      </c>
      <c r="D495" s="2" t="s">
        <v>66</v>
      </c>
      <c r="E495" s="3">
        <v>580.38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S495" s="7"/>
    </row>
    <row r="496" spans="1:19" x14ac:dyDescent="0.2">
      <c r="A496" s="2" t="s">
        <v>295</v>
      </c>
      <c r="B496" s="2" t="s">
        <v>33</v>
      </c>
      <c r="C496" s="2" t="s">
        <v>48</v>
      </c>
      <c r="D496" s="2" t="s">
        <v>91</v>
      </c>
      <c r="E496" s="3">
        <v>76160</v>
      </c>
      <c r="F496" s="3">
        <v>89985</v>
      </c>
      <c r="G496" s="3">
        <v>70216.66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S496" s="7"/>
    </row>
    <row r="497" spans="1:19" x14ac:dyDescent="0.2">
      <c r="A497" s="2" t="s">
        <v>295</v>
      </c>
      <c r="B497" s="2" t="s">
        <v>33</v>
      </c>
      <c r="C497" s="2" t="s">
        <v>34</v>
      </c>
      <c r="D497" s="2" t="s">
        <v>91</v>
      </c>
      <c r="E497" s="3">
        <v>2500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S497" s="7"/>
    </row>
    <row r="498" spans="1:19" x14ac:dyDescent="0.2">
      <c r="A498" s="2" t="s">
        <v>296</v>
      </c>
      <c r="B498" s="2" t="s">
        <v>22</v>
      </c>
      <c r="C498" s="2" t="s">
        <v>26</v>
      </c>
      <c r="D498" s="2" t="s">
        <v>91</v>
      </c>
      <c r="E498" s="3">
        <v>17540.130000000005</v>
      </c>
      <c r="F498" s="3">
        <v>16634.800000000003</v>
      </c>
      <c r="G498" s="3">
        <v>15182.790000000003</v>
      </c>
      <c r="H498" s="3">
        <v>17745.570000000003</v>
      </c>
      <c r="I498" s="3">
        <v>16975.200000000004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S498" s="7"/>
    </row>
    <row r="499" spans="1:19" x14ac:dyDescent="0.2">
      <c r="A499" s="2" t="s">
        <v>297</v>
      </c>
      <c r="B499" s="2" t="s">
        <v>22</v>
      </c>
      <c r="C499" s="2" t="s">
        <v>26</v>
      </c>
      <c r="D499" s="2" t="s">
        <v>69</v>
      </c>
      <c r="E499" s="3">
        <v>17326.05</v>
      </c>
      <c r="F499" s="3">
        <v>15693.300000000003</v>
      </c>
      <c r="G499" s="3">
        <v>15422.400000000003</v>
      </c>
      <c r="H499" s="3">
        <v>17675.280000000002</v>
      </c>
      <c r="I499" s="3">
        <v>18641.280000000002</v>
      </c>
      <c r="J499" s="3">
        <v>18557.699999999997</v>
      </c>
      <c r="K499" s="3">
        <v>17895.149999999998</v>
      </c>
      <c r="L499" s="3">
        <v>18969.93</v>
      </c>
      <c r="M499" s="3">
        <v>17554.530000000006</v>
      </c>
      <c r="N499" s="3">
        <v>20339.089999999997</v>
      </c>
      <c r="O499" s="3">
        <v>0</v>
      </c>
      <c r="P499" s="3">
        <v>0</v>
      </c>
      <c r="Q499" s="3">
        <v>0</v>
      </c>
      <c r="S499" s="7"/>
    </row>
    <row r="500" spans="1:19" x14ac:dyDescent="0.2">
      <c r="A500" s="2" t="s">
        <v>297</v>
      </c>
      <c r="B500" s="2" t="s">
        <v>22</v>
      </c>
      <c r="C500" s="2" t="s">
        <v>28</v>
      </c>
      <c r="D500" s="2" t="s">
        <v>69</v>
      </c>
      <c r="E500" s="3">
        <v>0</v>
      </c>
      <c r="F500" s="3">
        <v>7800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S500" s="7"/>
    </row>
    <row r="501" spans="1:19" x14ac:dyDescent="0.2">
      <c r="A501" s="2" t="s">
        <v>297</v>
      </c>
      <c r="B501" s="2" t="s">
        <v>33</v>
      </c>
      <c r="C501" s="2" t="s">
        <v>34</v>
      </c>
      <c r="D501" s="2" t="s">
        <v>69</v>
      </c>
      <c r="E501" s="3">
        <v>7800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S501" s="7"/>
    </row>
    <row r="502" spans="1:19" x14ac:dyDescent="0.2">
      <c r="A502" s="2" t="s">
        <v>298</v>
      </c>
      <c r="B502" s="2" t="s">
        <v>22</v>
      </c>
      <c r="C502" s="2" t="s">
        <v>28</v>
      </c>
      <c r="D502" s="2" t="s">
        <v>69</v>
      </c>
      <c r="E502" s="3">
        <v>1679.49</v>
      </c>
      <c r="F502" s="3">
        <v>8272.09</v>
      </c>
      <c r="G502" s="3">
        <v>9410.52</v>
      </c>
      <c r="H502" s="3">
        <v>10021.349999999999</v>
      </c>
      <c r="I502" s="3">
        <v>5871.9499999999989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S502" s="7"/>
    </row>
    <row r="503" spans="1:19" x14ac:dyDescent="0.2">
      <c r="A503" s="2" t="s">
        <v>298</v>
      </c>
      <c r="B503" s="2" t="s">
        <v>33</v>
      </c>
      <c r="C503" s="2" t="s">
        <v>34</v>
      </c>
      <c r="D503" s="2" t="s">
        <v>69</v>
      </c>
      <c r="E503" s="3">
        <v>962.7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S503" s="7"/>
    </row>
    <row r="504" spans="1:19" x14ac:dyDescent="0.2">
      <c r="A504" s="2" t="s">
        <v>299</v>
      </c>
      <c r="B504" s="2" t="s">
        <v>22</v>
      </c>
      <c r="C504" s="2" t="s">
        <v>36</v>
      </c>
      <c r="D504" s="2" t="s">
        <v>45</v>
      </c>
      <c r="E504" s="3">
        <v>9938.0000000000018</v>
      </c>
      <c r="F504" s="3">
        <v>9183.6000000000022</v>
      </c>
      <c r="G504" s="3">
        <v>9259.2000000000025</v>
      </c>
      <c r="H504" s="3">
        <v>9931.2000000000025</v>
      </c>
      <c r="I504" s="3">
        <v>10447.200000000003</v>
      </c>
      <c r="J504" s="3">
        <v>10392.200000000003</v>
      </c>
      <c r="K504" s="3">
        <v>10411.640000000001</v>
      </c>
      <c r="L504" s="3">
        <v>13028.17</v>
      </c>
      <c r="M504" s="3">
        <v>11423.179999999998</v>
      </c>
      <c r="N504" s="3">
        <v>0</v>
      </c>
      <c r="O504" s="3">
        <v>0</v>
      </c>
      <c r="P504" s="3">
        <v>11929.359999999999</v>
      </c>
      <c r="Q504" s="3">
        <v>0</v>
      </c>
      <c r="S504" s="7"/>
    </row>
    <row r="505" spans="1:19" x14ac:dyDescent="0.2">
      <c r="A505" s="2" t="s">
        <v>299</v>
      </c>
      <c r="B505" s="2" t="s">
        <v>22</v>
      </c>
      <c r="C505" s="2" t="s">
        <v>29</v>
      </c>
      <c r="D505" s="2" t="s">
        <v>45</v>
      </c>
      <c r="E505" s="3">
        <v>0</v>
      </c>
      <c r="F505" s="3">
        <v>0</v>
      </c>
      <c r="G505" s="3">
        <v>1388.8799999999999</v>
      </c>
      <c r="H505" s="3">
        <v>1489.6599999999996</v>
      </c>
      <c r="I505" s="3">
        <v>1567.1099999999997</v>
      </c>
      <c r="J505" s="3">
        <v>1558.8100000000004</v>
      </c>
      <c r="K505" s="3">
        <v>1561.7500000000005</v>
      </c>
      <c r="L505" s="3">
        <v>1746.6299999999999</v>
      </c>
      <c r="M505" s="3">
        <v>1090.6400000000001</v>
      </c>
      <c r="N505" s="3">
        <v>0</v>
      </c>
      <c r="O505" s="3">
        <v>0</v>
      </c>
      <c r="P505" s="3">
        <v>1788.77</v>
      </c>
      <c r="Q505" s="3">
        <v>0</v>
      </c>
      <c r="S505" s="7"/>
    </row>
    <row r="506" spans="1:19" x14ac:dyDescent="0.2">
      <c r="A506" s="2" t="s">
        <v>300</v>
      </c>
      <c r="B506" s="2" t="s">
        <v>33</v>
      </c>
      <c r="C506" s="2" t="s">
        <v>34</v>
      </c>
      <c r="D506" s="2" t="s">
        <v>97</v>
      </c>
      <c r="E506" s="3">
        <v>19605.18</v>
      </c>
      <c r="F506" s="3">
        <v>29605.329999999998</v>
      </c>
      <c r="G506" s="3">
        <v>33679.71</v>
      </c>
      <c r="H506" s="3">
        <v>35865.81</v>
      </c>
      <c r="I506" s="3">
        <v>40841.630000000005</v>
      </c>
      <c r="J506" s="3">
        <v>38216.390000000007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S506" s="7"/>
    </row>
    <row r="507" spans="1:19" x14ac:dyDescent="0.2">
      <c r="A507" s="2" t="s">
        <v>300</v>
      </c>
      <c r="B507" s="2" t="s">
        <v>22</v>
      </c>
      <c r="C507" s="2" t="s">
        <v>26</v>
      </c>
      <c r="D507" s="2" t="s">
        <v>97</v>
      </c>
      <c r="E507" s="3">
        <v>17562.999999999996</v>
      </c>
      <c r="F507" s="3">
        <v>16307.900000000001</v>
      </c>
      <c r="G507" s="3">
        <v>15522.78</v>
      </c>
      <c r="H507" s="3">
        <v>18653.73</v>
      </c>
      <c r="I507" s="3">
        <v>18625.25</v>
      </c>
      <c r="J507" s="3">
        <v>15318.600000000002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S507" s="7"/>
    </row>
    <row r="508" spans="1:19" x14ac:dyDescent="0.2">
      <c r="A508" s="2" t="s">
        <v>300</v>
      </c>
      <c r="B508" s="2" t="s">
        <v>22</v>
      </c>
      <c r="C508" s="2" t="s">
        <v>29</v>
      </c>
      <c r="D508" s="2" t="s">
        <v>97</v>
      </c>
      <c r="E508" s="3">
        <v>2383.5</v>
      </c>
      <c r="F508" s="3">
        <v>2213.29</v>
      </c>
      <c r="G508" s="3">
        <v>2106.63</v>
      </c>
      <c r="H508" s="3">
        <v>2531.61</v>
      </c>
      <c r="I508" s="3">
        <v>2666.3300000000004</v>
      </c>
      <c r="J508" s="3">
        <v>2771.9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S508" s="7"/>
    </row>
    <row r="509" spans="1:19" x14ac:dyDescent="0.2">
      <c r="A509" s="2" t="s">
        <v>301</v>
      </c>
      <c r="B509" s="2" t="s">
        <v>33</v>
      </c>
      <c r="C509" s="2" t="s">
        <v>34</v>
      </c>
      <c r="D509" s="2" t="s">
        <v>45</v>
      </c>
      <c r="E509" s="3">
        <v>24096.27</v>
      </c>
      <c r="F509" s="3">
        <v>22014.55</v>
      </c>
      <c r="G509" s="3">
        <v>12719.69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S509" s="7"/>
    </row>
    <row r="510" spans="1:19" x14ac:dyDescent="0.2">
      <c r="A510" s="2" t="s">
        <v>301</v>
      </c>
      <c r="B510" s="2" t="s">
        <v>22</v>
      </c>
      <c r="C510" s="2" t="s">
        <v>253</v>
      </c>
      <c r="D510" s="2" t="s">
        <v>45</v>
      </c>
      <c r="E510" s="3">
        <v>0</v>
      </c>
      <c r="F510" s="3">
        <v>0</v>
      </c>
      <c r="G510" s="3">
        <v>183105</v>
      </c>
      <c r="H510" s="3">
        <v>205215.74999999997</v>
      </c>
      <c r="I510" s="3">
        <v>182685.25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S510" s="7"/>
    </row>
    <row r="511" spans="1:19" x14ac:dyDescent="0.2">
      <c r="A511" s="2" t="s">
        <v>302</v>
      </c>
      <c r="B511" s="2" t="s">
        <v>33</v>
      </c>
      <c r="C511" s="2" t="s">
        <v>34</v>
      </c>
      <c r="D511" s="2" t="s">
        <v>24</v>
      </c>
      <c r="E511" s="3">
        <v>2200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S511" s="7"/>
    </row>
    <row r="512" spans="1:19" x14ac:dyDescent="0.2">
      <c r="A512" s="2" t="s">
        <v>302</v>
      </c>
      <c r="B512" s="2" t="s">
        <v>52</v>
      </c>
      <c r="C512" s="2" t="s">
        <v>53</v>
      </c>
      <c r="D512" s="2" t="s">
        <v>24</v>
      </c>
      <c r="E512" s="3">
        <v>3500</v>
      </c>
      <c r="F512" s="3">
        <v>14150</v>
      </c>
      <c r="G512" s="3">
        <v>45600</v>
      </c>
      <c r="H512" s="3">
        <v>26600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S512" s="7"/>
    </row>
    <row r="513" spans="1:19" x14ac:dyDescent="0.2">
      <c r="A513" s="2" t="s">
        <v>302</v>
      </c>
      <c r="B513" s="2" t="s">
        <v>22</v>
      </c>
      <c r="C513" s="2" t="s">
        <v>39</v>
      </c>
      <c r="D513" s="2" t="s">
        <v>24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47130</v>
      </c>
      <c r="S513" s="7"/>
    </row>
    <row r="514" spans="1:19" x14ac:dyDescent="0.2">
      <c r="A514" s="2" t="s">
        <v>302</v>
      </c>
      <c r="B514" s="2" t="s">
        <v>22</v>
      </c>
      <c r="C514" s="2" t="s">
        <v>29</v>
      </c>
      <c r="D514" s="2" t="s">
        <v>24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11380</v>
      </c>
      <c r="S514" s="7"/>
    </row>
    <row r="515" spans="1:19" x14ac:dyDescent="0.2">
      <c r="A515" s="2" t="s">
        <v>303</v>
      </c>
      <c r="B515" s="2" t="s">
        <v>33</v>
      </c>
      <c r="C515" s="2" t="s">
        <v>34</v>
      </c>
      <c r="D515" s="2" t="s">
        <v>69</v>
      </c>
      <c r="E515" s="3">
        <v>162785</v>
      </c>
      <c r="F515" s="3">
        <v>144540</v>
      </c>
      <c r="G515" s="3">
        <v>140620</v>
      </c>
      <c r="H515" s="3">
        <v>131955</v>
      </c>
      <c r="I515" s="3">
        <v>130535</v>
      </c>
      <c r="J515" s="3">
        <v>133620</v>
      </c>
      <c r="K515" s="3">
        <v>133620</v>
      </c>
      <c r="L515" s="3">
        <v>133620</v>
      </c>
      <c r="M515" s="3">
        <v>136290</v>
      </c>
      <c r="N515" s="3">
        <v>145743</v>
      </c>
      <c r="O515" s="3">
        <v>100048</v>
      </c>
      <c r="P515" s="3">
        <v>0</v>
      </c>
      <c r="Q515" s="3">
        <v>0</v>
      </c>
      <c r="S515" s="7"/>
    </row>
    <row r="516" spans="1:19" x14ac:dyDescent="0.2">
      <c r="A516" s="2" t="s">
        <v>304</v>
      </c>
      <c r="B516" s="2" t="s">
        <v>33</v>
      </c>
      <c r="C516" s="2" t="s">
        <v>34</v>
      </c>
      <c r="D516" s="2" t="s">
        <v>24</v>
      </c>
      <c r="E516" s="3">
        <v>0</v>
      </c>
      <c r="F516" s="3">
        <v>0</v>
      </c>
      <c r="G516" s="3">
        <v>0</v>
      </c>
      <c r="H516" s="3">
        <v>70004.84</v>
      </c>
      <c r="I516" s="3">
        <v>72000</v>
      </c>
      <c r="J516" s="3">
        <v>39000</v>
      </c>
      <c r="K516" s="3">
        <v>39000</v>
      </c>
      <c r="L516" s="3">
        <v>32500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S516" s="7"/>
    </row>
    <row r="517" spans="1:19" x14ac:dyDescent="0.2">
      <c r="A517" s="2" t="s">
        <v>305</v>
      </c>
      <c r="B517" s="2" t="s">
        <v>22</v>
      </c>
      <c r="C517" s="2" t="s">
        <v>23</v>
      </c>
      <c r="D517" s="2" t="s">
        <v>24</v>
      </c>
      <c r="E517" s="3">
        <v>15000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S517" s="7"/>
    </row>
    <row r="518" spans="1:19" x14ac:dyDescent="0.2">
      <c r="A518" s="2" t="s">
        <v>305</v>
      </c>
      <c r="B518" s="2" t="s">
        <v>22</v>
      </c>
      <c r="C518" s="2" t="s">
        <v>39</v>
      </c>
      <c r="D518" s="2" t="s">
        <v>24</v>
      </c>
      <c r="E518" s="3">
        <v>20100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S518" s="7"/>
    </row>
    <row r="519" spans="1:19" x14ac:dyDescent="0.2">
      <c r="A519" s="2" t="s">
        <v>305</v>
      </c>
      <c r="B519" s="2" t="s">
        <v>22</v>
      </c>
      <c r="C519" s="2" t="s">
        <v>253</v>
      </c>
      <c r="D519" s="2" t="s">
        <v>24</v>
      </c>
      <c r="E519" s="3">
        <v>376.2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S519" s="7"/>
    </row>
    <row r="520" spans="1:19" x14ac:dyDescent="0.2">
      <c r="A520" s="2" t="s">
        <v>306</v>
      </c>
      <c r="B520" s="2" t="s">
        <v>22</v>
      </c>
      <c r="C520" s="2" t="s">
        <v>28</v>
      </c>
      <c r="D520" s="2" t="s">
        <v>24</v>
      </c>
      <c r="E520" s="3">
        <v>2250</v>
      </c>
      <c r="F520" s="3">
        <v>3344.85</v>
      </c>
      <c r="G520" s="3">
        <v>3744.85</v>
      </c>
      <c r="H520" s="3">
        <v>3344.85</v>
      </c>
      <c r="I520" s="3">
        <v>1906.75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S520" s="7"/>
    </row>
    <row r="521" spans="1:19" x14ac:dyDescent="0.2">
      <c r="A521" s="2" t="s">
        <v>307</v>
      </c>
      <c r="B521" s="2" t="s">
        <v>33</v>
      </c>
      <c r="C521" s="2" t="s">
        <v>38</v>
      </c>
      <c r="D521" s="2" t="s">
        <v>66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2820</v>
      </c>
      <c r="Q521" s="3">
        <v>0</v>
      </c>
      <c r="S521" s="7"/>
    </row>
    <row r="522" spans="1:19" x14ac:dyDescent="0.2">
      <c r="A522" s="2" t="s">
        <v>308</v>
      </c>
      <c r="B522" s="2" t="s">
        <v>22</v>
      </c>
      <c r="C522" s="2" t="s">
        <v>36</v>
      </c>
      <c r="D522" s="2" t="s">
        <v>24</v>
      </c>
      <c r="E522" s="3">
        <v>10400</v>
      </c>
      <c r="F522" s="3">
        <v>4333.3499999999995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S522" s="7"/>
    </row>
    <row r="523" spans="1:19" x14ac:dyDescent="0.2">
      <c r="A523" s="2" t="s">
        <v>308</v>
      </c>
      <c r="B523" s="2" t="s">
        <v>22</v>
      </c>
      <c r="C523" s="2" t="s">
        <v>29</v>
      </c>
      <c r="D523" s="2" t="s">
        <v>24</v>
      </c>
      <c r="E523" s="3">
        <v>790.00000000000011</v>
      </c>
      <c r="F523" s="3">
        <v>329.15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S523" s="7"/>
    </row>
    <row r="524" spans="1:19" x14ac:dyDescent="0.2">
      <c r="A524" s="2" t="s">
        <v>309</v>
      </c>
      <c r="B524" s="2" t="s">
        <v>33</v>
      </c>
      <c r="C524" s="2" t="s">
        <v>34</v>
      </c>
      <c r="D524" s="2" t="s">
        <v>66</v>
      </c>
      <c r="E524" s="3">
        <v>130109.54000000001</v>
      </c>
      <c r="F524" s="3">
        <v>119778.11</v>
      </c>
      <c r="G524" s="3">
        <v>132722.21</v>
      </c>
      <c r="H524" s="3">
        <v>83842.52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S524" s="7"/>
    </row>
    <row r="525" spans="1:19" x14ac:dyDescent="0.2">
      <c r="A525" s="2" t="s">
        <v>309</v>
      </c>
      <c r="B525" s="2" t="s">
        <v>22</v>
      </c>
      <c r="C525" s="2" t="s">
        <v>36</v>
      </c>
      <c r="D525" s="2" t="s">
        <v>66</v>
      </c>
      <c r="E525" s="3">
        <v>13257.420000000002</v>
      </c>
      <c r="F525" s="3">
        <v>14207.639999999996</v>
      </c>
      <c r="G525" s="3">
        <v>8812.7999999999975</v>
      </c>
      <c r="H525" s="3">
        <v>10359.599999999999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S525" s="7"/>
    </row>
    <row r="526" spans="1:19" x14ac:dyDescent="0.2">
      <c r="A526" s="2" t="s">
        <v>309</v>
      </c>
      <c r="B526" s="2" t="s">
        <v>22</v>
      </c>
      <c r="C526" s="2" t="s">
        <v>29</v>
      </c>
      <c r="D526" s="2" t="s">
        <v>66</v>
      </c>
      <c r="E526" s="3">
        <v>17821.079999999998</v>
      </c>
      <c r="F526" s="3">
        <v>14742</v>
      </c>
      <c r="G526" s="3">
        <v>14541.12</v>
      </c>
      <c r="H526" s="3">
        <v>17093.340000000004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S526" s="7"/>
    </row>
    <row r="527" spans="1:19" x14ac:dyDescent="0.2">
      <c r="A527" s="2" t="s">
        <v>310</v>
      </c>
      <c r="B527" s="2" t="s">
        <v>22</v>
      </c>
      <c r="C527" s="2" t="s">
        <v>36</v>
      </c>
      <c r="D527" s="2" t="s">
        <v>66</v>
      </c>
      <c r="E527" s="3">
        <v>3650.6400000000003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S527" s="7"/>
    </row>
    <row r="528" spans="1:19" x14ac:dyDescent="0.2">
      <c r="A528" s="2" t="s">
        <v>311</v>
      </c>
      <c r="B528" s="2" t="s">
        <v>22</v>
      </c>
      <c r="C528" s="2" t="s">
        <v>36</v>
      </c>
      <c r="D528" s="2" t="s">
        <v>91</v>
      </c>
      <c r="E528" s="3">
        <v>0</v>
      </c>
      <c r="F528" s="3">
        <v>0</v>
      </c>
      <c r="G528" s="3">
        <v>1490.82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S528" s="7"/>
    </row>
    <row r="529" spans="1:19" x14ac:dyDescent="0.2">
      <c r="A529" s="2" t="s">
        <v>312</v>
      </c>
      <c r="B529" s="2" t="s">
        <v>52</v>
      </c>
      <c r="C529" s="2" t="s">
        <v>313</v>
      </c>
      <c r="D529" s="2" t="s">
        <v>91</v>
      </c>
      <c r="E529" s="3">
        <v>47715</v>
      </c>
      <c r="F529" s="3">
        <v>53520</v>
      </c>
      <c r="G529" s="3">
        <v>53520</v>
      </c>
      <c r="H529" s="3">
        <v>4460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S529" s="7"/>
    </row>
    <row r="530" spans="1:19" x14ac:dyDescent="0.2">
      <c r="A530" s="2" t="s">
        <v>314</v>
      </c>
      <c r="B530" s="2" t="s">
        <v>22</v>
      </c>
      <c r="C530" s="2" t="s">
        <v>50</v>
      </c>
      <c r="D530" s="2" t="s">
        <v>167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4350</v>
      </c>
      <c r="N530" s="3">
        <v>4350</v>
      </c>
      <c r="O530" s="3">
        <v>0</v>
      </c>
      <c r="P530" s="3">
        <v>0</v>
      </c>
      <c r="Q530" s="3">
        <v>0</v>
      </c>
      <c r="S530" s="7"/>
    </row>
    <row r="531" spans="1:19" x14ac:dyDescent="0.2">
      <c r="A531" s="2" t="s">
        <v>315</v>
      </c>
      <c r="B531" s="2" t="s">
        <v>33</v>
      </c>
      <c r="C531" s="2" t="s">
        <v>34</v>
      </c>
      <c r="D531" s="2" t="s">
        <v>24</v>
      </c>
      <c r="E531" s="3">
        <v>0</v>
      </c>
      <c r="F531" s="3">
        <v>122550</v>
      </c>
      <c r="G531" s="3">
        <v>42200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S531" s="7"/>
    </row>
    <row r="532" spans="1:19" x14ac:dyDescent="0.2">
      <c r="A532" s="2" t="s">
        <v>316</v>
      </c>
      <c r="B532" s="2" t="s">
        <v>33</v>
      </c>
      <c r="C532" s="2" t="s">
        <v>34</v>
      </c>
      <c r="D532" s="2" t="s">
        <v>24</v>
      </c>
      <c r="E532" s="3">
        <v>114000</v>
      </c>
      <c r="F532" s="3">
        <v>114000</v>
      </c>
      <c r="G532" s="3">
        <v>114000</v>
      </c>
      <c r="H532" s="3">
        <v>114000</v>
      </c>
      <c r="I532" s="3">
        <v>114000</v>
      </c>
      <c r="J532" s="3">
        <v>114000</v>
      </c>
      <c r="K532" s="3">
        <v>114000</v>
      </c>
      <c r="L532" s="3">
        <v>114000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S532" s="7"/>
    </row>
    <row r="533" spans="1:19" x14ac:dyDescent="0.2">
      <c r="A533" s="2" t="s">
        <v>317</v>
      </c>
      <c r="B533" s="2" t="s">
        <v>33</v>
      </c>
      <c r="C533" s="2" t="s">
        <v>34</v>
      </c>
      <c r="D533" s="2" t="s">
        <v>24</v>
      </c>
      <c r="E533" s="3">
        <v>11380.65</v>
      </c>
      <c r="F533" s="3">
        <v>50400</v>
      </c>
      <c r="G533" s="3">
        <v>50400</v>
      </c>
      <c r="H533" s="3">
        <v>50400</v>
      </c>
      <c r="I533" s="3">
        <v>50400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S533" s="7"/>
    </row>
    <row r="534" spans="1:19" x14ac:dyDescent="0.2">
      <c r="A534" s="2" t="s">
        <v>318</v>
      </c>
      <c r="B534" s="2" t="s">
        <v>33</v>
      </c>
      <c r="C534" s="2" t="s">
        <v>34</v>
      </c>
      <c r="D534" s="2" t="s">
        <v>24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3">
        <v>30000</v>
      </c>
      <c r="K534" s="3">
        <v>42750</v>
      </c>
      <c r="L534" s="3">
        <v>42000</v>
      </c>
      <c r="M534" s="3">
        <v>42000</v>
      </c>
      <c r="N534" s="3">
        <v>0</v>
      </c>
      <c r="O534" s="3">
        <v>0</v>
      </c>
      <c r="P534" s="3">
        <v>0</v>
      </c>
      <c r="Q534" s="3">
        <v>0</v>
      </c>
      <c r="S534" s="7"/>
    </row>
    <row r="535" spans="1:19" x14ac:dyDescent="0.2">
      <c r="A535" s="2" t="s">
        <v>319</v>
      </c>
      <c r="B535" s="2" t="s">
        <v>33</v>
      </c>
      <c r="C535" s="2" t="s">
        <v>277</v>
      </c>
      <c r="D535" s="2" t="s">
        <v>27</v>
      </c>
      <c r="E535" s="3">
        <v>111.32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S535" s="7"/>
    </row>
    <row r="536" spans="1:19" x14ac:dyDescent="0.2">
      <c r="A536" s="2" t="s">
        <v>319</v>
      </c>
      <c r="B536" s="2" t="s">
        <v>22</v>
      </c>
      <c r="C536" s="2" t="s">
        <v>253</v>
      </c>
      <c r="D536" s="2" t="s">
        <v>27</v>
      </c>
      <c r="E536" s="3">
        <v>0</v>
      </c>
      <c r="F536" s="3">
        <v>0</v>
      </c>
      <c r="G536" s="3">
        <v>0</v>
      </c>
      <c r="H536" s="3">
        <v>4224.45</v>
      </c>
      <c r="I536" s="3">
        <v>47322.779999999984</v>
      </c>
      <c r="J536" s="3">
        <v>19441.79</v>
      </c>
      <c r="K536" s="3">
        <v>10966.28</v>
      </c>
      <c r="L536" s="3">
        <v>10863.64</v>
      </c>
      <c r="M536" s="3">
        <v>11377.61</v>
      </c>
      <c r="N536" s="3">
        <v>0</v>
      </c>
      <c r="O536" s="3">
        <v>0</v>
      </c>
      <c r="P536" s="3">
        <v>0</v>
      </c>
      <c r="Q536" s="3">
        <v>0</v>
      </c>
      <c r="S536" s="7"/>
    </row>
    <row r="537" spans="1:19" x14ac:dyDescent="0.2">
      <c r="A537" s="2" t="s">
        <v>320</v>
      </c>
      <c r="B537" s="2" t="s">
        <v>22</v>
      </c>
      <c r="C537" s="2" t="s">
        <v>36</v>
      </c>
      <c r="D537" s="2" t="s">
        <v>113</v>
      </c>
      <c r="E537" s="3">
        <v>0</v>
      </c>
      <c r="F537" s="3">
        <v>2904</v>
      </c>
      <c r="G537" s="3">
        <v>4456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S537" s="7"/>
    </row>
    <row r="538" spans="1:19" x14ac:dyDescent="0.2">
      <c r="A538" s="2" t="s">
        <v>320</v>
      </c>
      <c r="B538" s="2" t="s">
        <v>22</v>
      </c>
      <c r="C538" s="2" t="s">
        <v>29</v>
      </c>
      <c r="D538" s="2" t="s">
        <v>113</v>
      </c>
      <c r="E538" s="3">
        <v>0</v>
      </c>
      <c r="F538" s="3">
        <v>484</v>
      </c>
      <c r="G538" s="3">
        <v>743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S538" s="7"/>
    </row>
    <row r="539" spans="1:19" x14ac:dyDescent="0.2">
      <c r="A539" s="2" t="s">
        <v>320</v>
      </c>
      <c r="B539" s="2" t="s">
        <v>22</v>
      </c>
      <c r="C539" s="2" t="s">
        <v>68</v>
      </c>
      <c r="D539" s="2" t="s">
        <v>113</v>
      </c>
      <c r="E539" s="3">
        <v>0</v>
      </c>
      <c r="F539" s="3">
        <v>66565.509999999995</v>
      </c>
      <c r="G539" s="3">
        <v>2902.24</v>
      </c>
      <c r="H539" s="3">
        <v>160848.99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S539" s="7"/>
    </row>
    <row r="540" spans="1:19" x14ac:dyDescent="0.2">
      <c r="A540" s="2" t="s">
        <v>321</v>
      </c>
      <c r="B540" s="2" t="s">
        <v>22</v>
      </c>
      <c r="C540" s="2" t="s">
        <v>36</v>
      </c>
      <c r="D540" s="2" t="s">
        <v>27</v>
      </c>
      <c r="E540" s="3">
        <v>16414</v>
      </c>
      <c r="F540" s="3">
        <v>14572</v>
      </c>
      <c r="G540" s="3">
        <v>16978.86</v>
      </c>
      <c r="H540" s="3">
        <v>19267.41</v>
      </c>
      <c r="I540" s="3">
        <v>-165.89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S540" s="7"/>
    </row>
    <row r="541" spans="1:19" x14ac:dyDescent="0.2">
      <c r="A541" s="2" t="s">
        <v>321</v>
      </c>
      <c r="B541" s="2" t="s">
        <v>22</v>
      </c>
      <c r="C541" s="2" t="s">
        <v>29</v>
      </c>
      <c r="D541" s="2" t="s">
        <v>27</v>
      </c>
      <c r="E541" s="3">
        <v>4431.78</v>
      </c>
      <c r="F541" s="3">
        <v>3934.44</v>
      </c>
      <c r="G541" s="3">
        <v>4584.66</v>
      </c>
      <c r="H541" s="3">
        <v>5203.42</v>
      </c>
      <c r="I541" s="3">
        <v>-44.8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S541" s="7"/>
    </row>
    <row r="542" spans="1:19" x14ac:dyDescent="0.2">
      <c r="A542" s="2" t="s">
        <v>322</v>
      </c>
      <c r="B542" s="2" t="s">
        <v>33</v>
      </c>
      <c r="C542" s="2" t="s">
        <v>34</v>
      </c>
      <c r="D542" s="2" t="s">
        <v>91</v>
      </c>
      <c r="E542" s="3">
        <v>10309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S542" s="7"/>
    </row>
    <row r="543" spans="1:19" x14ac:dyDescent="0.2">
      <c r="A543" s="2" t="s">
        <v>323</v>
      </c>
      <c r="B543" s="2" t="s">
        <v>33</v>
      </c>
      <c r="C543" s="2" t="s">
        <v>277</v>
      </c>
      <c r="D543" s="2" t="s">
        <v>91</v>
      </c>
      <c r="E543" s="3">
        <v>50.4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S543" s="7"/>
    </row>
    <row r="544" spans="1:19" x14ac:dyDescent="0.2">
      <c r="A544" s="2" t="s">
        <v>324</v>
      </c>
      <c r="B544" s="2" t="s">
        <v>33</v>
      </c>
      <c r="C544" s="2" t="s">
        <v>277</v>
      </c>
      <c r="D544" s="2" t="s">
        <v>24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25209.59</v>
      </c>
      <c r="P544" s="3">
        <v>26437.52</v>
      </c>
      <c r="Q544" s="3">
        <v>41520</v>
      </c>
      <c r="S544" s="7"/>
    </row>
    <row r="545" spans="1:19" x14ac:dyDescent="0.2">
      <c r="A545" s="2" t="s">
        <v>324</v>
      </c>
      <c r="B545" s="2" t="s">
        <v>33</v>
      </c>
      <c r="C545" s="2" t="s">
        <v>34</v>
      </c>
      <c r="D545" s="2" t="s">
        <v>24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11779.16</v>
      </c>
      <c r="Q545" s="3">
        <v>0</v>
      </c>
      <c r="S545" s="7"/>
    </row>
    <row r="546" spans="1:19" x14ac:dyDescent="0.2">
      <c r="A546" s="2" t="s">
        <v>324</v>
      </c>
      <c r="B546" s="2" t="s">
        <v>41</v>
      </c>
      <c r="C546" s="2" t="s">
        <v>41</v>
      </c>
      <c r="D546" s="2" t="s">
        <v>24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1630.82</v>
      </c>
      <c r="Q546" s="3">
        <v>0</v>
      </c>
      <c r="S546" s="7"/>
    </row>
    <row r="547" spans="1:19" x14ac:dyDescent="0.2">
      <c r="A547" s="2" t="s">
        <v>325</v>
      </c>
      <c r="B547" s="2" t="s">
        <v>33</v>
      </c>
      <c r="C547" s="2" t="s">
        <v>34</v>
      </c>
      <c r="D547" s="2" t="s">
        <v>94</v>
      </c>
      <c r="E547" s="3">
        <v>0</v>
      </c>
      <c r="F547" s="3">
        <v>0</v>
      </c>
      <c r="G547" s="3">
        <v>936.41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S547" s="7"/>
    </row>
    <row r="548" spans="1:19" x14ac:dyDescent="0.2">
      <c r="A548" s="2" t="s">
        <v>325</v>
      </c>
      <c r="B548" s="2" t="s">
        <v>22</v>
      </c>
      <c r="C548" s="2" t="s">
        <v>29</v>
      </c>
      <c r="D548" s="2" t="s">
        <v>94</v>
      </c>
      <c r="E548" s="3">
        <v>0</v>
      </c>
      <c r="F548" s="3">
        <v>0</v>
      </c>
      <c r="G548" s="3">
        <v>0</v>
      </c>
      <c r="H548" s="3">
        <v>0</v>
      </c>
      <c r="I548" s="3">
        <v>528.65</v>
      </c>
      <c r="J548" s="3">
        <v>779.0300000000002</v>
      </c>
      <c r="K548" s="3">
        <v>257.36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S548" s="7"/>
    </row>
    <row r="549" spans="1:19" x14ac:dyDescent="0.2">
      <c r="A549" s="2" t="s">
        <v>326</v>
      </c>
      <c r="B549" s="2" t="s">
        <v>33</v>
      </c>
      <c r="C549" s="2" t="s">
        <v>38</v>
      </c>
      <c r="D549" s="2" t="s">
        <v>24</v>
      </c>
      <c r="E549" s="3">
        <v>0</v>
      </c>
      <c r="F549" s="3">
        <v>1500</v>
      </c>
      <c r="G549" s="3">
        <v>1500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S549" s="7"/>
    </row>
    <row r="550" spans="1:19" x14ac:dyDescent="0.2">
      <c r="A550" s="2" t="s">
        <v>326</v>
      </c>
      <c r="B550" s="2" t="s">
        <v>22</v>
      </c>
      <c r="C550" s="2" t="s">
        <v>36</v>
      </c>
      <c r="D550" s="2" t="s">
        <v>24</v>
      </c>
      <c r="E550" s="3">
        <v>4333.3099999999995</v>
      </c>
      <c r="F550" s="3">
        <v>6066.69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S550" s="7"/>
    </row>
    <row r="551" spans="1:19" x14ac:dyDescent="0.2">
      <c r="A551" s="2" t="s">
        <v>326</v>
      </c>
      <c r="B551" s="2" t="s">
        <v>22</v>
      </c>
      <c r="C551" s="2" t="s">
        <v>26</v>
      </c>
      <c r="D551" s="2" t="s">
        <v>24</v>
      </c>
      <c r="E551" s="3">
        <v>10208.31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S551" s="7"/>
    </row>
    <row r="552" spans="1:19" x14ac:dyDescent="0.2">
      <c r="A552" s="2" t="s">
        <v>326</v>
      </c>
      <c r="B552" s="2" t="s">
        <v>22</v>
      </c>
      <c r="C552" s="2" t="s">
        <v>29</v>
      </c>
      <c r="D552" s="2" t="s">
        <v>24</v>
      </c>
      <c r="E552" s="3">
        <v>4820.8100000000004</v>
      </c>
      <c r="F552" s="3">
        <v>3686.69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S552" s="7"/>
    </row>
    <row r="553" spans="1:19" x14ac:dyDescent="0.2">
      <c r="A553" s="2" t="s">
        <v>326</v>
      </c>
      <c r="B553" s="2" t="s">
        <v>33</v>
      </c>
      <c r="C553" s="2" t="s">
        <v>34</v>
      </c>
      <c r="D553" s="2" t="s">
        <v>24</v>
      </c>
      <c r="E553" s="3">
        <v>96480</v>
      </c>
      <c r="F553" s="3">
        <v>44488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S553" s="7"/>
    </row>
    <row r="554" spans="1:19" x14ac:dyDescent="0.2">
      <c r="A554" s="2" t="s">
        <v>327</v>
      </c>
      <c r="B554" s="2" t="s">
        <v>22</v>
      </c>
      <c r="C554" s="2" t="s">
        <v>28</v>
      </c>
      <c r="D554" s="2" t="s">
        <v>45</v>
      </c>
      <c r="E554" s="3">
        <v>2400</v>
      </c>
      <c r="F554" s="3">
        <v>3800</v>
      </c>
      <c r="G554" s="3">
        <v>2400</v>
      </c>
      <c r="H554" s="3">
        <v>2400</v>
      </c>
      <c r="I554" s="3">
        <v>2400</v>
      </c>
      <c r="J554" s="3">
        <v>2400</v>
      </c>
      <c r="K554" s="3">
        <v>2400</v>
      </c>
      <c r="L554" s="3">
        <v>200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S554" s="7"/>
    </row>
    <row r="555" spans="1:19" x14ac:dyDescent="0.2">
      <c r="A555" s="2" t="s">
        <v>328</v>
      </c>
      <c r="B555" s="2" t="s">
        <v>22</v>
      </c>
      <c r="C555" s="2" t="s">
        <v>36</v>
      </c>
      <c r="D555" s="2" t="s">
        <v>45</v>
      </c>
      <c r="E555" s="3">
        <v>10006.499999999998</v>
      </c>
      <c r="F555" s="3">
        <v>4791.3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S555" s="7"/>
    </row>
    <row r="556" spans="1:19" x14ac:dyDescent="0.2">
      <c r="A556" s="2" t="s">
        <v>328</v>
      </c>
      <c r="B556" s="2" t="s">
        <v>22</v>
      </c>
      <c r="C556" s="2" t="s">
        <v>29</v>
      </c>
      <c r="D556" s="2" t="s">
        <v>45</v>
      </c>
      <c r="E556" s="3">
        <v>2578.9900000000002</v>
      </c>
      <c r="F556" s="3">
        <v>1796.76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S556" s="7"/>
    </row>
    <row r="557" spans="1:19" x14ac:dyDescent="0.2">
      <c r="A557" s="2" t="s">
        <v>329</v>
      </c>
      <c r="B557" s="2" t="s">
        <v>22</v>
      </c>
      <c r="C557" s="2" t="s">
        <v>26</v>
      </c>
      <c r="D557" s="2" t="s">
        <v>24</v>
      </c>
      <c r="E557" s="3">
        <v>17500</v>
      </c>
      <c r="F557" s="3">
        <v>17500</v>
      </c>
      <c r="G557" s="3">
        <v>17500</v>
      </c>
      <c r="H557" s="3">
        <v>17500</v>
      </c>
      <c r="I557" s="3">
        <v>17500</v>
      </c>
      <c r="J557" s="3">
        <v>30333.33</v>
      </c>
      <c r="K557" s="3">
        <v>41999.989999999991</v>
      </c>
      <c r="L557" s="3">
        <v>35000.01</v>
      </c>
      <c r="M557" s="3">
        <v>41999.989999999991</v>
      </c>
      <c r="N557" s="3">
        <v>9041.67</v>
      </c>
      <c r="O557" s="3">
        <v>0</v>
      </c>
      <c r="P557" s="3">
        <v>0</v>
      </c>
      <c r="Q557" s="3">
        <v>0</v>
      </c>
      <c r="S557" s="7"/>
    </row>
    <row r="558" spans="1:19" x14ac:dyDescent="0.2">
      <c r="A558" s="2" t="s">
        <v>329</v>
      </c>
      <c r="B558" s="2" t="s">
        <v>22</v>
      </c>
      <c r="C558" s="2" t="s">
        <v>29</v>
      </c>
      <c r="D558" s="2" t="s">
        <v>24</v>
      </c>
      <c r="E558" s="3">
        <v>30375</v>
      </c>
      <c r="F558" s="3">
        <v>36000</v>
      </c>
      <c r="G558" s="3">
        <v>41250</v>
      </c>
      <c r="H558" s="3">
        <v>48375</v>
      </c>
      <c r="I558" s="3">
        <v>51937.5</v>
      </c>
      <c r="J558" s="3">
        <v>74185.010000000009</v>
      </c>
      <c r="K558" s="3">
        <v>85457.489999999991</v>
      </c>
      <c r="L558" s="3">
        <v>88312.5</v>
      </c>
      <c r="M558" s="3">
        <v>90712.5</v>
      </c>
      <c r="N558" s="3">
        <v>18787.5</v>
      </c>
      <c r="O558" s="3">
        <v>330</v>
      </c>
      <c r="P558" s="3">
        <v>0</v>
      </c>
      <c r="Q558" s="3">
        <v>0</v>
      </c>
      <c r="S558" s="7"/>
    </row>
    <row r="559" spans="1:19" x14ac:dyDescent="0.2">
      <c r="A559" s="2" t="s">
        <v>329</v>
      </c>
      <c r="B559" s="2" t="s">
        <v>22</v>
      </c>
      <c r="C559" s="2" t="s">
        <v>253</v>
      </c>
      <c r="D559" s="2" t="s">
        <v>24</v>
      </c>
      <c r="E559" s="3">
        <v>2800</v>
      </c>
      <c r="F559" s="3">
        <v>699.99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S559" s="7"/>
    </row>
    <row r="560" spans="1:19" x14ac:dyDescent="0.2">
      <c r="A560" s="2" t="s">
        <v>329</v>
      </c>
      <c r="B560" s="2" t="s">
        <v>33</v>
      </c>
      <c r="C560" s="2" t="s">
        <v>38</v>
      </c>
      <c r="D560" s="2" t="s">
        <v>24</v>
      </c>
      <c r="E560" s="3">
        <v>3600</v>
      </c>
      <c r="F560" s="3">
        <v>3600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S560" s="7"/>
    </row>
    <row r="561" spans="1:19" x14ac:dyDescent="0.2">
      <c r="A561" s="2" t="s">
        <v>329</v>
      </c>
      <c r="B561" s="2" t="s">
        <v>22</v>
      </c>
      <c r="C561" s="2" t="s">
        <v>330</v>
      </c>
      <c r="D561" s="2" t="s">
        <v>24</v>
      </c>
      <c r="E561" s="3">
        <v>0</v>
      </c>
      <c r="F561" s="3">
        <v>700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S561" s="7"/>
    </row>
    <row r="562" spans="1:19" x14ac:dyDescent="0.2">
      <c r="A562" s="2" t="s">
        <v>331</v>
      </c>
      <c r="B562" s="2" t="s">
        <v>22</v>
      </c>
      <c r="C562" s="2" t="s">
        <v>26</v>
      </c>
      <c r="D562" s="2" t="s">
        <v>27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10499.99</v>
      </c>
      <c r="M562" s="3">
        <v>3500.01</v>
      </c>
      <c r="N562" s="3">
        <v>0</v>
      </c>
      <c r="O562" s="3">
        <v>0</v>
      </c>
      <c r="P562" s="3">
        <v>0</v>
      </c>
      <c r="Q562" s="3">
        <v>0</v>
      </c>
      <c r="S562" s="7"/>
    </row>
    <row r="563" spans="1:19" x14ac:dyDescent="0.2">
      <c r="A563" s="2" t="s">
        <v>331</v>
      </c>
      <c r="B563" s="2" t="s">
        <v>22</v>
      </c>
      <c r="C563" s="2" t="s">
        <v>29</v>
      </c>
      <c r="D563" s="2" t="s">
        <v>27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1350</v>
      </c>
      <c r="M563" s="3">
        <v>450</v>
      </c>
      <c r="N563" s="3">
        <v>0</v>
      </c>
      <c r="O563" s="3">
        <v>0</v>
      </c>
      <c r="P563" s="3">
        <v>0</v>
      </c>
      <c r="Q563" s="3">
        <v>0</v>
      </c>
      <c r="S563" s="7"/>
    </row>
    <row r="564" spans="1:19" x14ac:dyDescent="0.2">
      <c r="A564" s="2" t="s">
        <v>332</v>
      </c>
      <c r="B564" s="2" t="s">
        <v>33</v>
      </c>
      <c r="C564" s="2" t="s">
        <v>34</v>
      </c>
      <c r="D564" s="2" t="s">
        <v>69</v>
      </c>
      <c r="E564" s="3">
        <v>251685</v>
      </c>
      <c r="F564" s="3">
        <v>305820</v>
      </c>
      <c r="G564" s="3">
        <v>300210</v>
      </c>
      <c r="H564" s="3">
        <v>302080</v>
      </c>
      <c r="I564" s="3">
        <v>73650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S564" s="7"/>
    </row>
    <row r="565" spans="1:19" x14ac:dyDescent="0.2">
      <c r="A565" s="2" t="s">
        <v>333</v>
      </c>
      <c r="B565" s="2" t="s">
        <v>22</v>
      </c>
      <c r="C565" s="2" t="s">
        <v>26</v>
      </c>
      <c r="D565" s="2" t="s">
        <v>113</v>
      </c>
      <c r="E565" s="3">
        <v>0</v>
      </c>
      <c r="F565" s="3">
        <v>0</v>
      </c>
      <c r="G565" s="3">
        <v>9728.4600000000009</v>
      </c>
      <c r="H565" s="3">
        <v>10811.730000000001</v>
      </c>
      <c r="I565" s="3">
        <v>16297.490000000003</v>
      </c>
      <c r="J565" s="3">
        <v>1534.28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S565" s="7"/>
    </row>
    <row r="566" spans="1:19" x14ac:dyDescent="0.2">
      <c r="A566" s="2" t="s">
        <v>334</v>
      </c>
      <c r="B566" s="2" t="s">
        <v>22</v>
      </c>
      <c r="C566" s="2" t="s">
        <v>26</v>
      </c>
      <c r="D566" s="2" t="s">
        <v>69</v>
      </c>
      <c r="E566" s="3">
        <v>27773.87</v>
      </c>
      <c r="F566" s="3">
        <v>25512.37</v>
      </c>
      <c r="G566" s="3">
        <v>15747.3</v>
      </c>
      <c r="H566" s="3">
        <v>17374.600000000002</v>
      </c>
      <c r="I566" s="3">
        <v>13238.33</v>
      </c>
      <c r="J566" s="3">
        <v>21172.959999999999</v>
      </c>
      <c r="K566" s="3">
        <v>9421.68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S566" s="7"/>
    </row>
    <row r="567" spans="1:19" x14ac:dyDescent="0.2">
      <c r="A567" s="2" t="s">
        <v>335</v>
      </c>
      <c r="B567" s="2" t="s">
        <v>22</v>
      </c>
      <c r="C567" s="2" t="s">
        <v>36</v>
      </c>
      <c r="D567" s="2" t="s">
        <v>69</v>
      </c>
      <c r="E567" s="3">
        <v>8600</v>
      </c>
      <c r="F567" s="3">
        <v>21093.439999999995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S567" s="7"/>
    </row>
    <row r="568" spans="1:19" x14ac:dyDescent="0.2">
      <c r="A568" s="2" t="s">
        <v>335</v>
      </c>
      <c r="B568" s="2" t="s">
        <v>22</v>
      </c>
      <c r="C568" s="2" t="s">
        <v>29</v>
      </c>
      <c r="D568" s="2" t="s">
        <v>69</v>
      </c>
      <c r="E568" s="3">
        <v>2550</v>
      </c>
      <c r="F568" s="3">
        <v>4107.17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S568" s="7"/>
    </row>
    <row r="569" spans="1:19" x14ac:dyDescent="0.2">
      <c r="A569" s="2" t="s">
        <v>336</v>
      </c>
      <c r="B569" s="2" t="s">
        <v>22</v>
      </c>
      <c r="C569" s="2" t="s">
        <v>36</v>
      </c>
      <c r="D569" s="2" t="s">
        <v>66</v>
      </c>
      <c r="E569" s="3">
        <v>0</v>
      </c>
      <c r="F569" s="3">
        <v>0</v>
      </c>
      <c r="G569" s="3">
        <v>6047.04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S569" s="7"/>
    </row>
    <row r="570" spans="1:19" x14ac:dyDescent="0.2">
      <c r="A570" s="2" t="s">
        <v>337</v>
      </c>
      <c r="B570" s="2" t="s">
        <v>22</v>
      </c>
      <c r="C570" s="2" t="s">
        <v>36</v>
      </c>
      <c r="D570" s="2" t="s">
        <v>170</v>
      </c>
      <c r="E570" s="3">
        <v>0</v>
      </c>
      <c r="F570" s="3">
        <v>0</v>
      </c>
      <c r="G570" s="3">
        <v>8600</v>
      </c>
      <c r="H570" s="3">
        <v>8600</v>
      </c>
      <c r="I570" s="3">
        <v>8600</v>
      </c>
      <c r="J570" s="3">
        <v>8600</v>
      </c>
      <c r="K570" s="3">
        <v>8600</v>
      </c>
      <c r="L570" s="3">
        <v>8600</v>
      </c>
      <c r="M570" s="3">
        <v>8600</v>
      </c>
      <c r="N570" s="3">
        <v>8600</v>
      </c>
      <c r="O570" s="3">
        <v>7166.7</v>
      </c>
      <c r="P570" s="3">
        <v>0</v>
      </c>
      <c r="Q570" s="3">
        <v>0</v>
      </c>
      <c r="S570" s="7"/>
    </row>
    <row r="571" spans="1:19" x14ac:dyDescent="0.2">
      <c r="A571" s="2" t="s">
        <v>337</v>
      </c>
      <c r="B571" s="2" t="s">
        <v>22</v>
      </c>
      <c r="C571" s="2" t="s">
        <v>29</v>
      </c>
      <c r="D571" s="2" t="s">
        <v>170</v>
      </c>
      <c r="E571" s="3">
        <v>0</v>
      </c>
      <c r="F571" s="3">
        <v>0</v>
      </c>
      <c r="G571" s="3">
        <v>3750</v>
      </c>
      <c r="H571" s="3">
        <v>4200</v>
      </c>
      <c r="I571" s="3">
        <v>5550</v>
      </c>
      <c r="J571" s="3">
        <v>5850</v>
      </c>
      <c r="K571" s="3">
        <v>6000</v>
      </c>
      <c r="L571" s="3">
        <v>2400</v>
      </c>
      <c r="M571" s="3">
        <v>2700</v>
      </c>
      <c r="N571" s="3">
        <v>3600</v>
      </c>
      <c r="O571" s="3">
        <v>3000</v>
      </c>
      <c r="P571" s="3">
        <v>0</v>
      </c>
      <c r="Q571" s="3">
        <v>0</v>
      </c>
      <c r="S571" s="7"/>
    </row>
    <row r="572" spans="1:19" x14ac:dyDescent="0.2">
      <c r="A572" s="2" t="s">
        <v>338</v>
      </c>
      <c r="B572" s="2" t="s">
        <v>22</v>
      </c>
      <c r="C572" s="2" t="s">
        <v>39</v>
      </c>
      <c r="D572" s="2" t="s">
        <v>24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3750</v>
      </c>
      <c r="S572" s="7"/>
    </row>
    <row r="573" spans="1:19" x14ac:dyDescent="0.2">
      <c r="A573" s="2" t="s">
        <v>338</v>
      </c>
      <c r="B573" s="2" t="s">
        <v>22</v>
      </c>
      <c r="C573" s="2" t="s">
        <v>36</v>
      </c>
      <c r="D573" s="2" t="s">
        <v>24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13530</v>
      </c>
      <c r="S573" s="7"/>
    </row>
    <row r="574" spans="1:19" x14ac:dyDescent="0.2">
      <c r="A574" s="2" t="s">
        <v>339</v>
      </c>
      <c r="B574" s="2" t="s">
        <v>22</v>
      </c>
      <c r="C574" s="2" t="s">
        <v>26</v>
      </c>
      <c r="D574" s="2" t="s">
        <v>24</v>
      </c>
      <c r="E574" s="3">
        <v>14499.999999999998</v>
      </c>
      <c r="F574" s="3">
        <v>14499.999999999998</v>
      </c>
      <c r="G574" s="3">
        <v>14499.999999999998</v>
      </c>
      <c r="H574" s="3">
        <v>14499.999999999998</v>
      </c>
      <c r="I574" s="3">
        <v>14499.999999999998</v>
      </c>
      <c r="J574" s="3">
        <v>14499.999999999998</v>
      </c>
      <c r="K574" s="3">
        <v>14499.999999999998</v>
      </c>
      <c r="L574" s="3">
        <v>14499.999999999998</v>
      </c>
      <c r="M574" s="3">
        <v>14499.999999999998</v>
      </c>
      <c r="N574" s="3">
        <v>14499.999999999998</v>
      </c>
      <c r="O574" s="3">
        <v>3621.2200000000012</v>
      </c>
      <c r="P574" s="3">
        <v>4.05</v>
      </c>
      <c r="Q574" s="3">
        <v>0</v>
      </c>
      <c r="S574" s="7"/>
    </row>
    <row r="575" spans="1:19" x14ac:dyDescent="0.2">
      <c r="A575" s="2" t="s">
        <v>339</v>
      </c>
      <c r="B575" s="2" t="s">
        <v>22</v>
      </c>
      <c r="C575" s="2" t="s">
        <v>29</v>
      </c>
      <c r="D575" s="2" t="s">
        <v>24</v>
      </c>
      <c r="E575" s="3">
        <v>0</v>
      </c>
      <c r="F575" s="3">
        <v>4345</v>
      </c>
      <c r="G575" s="3">
        <v>4740</v>
      </c>
      <c r="H575" s="3">
        <v>4740</v>
      </c>
      <c r="I575" s="3">
        <v>4740</v>
      </c>
      <c r="J575" s="3">
        <v>5530</v>
      </c>
      <c r="K575" s="3">
        <v>4740</v>
      </c>
      <c r="L575" s="3">
        <v>4740</v>
      </c>
      <c r="M575" s="3">
        <v>4015.8300000000008</v>
      </c>
      <c r="N575" s="3">
        <v>4674.17</v>
      </c>
      <c r="O575" s="3">
        <v>920.78999999999985</v>
      </c>
      <c r="P575" s="3">
        <v>1.95</v>
      </c>
      <c r="Q575" s="3">
        <v>0</v>
      </c>
      <c r="S575" s="7"/>
    </row>
    <row r="576" spans="1:19" x14ac:dyDescent="0.2">
      <c r="A576" s="2" t="s">
        <v>340</v>
      </c>
      <c r="B576" s="2" t="s">
        <v>33</v>
      </c>
      <c r="C576" s="2" t="s">
        <v>34</v>
      </c>
      <c r="D576" s="2" t="s">
        <v>77</v>
      </c>
      <c r="E576" s="3">
        <v>40800</v>
      </c>
      <c r="F576" s="3">
        <v>41760</v>
      </c>
      <c r="G576" s="3">
        <v>41760</v>
      </c>
      <c r="H576" s="3">
        <v>41760</v>
      </c>
      <c r="I576" s="3">
        <v>41760</v>
      </c>
      <c r="J576" s="3">
        <v>43140</v>
      </c>
      <c r="K576" s="3">
        <v>43140</v>
      </c>
      <c r="L576" s="3">
        <v>43140</v>
      </c>
      <c r="M576" s="3">
        <v>28760</v>
      </c>
      <c r="N576" s="3">
        <v>0</v>
      </c>
      <c r="O576" s="3">
        <v>0</v>
      </c>
      <c r="P576" s="3">
        <v>0</v>
      </c>
      <c r="Q576" s="3">
        <v>0</v>
      </c>
      <c r="S576" s="7"/>
    </row>
    <row r="577" spans="1:19" x14ac:dyDescent="0.2">
      <c r="A577" s="2" t="s">
        <v>341</v>
      </c>
      <c r="B577" s="2" t="s">
        <v>33</v>
      </c>
      <c r="C577" s="2" t="s">
        <v>34</v>
      </c>
      <c r="D577" s="2" t="s">
        <v>24</v>
      </c>
      <c r="E577" s="3">
        <v>0</v>
      </c>
      <c r="F577" s="3">
        <v>14601.77</v>
      </c>
      <c r="G577" s="3">
        <v>3950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S577" s="7"/>
    </row>
    <row r="578" spans="1:19" x14ac:dyDescent="0.2">
      <c r="A578" s="2" t="s">
        <v>342</v>
      </c>
      <c r="B578" s="2" t="s">
        <v>22</v>
      </c>
      <c r="C578" s="2" t="s">
        <v>26</v>
      </c>
      <c r="D578" s="2" t="s">
        <v>24</v>
      </c>
      <c r="E578" s="3">
        <v>17371.539999999997</v>
      </c>
      <c r="F578" s="3">
        <v>15575.699999999999</v>
      </c>
      <c r="G578" s="3">
        <v>16100.190000000004</v>
      </c>
      <c r="H578" s="3">
        <v>17814.400000000001</v>
      </c>
      <c r="I578" s="3">
        <v>3020.5</v>
      </c>
      <c r="J578" s="3">
        <v>0</v>
      </c>
      <c r="K578" s="3">
        <v>0</v>
      </c>
      <c r="L578" s="3">
        <v>0</v>
      </c>
      <c r="M578" s="3">
        <v>5000</v>
      </c>
      <c r="N578" s="3">
        <v>0</v>
      </c>
      <c r="O578" s="3">
        <v>0</v>
      </c>
      <c r="P578" s="3">
        <v>0</v>
      </c>
      <c r="Q578" s="3">
        <v>0</v>
      </c>
      <c r="S578" s="7"/>
    </row>
    <row r="579" spans="1:19" x14ac:dyDescent="0.2">
      <c r="A579" s="2" t="s">
        <v>342</v>
      </c>
      <c r="B579" s="2" t="s">
        <v>22</v>
      </c>
      <c r="C579" s="2" t="s">
        <v>29</v>
      </c>
      <c r="D579" s="2" t="s">
        <v>24</v>
      </c>
      <c r="E579" s="3">
        <v>19356.859999999993</v>
      </c>
      <c r="F579" s="3">
        <v>17355.78</v>
      </c>
      <c r="G579" s="3">
        <v>18521.330000000002</v>
      </c>
      <c r="H579" s="3">
        <v>23202.799999999996</v>
      </c>
      <c r="I579" s="3">
        <v>4012.96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S579" s="7"/>
    </row>
    <row r="580" spans="1:19" x14ac:dyDescent="0.2">
      <c r="A580" s="2" t="s">
        <v>342</v>
      </c>
      <c r="B580" s="2" t="s">
        <v>33</v>
      </c>
      <c r="C580" s="2" t="s">
        <v>38</v>
      </c>
      <c r="D580" s="2" t="s">
        <v>24</v>
      </c>
      <c r="E580" s="3">
        <v>0</v>
      </c>
      <c r="F580" s="3">
        <v>229.1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S580" s="7"/>
    </row>
    <row r="581" spans="1:19" x14ac:dyDescent="0.2">
      <c r="A581" s="2" t="s">
        <v>343</v>
      </c>
      <c r="B581" s="2" t="s">
        <v>22</v>
      </c>
      <c r="C581" s="2" t="s">
        <v>63</v>
      </c>
      <c r="D581" s="2" t="s">
        <v>24</v>
      </c>
      <c r="E581" s="3">
        <v>28500</v>
      </c>
      <c r="F581" s="3">
        <v>27625.03</v>
      </c>
      <c r="G581" s="3">
        <v>25000</v>
      </c>
      <c r="H581" s="3">
        <v>37282.97</v>
      </c>
      <c r="I581" s="3">
        <v>28500</v>
      </c>
      <c r="J581" s="3">
        <v>28500</v>
      </c>
      <c r="K581" s="3">
        <v>28500</v>
      </c>
      <c r="L581" s="3">
        <v>28500</v>
      </c>
      <c r="M581" s="3">
        <v>21375</v>
      </c>
      <c r="N581" s="3">
        <v>0</v>
      </c>
      <c r="O581" s="3">
        <v>0</v>
      </c>
      <c r="P581" s="3">
        <v>0</v>
      </c>
      <c r="Q581" s="3">
        <v>0</v>
      </c>
      <c r="S581" s="7"/>
    </row>
    <row r="582" spans="1:19" x14ac:dyDescent="0.2">
      <c r="A582" s="2" t="s">
        <v>343</v>
      </c>
      <c r="B582" s="2" t="s">
        <v>22</v>
      </c>
      <c r="C582" s="2" t="s">
        <v>29</v>
      </c>
      <c r="D582" s="2" t="s">
        <v>24</v>
      </c>
      <c r="E582" s="3">
        <v>0</v>
      </c>
      <c r="F582" s="3">
        <v>0</v>
      </c>
      <c r="G582" s="3">
        <v>0</v>
      </c>
      <c r="H582" s="3">
        <v>450</v>
      </c>
      <c r="I582" s="3">
        <v>600</v>
      </c>
      <c r="J582" s="3">
        <v>600</v>
      </c>
      <c r="K582" s="3">
        <v>600</v>
      </c>
      <c r="L582" s="3">
        <v>600</v>
      </c>
      <c r="M582" s="3">
        <v>450</v>
      </c>
      <c r="N582" s="3">
        <v>0</v>
      </c>
      <c r="O582" s="3">
        <v>0</v>
      </c>
      <c r="P582" s="3">
        <v>0</v>
      </c>
      <c r="Q582" s="3">
        <v>0</v>
      </c>
      <c r="S582" s="7"/>
    </row>
    <row r="583" spans="1:19" x14ac:dyDescent="0.2">
      <c r="A583" s="2" t="s">
        <v>343</v>
      </c>
      <c r="B583" s="2" t="s">
        <v>22</v>
      </c>
      <c r="C583" s="2" t="s">
        <v>29</v>
      </c>
      <c r="D583" s="2" t="s">
        <v>24</v>
      </c>
      <c r="E583" s="3">
        <v>0</v>
      </c>
      <c r="F583" s="3">
        <v>0</v>
      </c>
      <c r="G583" s="3">
        <v>0</v>
      </c>
      <c r="H583" s="3">
        <v>100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S583" s="7"/>
    </row>
    <row r="584" spans="1:19" x14ac:dyDescent="0.2">
      <c r="A584" s="2" t="s">
        <v>344</v>
      </c>
      <c r="B584" s="2" t="s">
        <v>33</v>
      </c>
      <c r="C584" s="2" t="s">
        <v>38</v>
      </c>
      <c r="D584" s="2" t="s">
        <v>24</v>
      </c>
      <c r="E584" s="3">
        <v>3250</v>
      </c>
      <c r="F584" s="3">
        <v>3900</v>
      </c>
      <c r="G584" s="3">
        <v>3300</v>
      </c>
      <c r="H584" s="3">
        <v>1400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S584" s="7"/>
    </row>
    <row r="585" spans="1:19" x14ac:dyDescent="0.2">
      <c r="A585" s="2" t="s">
        <v>344</v>
      </c>
      <c r="B585" s="2" t="s">
        <v>33</v>
      </c>
      <c r="C585" s="2" t="s">
        <v>34</v>
      </c>
      <c r="D585" s="2" t="s">
        <v>24</v>
      </c>
      <c r="E585" s="3">
        <v>119400</v>
      </c>
      <c r="F585" s="3">
        <v>119400</v>
      </c>
      <c r="G585" s="3">
        <v>120750</v>
      </c>
      <c r="H585" s="3">
        <v>123600</v>
      </c>
      <c r="I585" s="3">
        <v>134200</v>
      </c>
      <c r="J585" s="3">
        <v>141600</v>
      </c>
      <c r="K585" s="3">
        <v>141600</v>
      </c>
      <c r="L585" s="3">
        <v>139266.68</v>
      </c>
      <c r="M585" s="3">
        <v>111000</v>
      </c>
      <c r="N585" s="3">
        <v>111000</v>
      </c>
      <c r="O585" s="3">
        <v>0</v>
      </c>
      <c r="P585" s="3">
        <v>0</v>
      </c>
      <c r="Q585" s="3">
        <v>0</v>
      </c>
      <c r="S585" s="7"/>
    </row>
    <row r="586" spans="1:19" x14ac:dyDescent="0.2">
      <c r="A586" s="2" t="s">
        <v>344</v>
      </c>
      <c r="B586" s="2" t="s">
        <v>22</v>
      </c>
      <c r="C586" s="2" t="s">
        <v>29</v>
      </c>
      <c r="D586" s="2" t="s">
        <v>24</v>
      </c>
      <c r="E586" s="3">
        <v>0</v>
      </c>
      <c r="F586" s="3">
        <v>600</v>
      </c>
      <c r="G586" s="3">
        <v>600</v>
      </c>
      <c r="H586" s="3">
        <v>50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S586" s="7"/>
    </row>
    <row r="587" spans="1:19" x14ac:dyDescent="0.2">
      <c r="A587" s="2" t="s">
        <v>345</v>
      </c>
      <c r="B587" s="2" t="s">
        <v>52</v>
      </c>
      <c r="C587" s="2" t="s">
        <v>53</v>
      </c>
      <c r="D587" s="2" t="s">
        <v>24</v>
      </c>
      <c r="E587" s="3">
        <v>22650</v>
      </c>
      <c r="F587" s="3">
        <v>17071.18</v>
      </c>
      <c r="G587" s="3">
        <v>14848.08</v>
      </c>
      <c r="H587" s="3">
        <v>14704.8</v>
      </c>
      <c r="I587" s="3">
        <v>9000</v>
      </c>
      <c r="J587" s="3">
        <v>7200</v>
      </c>
      <c r="K587" s="3">
        <v>7200</v>
      </c>
      <c r="L587" s="3">
        <v>14070.97</v>
      </c>
      <c r="M587" s="3">
        <v>10800</v>
      </c>
      <c r="N587" s="3">
        <v>0</v>
      </c>
      <c r="O587" s="3">
        <v>0</v>
      </c>
      <c r="P587" s="3">
        <v>0</v>
      </c>
      <c r="Q587" s="3">
        <v>0</v>
      </c>
      <c r="S587" s="7"/>
    </row>
    <row r="588" spans="1:19" x14ac:dyDescent="0.2">
      <c r="A588" s="2" t="s">
        <v>346</v>
      </c>
      <c r="B588" s="2" t="s">
        <v>22</v>
      </c>
      <c r="C588" s="2" t="s">
        <v>36</v>
      </c>
      <c r="D588" s="2" t="s">
        <v>24</v>
      </c>
      <c r="E588" s="3">
        <v>8200</v>
      </c>
      <c r="F588" s="3">
        <v>8199.67</v>
      </c>
      <c r="G588" s="3">
        <v>8200</v>
      </c>
      <c r="H588" s="3">
        <v>8200</v>
      </c>
      <c r="I588" s="3">
        <v>8200</v>
      </c>
      <c r="J588" s="3">
        <v>8200</v>
      </c>
      <c r="K588" s="3">
        <v>8199.9600000000009</v>
      </c>
      <c r="L588" s="3">
        <v>7516.67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S588" s="7"/>
    </row>
    <row r="589" spans="1:19" x14ac:dyDescent="0.2">
      <c r="A589" s="2" t="s">
        <v>346</v>
      </c>
      <c r="B589" s="2" t="s">
        <v>22</v>
      </c>
      <c r="C589" s="2" t="s">
        <v>29</v>
      </c>
      <c r="D589" s="2" t="s">
        <v>24</v>
      </c>
      <c r="E589" s="3">
        <v>1920</v>
      </c>
      <c r="F589" s="3">
        <v>1810</v>
      </c>
      <c r="G589" s="3">
        <v>2400</v>
      </c>
      <c r="H589" s="3">
        <v>2400</v>
      </c>
      <c r="I589" s="3">
        <v>2400</v>
      </c>
      <c r="J589" s="3">
        <v>2400</v>
      </c>
      <c r="K589" s="3">
        <v>2400</v>
      </c>
      <c r="L589" s="3">
        <v>2200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S589" s="7"/>
    </row>
    <row r="590" spans="1:19" x14ac:dyDescent="0.2">
      <c r="A590" s="2" t="s">
        <v>347</v>
      </c>
      <c r="B590" s="2" t="s">
        <v>22</v>
      </c>
      <c r="C590" s="2" t="s">
        <v>36</v>
      </c>
      <c r="D590" s="2" t="s">
        <v>66</v>
      </c>
      <c r="E590" s="3">
        <v>9938.1</v>
      </c>
      <c r="F590" s="3">
        <v>9349.8000000000011</v>
      </c>
      <c r="G590" s="3">
        <v>9199.9500000000007</v>
      </c>
      <c r="H590" s="3">
        <v>10407.840000000002</v>
      </c>
      <c r="I590" s="3">
        <v>10690.62</v>
      </c>
      <c r="J590" s="3">
        <v>8000.5499999999993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S590" s="7"/>
    </row>
    <row r="591" spans="1:19" x14ac:dyDescent="0.2">
      <c r="A591" s="2" t="s">
        <v>347</v>
      </c>
      <c r="B591" s="2" t="s">
        <v>22</v>
      </c>
      <c r="C591" s="2" t="s">
        <v>29</v>
      </c>
      <c r="D591" s="2" t="s">
        <v>66</v>
      </c>
      <c r="E591" s="3">
        <v>745.38</v>
      </c>
      <c r="F591" s="3">
        <v>701.19</v>
      </c>
      <c r="G591" s="3">
        <v>690.07999999999993</v>
      </c>
      <c r="H591" s="3">
        <v>780.51</v>
      </c>
      <c r="I591" s="3">
        <v>801.8599999999999</v>
      </c>
      <c r="J591" s="3">
        <v>600.03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S591" s="7"/>
    </row>
    <row r="592" spans="1:19" x14ac:dyDescent="0.2">
      <c r="A592" s="2" t="s">
        <v>348</v>
      </c>
      <c r="B592" s="2" t="s">
        <v>22</v>
      </c>
      <c r="C592" s="2" t="s">
        <v>28</v>
      </c>
      <c r="D592" s="2" t="s">
        <v>214</v>
      </c>
      <c r="E592" s="3">
        <v>0</v>
      </c>
      <c r="F592" s="3">
        <v>0</v>
      </c>
      <c r="G592" s="3">
        <v>0</v>
      </c>
      <c r="H592" s="3">
        <v>246.45000000000002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S592" s="7"/>
    </row>
    <row r="593" spans="1:19" x14ac:dyDescent="0.2">
      <c r="A593" s="2" t="s">
        <v>349</v>
      </c>
      <c r="B593" s="2" t="s">
        <v>22</v>
      </c>
      <c r="C593" s="2" t="s">
        <v>29</v>
      </c>
      <c r="D593" s="2" t="s">
        <v>214</v>
      </c>
      <c r="E593" s="3">
        <v>0</v>
      </c>
      <c r="F593" s="3">
        <v>0</v>
      </c>
      <c r="G593" s="3">
        <v>739.3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S593" s="7"/>
    </row>
    <row r="594" spans="1:19" x14ac:dyDescent="0.2">
      <c r="A594" s="2" t="s">
        <v>350</v>
      </c>
      <c r="B594" s="2" t="s">
        <v>52</v>
      </c>
      <c r="C594" s="2" t="s">
        <v>277</v>
      </c>
      <c r="D594" s="2" t="s">
        <v>24</v>
      </c>
      <c r="E594" s="3">
        <v>478.20000000000005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S594" s="7"/>
    </row>
    <row r="595" spans="1:19" x14ac:dyDescent="0.2">
      <c r="A595" s="2" t="s">
        <v>351</v>
      </c>
      <c r="B595" s="2" t="s">
        <v>33</v>
      </c>
      <c r="C595" s="2" t="s">
        <v>34</v>
      </c>
      <c r="D595" s="2" t="s">
        <v>24</v>
      </c>
      <c r="E595" s="3">
        <v>0</v>
      </c>
      <c r="F595" s="3">
        <v>3900</v>
      </c>
      <c r="G595" s="3">
        <v>4200</v>
      </c>
      <c r="H595" s="3">
        <v>13525</v>
      </c>
      <c r="I595" s="3">
        <v>5700</v>
      </c>
      <c r="J595" s="3">
        <v>321.77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S595" s="7"/>
    </row>
    <row r="596" spans="1:19" x14ac:dyDescent="0.2">
      <c r="A596" s="2" t="s">
        <v>352</v>
      </c>
      <c r="B596" s="2" t="s">
        <v>22</v>
      </c>
      <c r="C596" s="2" t="s">
        <v>36</v>
      </c>
      <c r="D596" s="2" t="s">
        <v>113</v>
      </c>
      <c r="E596" s="3">
        <v>36312.33</v>
      </c>
      <c r="F596" s="3">
        <v>15716.64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S596" s="7"/>
    </row>
    <row r="597" spans="1:19" x14ac:dyDescent="0.2">
      <c r="A597" s="2" t="s">
        <v>353</v>
      </c>
      <c r="B597" s="2" t="s">
        <v>22</v>
      </c>
      <c r="C597" s="2" t="s">
        <v>36</v>
      </c>
      <c r="D597" s="2" t="s">
        <v>113</v>
      </c>
      <c r="E597" s="3">
        <v>2400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S597" s="7"/>
    </row>
    <row r="598" spans="1:19" x14ac:dyDescent="0.2">
      <c r="A598" s="2" t="s">
        <v>353</v>
      </c>
      <c r="B598" s="2" t="s">
        <v>22</v>
      </c>
      <c r="C598" s="2" t="s">
        <v>29</v>
      </c>
      <c r="D598" s="2" t="s">
        <v>113</v>
      </c>
      <c r="E598" s="3">
        <v>400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S598" s="7"/>
    </row>
    <row r="599" spans="1:19" x14ac:dyDescent="0.2">
      <c r="A599" s="2" t="s">
        <v>354</v>
      </c>
      <c r="B599" s="2" t="s">
        <v>52</v>
      </c>
      <c r="C599" s="2" t="s">
        <v>313</v>
      </c>
      <c r="D599" s="2" t="s">
        <v>94</v>
      </c>
      <c r="E599" s="3">
        <v>0</v>
      </c>
      <c r="F599" s="3">
        <v>0</v>
      </c>
      <c r="G599" s="3">
        <v>25983.87</v>
      </c>
      <c r="H599" s="3">
        <v>42000</v>
      </c>
      <c r="I599" s="3">
        <v>42000</v>
      </c>
      <c r="J599" s="3">
        <v>42000</v>
      </c>
      <c r="K599" s="3">
        <v>3500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S599" s="7"/>
    </row>
    <row r="600" spans="1:19" x14ac:dyDescent="0.2">
      <c r="A600" s="2" t="s">
        <v>355</v>
      </c>
      <c r="B600" s="2" t="s">
        <v>22</v>
      </c>
      <c r="C600" s="2" t="s">
        <v>29</v>
      </c>
      <c r="D600" s="2" t="s">
        <v>24</v>
      </c>
      <c r="E600" s="3">
        <v>0</v>
      </c>
      <c r="F600" s="3">
        <v>0</v>
      </c>
      <c r="G600" s="3">
        <v>0</v>
      </c>
      <c r="H600" s="3">
        <v>0</v>
      </c>
      <c r="I600" s="3">
        <v>3085.8799999999997</v>
      </c>
      <c r="J600" s="3">
        <v>3339.0099999999998</v>
      </c>
      <c r="K600" s="3">
        <v>3954.8100000000013</v>
      </c>
      <c r="L600" s="3">
        <v>334.26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S600" s="7"/>
    </row>
    <row r="601" spans="1:19" x14ac:dyDescent="0.2">
      <c r="A601" s="2" t="s">
        <v>356</v>
      </c>
      <c r="B601" s="2" t="s">
        <v>22</v>
      </c>
      <c r="C601" s="2" t="s">
        <v>29</v>
      </c>
      <c r="D601" s="2" t="s">
        <v>24</v>
      </c>
      <c r="E601" s="3">
        <v>533.32000000000005</v>
      </c>
      <c r="F601" s="3">
        <v>0</v>
      </c>
      <c r="G601" s="3">
        <v>4497.6799999999994</v>
      </c>
      <c r="H601" s="3">
        <v>1710.9999999999998</v>
      </c>
      <c r="I601" s="3">
        <v>1770.3200000000002</v>
      </c>
      <c r="J601" s="3">
        <v>1800</v>
      </c>
      <c r="K601" s="3">
        <v>1800</v>
      </c>
      <c r="L601" s="3">
        <v>1800</v>
      </c>
      <c r="M601" s="3">
        <v>600</v>
      </c>
      <c r="N601" s="3">
        <v>0</v>
      </c>
      <c r="O601" s="3">
        <v>0</v>
      </c>
      <c r="P601" s="3">
        <v>0</v>
      </c>
      <c r="Q601" s="3">
        <v>0</v>
      </c>
      <c r="S601" s="7"/>
    </row>
    <row r="602" spans="1:19" x14ac:dyDescent="0.2">
      <c r="A602" s="2" t="s">
        <v>356</v>
      </c>
      <c r="B602" s="2" t="s">
        <v>52</v>
      </c>
      <c r="C602" s="2" t="s">
        <v>313</v>
      </c>
      <c r="D602" s="2" t="s">
        <v>24</v>
      </c>
      <c r="E602" s="3">
        <v>2266.6900000000005</v>
      </c>
      <c r="F602" s="3">
        <v>933.31000000000006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S602" s="7"/>
    </row>
    <row r="603" spans="1:19" x14ac:dyDescent="0.2">
      <c r="A603" s="2" t="s">
        <v>357</v>
      </c>
      <c r="B603" s="2" t="s">
        <v>22</v>
      </c>
      <c r="C603" s="2" t="s">
        <v>36</v>
      </c>
      <c r="D603" s="2" t="s">
        <v>170</v>
      </c>
      <c r="E603" s="3">
        <v>0</v>
      </c>
      <c r="F603" s="3">
        <v>0</v>
      </c>
      <c r="G603" s="3">
        <v>0</v>
      </c>
      <c r="H603" s="3">
        <v>0</v>
      </c>
      <c r="I603" s="3">
        <v>5199.9799999999996</v>
      </c>
      <c r="J603" s="3">
        <v>10400.039999999999</v>
      </c>
      <c r="K603" s="3">
        <v>7800.03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S603" s="7"/>
    </row>
    <row r="604" spans="1:19" x14ac:dyDescent="0.2">
      <c r="A604" s="2" t="s">
        <v>357</v>
      </c>
      <c r="B604" s="2" t="s">
        <v>22</v>
      </c>
      <c r="C604" s="2" t="s">
        <v>29</v>
      </c>
      <c r="D604" s="2" t="s">
        <v>170</v>
      </c>
      <c r="E604" s="3">
        <v>0</v>
      </c>
      <c r="F604" s="3">
        <v>0</v>
      </c>
      <c r="G604" s="3">
        <v>0</v>
      </c>
      <c r="H604" s="3">
        <v>0</v>
      </c>
      <c r="I604" s="3">
        <v>400.64000000000004</v>
      </c>
      <c r="J604" s="3">
        <v>66.67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S604" s="7"/>
    </row>
    <row r="605" spans="1:19" x14ac:dyDescent="0.2">
      <c r="A605" s="2" t="s">
        <v>358</v>
      </c>
      <c r="B605" s="2" t="s">
        <v>22</v>
      </c>
      <c r="C605" s="2" t="s">
        <v>330</v>
      </c>
      <c r="D605" s="2" t="s">
        <v>31</v>
      </c>
      <c r="E605" s="3">
        <v>6400</v>
      </c>
      <c r="F605" s="3">
        <v>6400</v>
      </c>
      <c r="G605" s="3">
        <v>6400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S605" s="7"/>
    </row>
    <row r="606" spans="1:19" x14ac:dyDescent="0.2">
      <c r="A606" s="2" t="s">
        <v>359</v>
      </c>
      <c r="B606" s="2" t="s">
        <v>33</v>
      </c>
      <c r="C606" s="2" t="s">
        <v>34</v>
      </c>
      <c r="D606" s="2" t="s">
        <v>24</v>
      </c>
      <c r="E606" s="3">
        <v>77220</v>
      </c>
      <c r="F606" s="3">
        <v>74106.289999999994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S606" s="7"/>
    </row>
    <row r="607" spans="1:19" x14ac:dyDescent="0.2">
      <c r="A607" s="2" t="s">
        <v>360</v>
      </c>
      <c r="B607" s="2" t="s">
        <v>22</v>
      </c>
      <c r="C607" s="2" t="s">
        <v>26</v>
      </c>
      <c r="D607" s="2" t="s">
        <v>24</v>
      </c>
      <c r="E607" s="3">
        <v>14499.999999999998</v>
      </c>
      <c r="F607" s="3">
        <v>14499.999999999998</v>
      </c>
      <c r="G607" s="3">
        <v>3624.99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S607" s="7"/>
    </row>
    <row r="608" spans="1:19" x14ac:dyDescent="0.2">
      <c r="A608" s="2" t="s">
        <v>360</v>
      </c>
      <c r="B608" s="2" t="s">
        <v>22</v>
      </c>
      <c r="C608" s="2" t="s">
        <v>29</v>
      </c>
      <c r="D608" s="2" t="s">
        <v>24</v>
      </c>
      <c r="E608" s="3">
        <v>5425</v>
      </c>
      <c r="F608" s="3">
        <v>4900</v>
      </c>
      <c r="G608" s="3">
        <v>1224.99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S608" s="7"/>
    </row>
    <row r="609" spans="1:19" x14ac:dyDescent="0.2">
      <c r="A609" s="2" t="s">
        <v>360</v>
      </c>
      <c r="B609" s="2" t="s">
        <v>52</v>
      </c>
      <c r="C609" s="2" t="s">
        <v>53</v>
      </c>
      <c r="D609" s="2" t="s">
        <v>24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5250</v>
      </c>
      <c r="Q609" s="3">
        <v>0</v>
      </c>
      <c r="S609" s="7"/>
    </row>
    <row r="610" spans="1:19" x14ac:dyDescent="0.2">
      <c r="A610" s="2" t="s">
        <v>361</v>
      </c>
      <c r="B610" s="2" t="s">
        <v>22</v>
      </c>
      <c r="C610" s="2" t="s">
        <v>28</v>
      </c>
      <c r="D610" s="2" t="s">
        <v>24</v>
      </c>
      <c r="E610" s="3">
        <v>2.0299999999999998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S610" s="7"/>
    </row>
    <row r="611" spans="1:19" x14ac:dyDescent="0.2">
      <c r="A611" s="2" t="s">
        <v>362</v>
      </c>
      <c r="B611" s="2" t="s">
        <v>22</v>
      </c>
      <c r="C611" s="2" t="s">
        <v>26</v>
      </c>
      <c r="D611" s="2" t="s">
        <v>24</v>
      </c>
      <c r="E611" s="3">
        <v>17850</v>
      </c>
      <c r="F611" s="3">
        <v>17850</v>
      </c>
      <c r="G611" s="3">
        <v>17850</v>
      </c>
      <c r="H611" s="3">
        <v>17850</v>
      </c>
      <c r="I611" s="3">
        <v>13982.5</v>
      </c>
      <c r="J611" s="3">
        <v>10710</v>
      </c>
      <c r="K611" s="3">
        <v>10710</v>
      </c>
      <c r="L611" s="3">
        <v>10710</v>
      </c>
      <c r="M611" s="3">
        <v>10710</v>
      </c>
      <c r="N611" s="3">
        <v>3570</v>
      </c>
      <c r="O611" s="3">
        <v>0</v>
      </c>
      <c r="P611" s="3">
        <v>0</v>
      </c>
      <c r="Q611" s="3">
        <v>0</v>
      </c>
      <c r="S611" s="7"/>
    </row>
    <row r="612" spans="1:19" x14ac:dyDescent="0.2">
      <c r="A612" s="2" t="s">
        <v>362</v>
      </c>
      <c r="B612" s="2" t="s">
        <v>22</v>
      </c>
      <c r="C612" s="2" t="s">
        <v>63</v>
      </c>
      <c r="D612" s="2" t="s">
        <v>24</v>
      </c>
      <c r="E612" s="3">
        <v>0</v>
      </c>
      <c r="F612" s="3">
        <v>31200</v>
      </c>
      <c r="G612" s="3">
        <v>28800</v>
      </c>
      <c r="H612" s="3">
        <v>28800</v>
      </c>
      <c r="I612" s="3">
        <v>28800</v>
      </c>
      <c r="J612" s="3">
        <v>28800</v>
      </c>
      <c r="K612" s="3">
        <v>28800</v>
      </c>
      <c r="L612" s="3">
        <v>26400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S612" s="7"/>
    </row>
    <row r="613" spans="1:19" x14ac:dyDescent="0.2">
      <c r="A613" s="2" t="s">
        <v>362</v>
      </c>
      <c r="B613" s="2" t="s">
        <v>22</v>
      </c>
      <c r="C613" s="2" t="s">
        <v>29</v>
      </c>
      <c r="D613" s="2" t="s">
        <v>24</v>
      </c>
      <c r="E613" s="3">
        <v>35466.68</v>
      </c>
      <c r="F613" s="3">
        <v>40533.319999999992</v>
      </c>
      <c r="G613" s="3">
        <v>44016.68</v>
      </c>
      <c r="H613" s="3">
        <v>39900</v>
      </c>
      <c r="I613" s="3">
        <v>24177.5</v>
      </c>
      <c r="J613" s="3">
        <v>19950</v>
      </c>
      <c r="K613" s="3">
        <v>21925</v>
      </c>
      <c r="L613" s="3">
        <v>22230</v>
      </c>
      <c r="M613" s="3">
        <v>7790</v>
      </c>
      <c r="N613" s="3">
        <v>190</v>
      </c>
      <c r="O613" s="3">
        <v>0</v>
      </c>
      <c r="P613" s="3">
        <v>0</v>
      </c>
      <c r="Q613" s="3">
        <v>0</v>
      </c>
      <c r="S613" s="7"/>
    </row>
    <row r="614" spans="1:19" x14ac:dyDescent="0.2">
      <c r="A614" s="2" t="s">
        <v>363</v>
      </c>
      <c r="B614" s="2" t="s">
        <v>33</v>
      </c>
      <c r="C614" s="2" t="s">
        <v>34</v>
      </c>
      <c r="D614" s="2" t="s">
        <v>24</v>
      </c>
      <c r="E614" s="3">
        <v>0</v>
      </c>
      <c r="F614" s="3">
        <v>0</v>
      </c>
      <c r="G614" s="3">
        <v>0</v>
      </c>
      <c r="H614" s="3">
        <v>0</v>
      </c>
      <c r="I614" s="3">
        <v>11000</v>
      </c>
      <c r="J614" s="3">
        <v>26400</v>
      </c>
      <c r="K614" s="3">
        <v>26400</v>
      </c>
      <c r="L614" s="3">
        <v>26400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S614" s="7"/>
    </row>
    <row r="615" spans="1:19" x14ac:dyDescent="0.2">
      <c r="A615" s="2" t="s">
        <v>364</v>
      </c>
      <c r="B615" s="2" t="s">
        <v>22</v>
      </c>
      <c r="C615" s="2" t="s">
        <v>39</v>
      </c>
      <c r="D615" s="2" t="s">
        <v>24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56439.46666666666</v>
      </c>
      <c r="S615" s="7"/>
    </row>
    <row r="616" spans="1:19" x14ac:dyDescent="0.2">
      <c r="A616" s="2" t="s">
        <v>364</v>
      </c>
      <c r="B616" s="2" t="s">
        <v>22</v>
      </c>
      <c r="C616" s="2" t="s">
        <v>63</v>
      </c>
      <c r="D616" s="2" t="s">
        <v>24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62210</v>
      </c>
      <c r="S616" s="7"/>
    </row>
    <row r="617" spans="1:19" x14ac:dyDescent="0.2">
      <c r="A617" s="2" t="s">
        <v>365</v>
      </c>
      <c r="B617" s="2" t="s">
        <v>52</v>
      </c>
      <c r="C617" s="2" t="s">
        <v>277</v>
      </c>
      <c r="D617" s="2" t="s">
        <v>24</v>
      </c>
      <c r="E617" s="3">
        <v>1050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S617" s="7"/>
    </row>
    <row r="618" spans="1:19" x14ac:dyDescent="0.2">
      <c r="A618" s="2" t="s">
        <v>366</v>
      </c>
      <c r="B618" s="2" t="s">
        <v>22</v>
      </c>
      <c r="C618" s="2" t="s">
        <v>29</v>
      </c>
      <c r="D618" s="2" t="s">
        <v>57</v>
      </c>
      <c r="E618" s="3">
        <v>2236.1999999999994</v>
      </c>
      <c r="F618" s="3">
        <v>2717.0700000000006</v>
      </c>
      <c r="G618" s="3">
        <v>2757.7599999999998</v>
      </c>
      <c r="H618" s="3">
        <v>5216.3500000000004</v>
      </c>
      <c r="I618" s="3">
        <v>7029.41</v>
      </c>
      <c r="J618" s="3">
        <v>7117.2000000000007</v>
      </c>
      <c r="K618" s="3">
        <v>1162.71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S618" s="7"/>
    </row>
    <row r="619" spans="1:19" x14ac:dyDescent="0.2">
      <c r="A619" s="2" t="s">
        <v>366</v>
      </c>
      <c r="B619" s="2" t="s">
        <v>33</v>
      </c>
      <c r="C619" s="2" t="s">
        <v>34</v>
      </c>
      <c r="D619" s="2" t="s">
        <v>57</v>
      </c>
      <c r="E619" s="3">
        <v>0</v>
      </c>
      <c r="F619" s="3">
        <v>0</v>
      </c>
      <c r="G619" s="3">
        <v>0</v>
      </c>
      <c r="H619" s="3">
        <v>12366.67</v>
      </c>
      <c r="I619" s="3">
        <v>33850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S619" s="7"/>
    </row>
    <row r="620" spans="1:19" x14ac:dyDescent="0.2">
      <c r="A620" s="2" t="s">
        <v>367</v>
      </c>
      <c r="B620" s="2" t="s">
        <v>33</v>
      </c>
      <c r="C620" s="2" t="s">
        <v>34</v>
      </c>
      <c r="D620" s="2" t="s">
        <v>24</v>
      </c>
      <c r="E620" s="3">
        <v>84975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S620" s="7"/>
    </row>
    <row r="621" spans="1:19" x14ac:dyDescent="0.2">
      <c r="A621" s="2" t="s">
        <v>368</v>
      </c>
      <c r="B621" s="2" t="s">
        <v>33</v>
      </c>
      <c r="C621" s="2" t="s">
        <v>34</v>
      </c>
      <c r="D621" s="2" t="s">
        <v>170</v>
      </c>
      <c r="E621" s="3">
        <v>96050</v>
      </c>
      <c r="F621" s="3">
        <v>33225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S621" s="7"/>
    </row>
    <row r="622" spans="1:19" x14ac:dyDescent="0.2">
      <c r="A622" s="2" t="s">
        <v>369</v>
      </c>
      <c r="B622" s="2" t="s">
        <v>33</v>
      </c>
      <c r="C622" s="2" t="s">
        <v>38</v>
      </c>
      <c r="D622" s="2" t="s">
        <v>69</v>
      </c>
      <c r="E622" s="3">
        <v>796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S622" s="7"/>
    </row>
    <row r="623" spans="1:19" x14ac:dyDescent="0.2">
      <c r="A623" s="2" t="s">
        <v>370</v>
      </c>
      <c r="B623" s="2" t="s">
        <v>22</v>
      </c>
      <c r="C623" s="2" t="s">
        <v>23</v>
      </c>
      <c r="D623" s="2" t="s">
        <v>24</v>
      </c>
      <c r="E623" s="3">
        <v>15000</v>
      </c>
      <c r="F623" s="3">
        <v>13750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S623" s="7"/>
    </row>
    <row r="624" spans="1:19" x14ac:dyDescent="0.2">
      <c r="A624" s="2" t="s">
        <v>370</v>
      </c>
      <c r="B624" s="2" t="s">
        <v>33</v>
      </c>
      <c r="C624" s="2" t="s">
        <v>38</v>
      </c>
      <c r="D624" s="2" t="s">
        <v>24</v>
      </c>
      <c r="E624" s="3">
        <v>3600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S624" s="7"/>
    </row>
    <row r="625" spans="1:19" x14ac:dyDescent="0.2">
      <c r="A625" s="2" t="s">
        <v>370</v>
      </c>
      <c r="B625" s="2" t="s">
        <v>22</v>
      </c>
      <c r="C625" s="2" t="s">
        <v>39</v>
      </c>
      <c r="D625" s="2" t="s">
        <v>24</v>
      </c>
      <c r="E625" s="3">
        <v>52636.80000000001</v>
      </c>
      <c r="F625" s="3">
        <v>48250.400000000009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S625" s="7"/>
    </row>
    <row r="626" spans="1:19" x14ac:dyDescent="0.2">
      <c r="A626" s="2" t="s">
        <v>371</v>
      </c>
      <c r="B626" s="2" t="s">
        <v>33</v>
      </c>
      <c r="C626" s="2" t="s">
        <v>34</v>
      </c>
      <c r="D626" s="2" t="s">
        <v>94</v>
      </c>
      <c r="E626" s="3">
        <v>0</v>
      </c>
      <c r="F626" s="3">
        <v>0</v>
      </c>
      <c r="G626" s="3">
        <v>0</v>
      </c>
      <c r="H626" s="3">
        <v>0</v>
      </c>
      <c r="I626" s="3">
        <v>10742</v>
      </c>
      <c r="J626" s="3">
        <v>12940.33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S626" s="7"/>
    </row>
    <row r="627" spans="1:19" x14ac:dyDescent="0.2">
      <c r="A627" s="2" t="s">
        <v>372</v>
      </c>
      <c r="B627" s="2" t="s">
        <v>22</v>
      </c>
      <c r="C627" s="2" t="s">
        <v>36</v>
      </c>
      <c r="D627" s="2" t="s">
        <v>94</v>
      </c>
      <c r="E627" s="3">
        <v>0</v>
      </c>
      <c r="F627" s="3">
        <v>0</v>
      </c>
      <c r="G627" s="3">
        <v>0</v>
      </c>
      <c r="H627" s="3">
        <v>918.82999999999993</v>
      </c>
      <c r="I627" s="3">
        <v>5498.97</v>
      </c>
      <c r="J627" s="3">
        <v>5412.4100000000017</v>
      </c>
      <c r="K627" s="3">
        <v>5378.75</v>
      </c>
      <c r="L627" s="3">
        <v>5531.590000000002</v>
      </c>
      <c r="M627" s="3">
        <v>4419.8</v>
      </c>
      <c r="N627" s="3">
        <v>0</v>
      </c>
      <c r="O627" s="3">
        <v>0</v>
      </c>
      <c r="P627" s="3">
        <v>0</v>
      </c>
      <c r="Q627" s="3">
        <v>0</v>
      </c>
      <c r="S627" s="7"/>
    </row>
    <row r="628" spans="1:19" x14ac:dyDescent="0.2">
      <c r="A628" s="2" t="s">
        <v>372</v>
      </c>
      <c r="B628" s="2" t="s">
        <v>22</v>
      </c>
      <c r="C628" s="2" t="s">
        <v>29</v>
      </c>
      <c r="D628" s="2" t="s">
        <v>94</v>
      </c>
      <c r="E628" s="3">
        <v>0</v>
      </c>
      <c r="F628" s="3">
        <v>0</v>
      </c>
      <c r="G628" s="3">
        <v>0</v>
      </c>
      <c r="H628" s="3">
        <v>140.77000000000001</v>
      </c>
      <c r="I628" s="3">
        <v>842.57999999999981</v>
      </c>
      <c r="J628" s="3">
        <v>965.65</v>
      </c>
      <c r="K628" s="3">
        <v>1648.33</v>
      </c>
      <c r="L628" s="3">
        <v>1695.1600000000005</v>
      </c>
      <c r="M628" s="3">
        <v>1354.5000000000002</v>
      </c>
      <c r="N628" s="3">
        <v>0</v>
      </c>
      <c r="O628" s="3">
        <v>0</v>
      </c>
      <c r="P628" s="3">
        <v>0</v>
      </c>
      <c r="Q628" s="3">
        <v>0</v>
      </c>
      <c r="S628" s="7"/>
    </row>
    <row r="629" spans="1:19" x14ac:dyDescent="0.2">
      <c r="A629" s="2" t="s">
        <v>373</v>
      </c>
      <c r="B629" s="2" t="s">
        <v>22</v>
      </c>
      <c r="C629" s="2" t="s">
        <v>26</v>
      </c>
      <c r="D629" s="2" t="s">
        <v>94</v>
      </c>
      <c r="E629" s="3">
        <v>0</v>
      </c>
      <c r="F629" s="3">
        <v>0</v>
      </c>
      <c r="G629" s="3">
        <v>1489.74</v>
      </c>
      <c r="H629" s="3">
        <v>17930.349999999999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S629" s="7"/>
    </row>
    <row r="630" spans="1:19" x14ac:dyDescent="0.2">
      <c r="A630" s="2" t="s">
        <v>373</v>
      </c>
      <c r="B630" s="2" t="s">
        <v>22</v>
      </c>
      <c r="C630" s="2" t="s">
        <v>29</v>
      </c>
      <c r="D630" s="2" t="s">
        <v>94</v>
      </c>
      <c r="E630" s="3">
        <v>0</v>
      </c>
      <c r="F630" s="3">
        <v>0</v>
      </c>
      <c r="G630" s="3">
        <v>539.19000000000005</v>
      </c>
      <c r="H630" s="3">
        <v>6698.4600000000009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S630" s="7"/>
    </row>
    <row r="631" spans="1:19" x14ac:dyDescent="0.2">
      <c r="A631" s="2" t="s">
        <v>374</v>
      </c>
      <c r="B631" s="2" t="s">
        <v>22</v>
      </c>
      <c r="C631" s="2" t="s">
        <v>36</v>
      </c>
      <c r="D631" s="2" t="s">
        <v>94</v>
      </c>
      <c r="E631" s="3">
        <v>13199.07</v>
      </c>
      <c r="F631" s="3">
        <v>12031.149999999998</v>
      </c>
      <c r="G631" s="3">
        <v>12343.110000000002</v>
      </c>
      <c r="H631" s="3">
        <v>13340.890000000003</v>
      </c>
      <c r="I631" s="3">
        <v>14034.080000000002</v>
      </c>
      <c r="J631" s="3">
        <v>4741.16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S631" s="7"/>
    </row>
    <row r="632" spans="1:19" x14ac:dyDescent="0.2">
      <c r="A632" s="2" t="s">
        <v>374</v>
      </c>
      <c r="B632" s="2" t="s">
        <v>22</v>
      </c>
      <c r="C632" s="2" t="s">
        <v>29</v>
      </c>
      <c r="D632" s="2" t="s">
        <v>94</v>
      </c>
      <c r="E632" s="3">
        <v>2296.4299999999998</v>
      </c>
      <c r="F632" s="3">
        <v>2836.1399999999994</v>
      </c>
      <c r="G632" s="3">
        <v>4407.99</v>
      </c>
      <c r="H632" s="3">
        <v>6576.5499999999975</v>
      </c>
      <c r="I632" s="3">
        <v>11914.189999999999</v>
      </c>
      <c r="J632" s="3">
        <v>4750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S632" s="7"/>
    </row>
    <row r="633" spans="1:19" x14ac:dyDescent="0.2">
      <c r="A633" s="2" t="s">
        <v>375</v>
      </c>
      <c r="B633" s="2" t="s">
        <v>22</v>
      </c>
      <c r="C633" s="2" t="s">
        <v>36</v>
      </c>
      <c r="D633" s="2" t="s">
        <v>24</v>
      </c>
      <c r="E633" s="3">
        <v>8000</v>
      </c>
      <c r="F633" s="3">
        <v>8000</v>
      </c>
      <c r="G633" s="3">
        <v>8000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S633" s="7"/>
    </row>
    <row r="634" spans="1:19" x14ac:dyDescent="0.2">
      <c r="A634" s="2" t="s">
        <v>375</v>
      </c>
      <c r="B634" s="2" t="s">
        <v>22</v>
      </c>
      <c r="C634" s="2" t="s">
        <v>29</v>
      </c>
      <c r="D634" s="2" t="s">
        <v>24</v>
      </c>
      <c r="E634" s="3">
        <v>14400</v>
      </c>
      <c r="F634" s="3">
        <v>12480</v>
      </c>
      <c r="G634" s="3">
        <v>12480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S634" s="7"/>
    </row>
    <row r="635" spans="1:19" x14ac:dyDescent="0.2">
      <c r="A635" s="2" t="s">
        <v>375</v>
      </c>
      <c r="B635" s="2" t="s">
        <v>33</v>
      </c>
      <c r="C635" s="2" t="s">
        <v>38</v>
      </c>
      <c r="D635" s="2" t="s">
        <v>24</v>
      </c>
      <c r="E635" s="3">
        <v>7000</v>
      </c>
      <c r="F635" s="3">
        <v>5000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S635" s="7"/>
    </row>
    <row r="636" spans="1:19" x14ac:dyDescent="0.2">
      <c r="A636" s="2" t="s">
        <v>376</v>
      </c>
      <c r="B636" s="2" t="s">
        <v>33</v>
      </c>
      <c r="C636" s="2" t="s">
        <v>34</v>
      </c>
      <c r="D636" s="2" t="s">
        <v>24</v>
      </c>
      <c r="E636" s="3">
        <v>167052</v>
      </c>
      <c r="F636" s="3">
        <v>169552</v>
      </c>
      <c r="G636" s="3">
        <v>83526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S636" s="7"/>
    </row>
    <row r="637" spans="1:19" x14ac:dyDescent="0.2">
      <c r="A637" s="2" t="s">
        <v>377</v>
      </c>
      <c r="B637" s="2" t="s">
        <v>22</v>
      </c>
      <c r="C637" s="2" t="s">
        <v>26</v>
      </c>
      <c r="D637" s="2" t="s">
        <v>57</v>
      </c>
      <c r="E637" s="3">
        <v>11345.600000000002</v>
      </c>
      <c r="F637" s="3">
        <v>15653.38</v>
      </c>
      <c r="G637" s="3">
        <v>16030.719999999996</v>
      </c>
      <c r="H637" s="3">
        <v>17379.580000000002</v>
      </c>
      <c r="I637" s="3">
        <v>18282.630000000005</v>
      </c>
      <c r="J637" s="3">
        <v>7677.65</v>
      </c>
      <c r="K637" s="3">
        <v>12215.410000000002</v>
      </c>
      <c r="L637" s="3">
        <v>18186.059999999998</v>
      </c>
      <c r="M637" s="3">
        <v>18026.689999999999</v>
      </c>
      <c r="N637" s="3">
        <v>5993.76</v>
      </c>
      <c r="O637" s="3">
        <v>0</v>
      </c>
      <c r="P637" s="3">
        <v>1799.24</v>
      </c>
      <c r="Q637" s="3">
        <v>0</v>
      </c>
      <c r="S637" s="7"/>
    </row>
    <row r="638" spans="1:19" x14ac:dyDescent="0.2">
      <c r="A638" s="2" t="s">
        <v>377</v>
      </c>
      <c r="B638" s="2" t="s">
        <v>22</v>
      </c>
      <c r="C638" s="2" t="s">
        <v>29</v>
      </c>
      <c r="D638" s="2" t="s">
        <v>57</v>
      </c>
      <c r="E638" s="3">
        <v>4534.38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S638" s="7"/>
    </row>
    <row r="639" spans="1:19" x14ac:dyDescent="0.2">
      <c r="A639" s="2" t="s">
        <v>377</v>
      </c>
      <c r="B639" s="2" t="s">
        <v>22</v>
      </c>
      <c r="C639" s="2" t="s">
        <v>36</v>
      </c>
      <c r="D639" s="2" t="s">
        <v>57</v>
      </c>
      <c r="E639" s="3">
        <v>-4052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S639" s="7"/>
    </row>
    <row r="640" spans="1:19" x14ac:dyDescent="0.2">
      <c r="A640" s="2" t="s">
        <v>377</v>
      </c>
      <c r="B640" s="2" t="s">
        <v>22</v>
      </c>
      <c r="C640" s="2" t="s">
        <v>29</v>
      </c>
      <c r="D640" s="2" t="s">
        <v>57</v>
      </c>
      <c r="E640" s="3">
        <v>4376.16</v>
      </c>
      <c r="F640" s="3">
        <v>13669.439999999997</v>
      </c>
      <c r="G640" s="3">
        <v>18854.499999999996</v>
      </c>
      <c r="H640" s="3">
        <v>24141.660000000003</v>
      </c>
      <c r="I640" s="3">
        <v>29816.839999999997</v>
      </c>
      <c r="J640" s="3">
        <v>13354.730000000001</v>
      </c>
      <c r="K640" s="3">
        <v>24081.82</v>
      </c>
      <c r="L640" s="3">
        <v>37923.1</v>
      </c>
      <c r="M640" s="3">
        <v>39656.1</v>
      </c>
      <c r="N640" s="3">
        <v>13357.52</v>
      </c>
      <c r="O640" s="3">
        <v>0</v>
      </c>
      <c r="P640" s="3">
        <v>4005.51</v>
      </c>
      <c r="Q640" s="3">
        <v>0</v>
      </c>
      <c r="S640" s="7"/>
    </row>
    <row r="641" spans="1:19" x14ac:dyDescent="0.2">
      <c r="A641" s="2" t="s">
        <v>378</v>
      </c>
      <c r="B641" s="2" t="s">
        <v>22</v>
      </c>
      <c r="C641" s="2" t="s">
        <v>36</v>
      </c>
      <c r="D641" s="2" t="s">
        <v>57</v>
      </c>
      <c r="E641" s="3">
        <v>7557.2999999999993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S641" s="7"/>
    </row>
    <row r="642" spans="1:19" x14ac:dyDescent="0.2">
      <c r="A642" s="2" t="s">
        <v>379</v>
      </c>
      <c r="B642" s="2" t="s">
        <v>22</v>
      </c>
      <c r="C642" s="2" t="s">
        <v>36</v>
      </c>
      <c r="D642" s="2" t="s">
        <v>24</v>
      </c>
      <c r="E642" s="3">
        <v>6083.2099999999991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S642" s="7"/>
    </row>
    <row r="643" spans="1:19" x14ac:dyDescent="0.2">
      <c r="A643" s="2" t="s">
        <v>379</v>
      </c>
      <c r="B643" s="2" t="s">
        <v>22</v>
      </c>
      <c r="C643" s="2" t="s">
        <v>29</v>
      </c>
      <c r="D643" s="2" t="s">
        <v>24</v>
      </c>
      <c r="E643" s="3">
        <v>466.05999999999995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S643" s="7"/>
    </row>
    <row r="644" spans="1:19" x14ac:dyDescent="0.2">
      <c r="A644" s="2" t="s">
        <v>380</v>
      </c>
      <c r="B644" s="2" t="s">
        <v>22</v>
      </c>
      <c r="C644" s="2" t="s">
        <v>36</v>
      </c>
      <c r="D644" s="2" t="s">
        <v>72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11408.69</v>
      </c>
      <c r="Q644" s="3">
        <v>0</v>
      </c>
      <c r="S644" s="7"/>
    </row>
    <row r="645" spans="1:19" x14ac:dyDescent="0.2">
      <c r="A645" s="2" t="s">
        <v>380</v>
      </c>
      <c r="B645" s="2" t="s">
        <v>22</v>
      </c>
      <c r="C645" s="2" t="s">
        <v>29</v>
      </c>
      <c r="D645" s="2" t="s">
        <v>72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873.39</v>
      </c>
      <c r="Q645" s="3">
        <v>0</v>
      </c>
      <c r="S645" s="7"/>
    </row>
    <row r="646" spans="1:19" x14ac:dyDescent="0.2">
      <c r="A646" s="2" t="s">
        <v>381</v>
      </c>
      <c r="B646" s="2" t="s">
        <v>22</v>
      </c>
      <c r="C646" s="2" t="s">
        <v>29</v>
      </c>
      <c r="D646" s="2" t="s">
        <v>27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141.54000000000002</v>
      </c>
      <c r="L646" s="3">
        <v>842.98</v>
      </c>
      <c r="M646" s="3">
        <v>815.07000000000016</v>
      </c>
      <c r="N646" s="3">
        <v>689.30000000000018</v>
      </c>
      <c r="O646" s="3">
        <v>0</v>
      </c>
      <c r="P646" s="3">
        <v>0</v>
      </c>
      <c r="Q646" s="3">
        <v>0</v>
      </c>
      <c r="S646" s="7"/>
    </row>
    <row r="647" spans="1:19" x14ac:dyDescent="0.2">
      <c r="A647" s="2" t="s">
        <v>381</v>
      </c>
      <c r="B647" s="2" t="s">
        <v>22</v>
      </c>
      <c r="C647" s="2" t="s">
        <v>36</v>
      </c>
      <c r="D647" s="2" t="s">
        <v>27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1847.06</v>
      </c>
      <c r="L647" s="3">
        <v>11003.080000000002</v>
      </c>
      <c r="M647" s="3">
        <v>10639.18</v>
      </c>
      <c r="N647" s="3">
        <v>8997.2000000000007</v>
      </c>
      <c r="O647" s="3">
        <v>0</v>
      </c>
      <c r="P647" s="3">
        <v>0</v>
      </c>
      <c r="Q647" s="3">
        <v>0</v>
      </c>
      <c r="S647" s="7"/>
    </row>
    <row r="648" spans="1:19" x14ac:dyDescent="0.2">
      <c r="A648" s="2" t="s">
        <v>382</v>
      </c>
      <c r="B648" s="2" t="s">
        <v>22</v>
      </c>
      <c r="C648" s="2" t="s">
        <v>253</v>
      </c>
      <c r="D648" s="2" t="s">
        <v>24</v>
      </c>
      <c r="E648" s="3">
        <v>0</v>
      </c>
      <c r="F648" s="3">
        <v>278585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S648" s="7"/>
    </row>
    <row r="649" spans="1:19" x14ac:dyDescent="0.2">
      <c r="A649" s="2" t="s">
        <v>383</v>
      </c>
      <c r="B649" s="2" t="s">
        <v>33</v>
      </c>
      <c r="C649" s="2" t="s">
        <v>34</v>
      </c>
      <c r="D649" s="2" t="s">
        <v>167</v>
      </c>
      <c r="E649" s="3">
        <v>139800</v>
      </c>
      <c r="F649" s="3">
        <v>150600</v>
      </c>
      <c r="G649" s="3">
        <v>158660</v>
      </c>
      <c r="H649" s="3">
        <v>160920</v>
      </c>
      <c r="I649" s="3">
        <v>162720</v>
      </c>
      <c r="J649" s="3">
        <v>56040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S649" s="7"/>
    </row>
    <row r="650" spans="1:19" x14ac:dyDescent="0.2">
      <c r="A650" s="2" t="s">
        <v>384</v>
      </c>
      <c r="B650" s="2" t="s">
        <v>22</v>
      </c>
      <c r="C650" s="2" t="s">
        <v>29</v>
      </c>
      <c r="D650" s="2" t="s">
        <v>91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1000</v>
      </c>
      <c r="Q650" s="3">
        <v>0</v>
      </c>
      <c r="S650" s="7"/>
    </row>
    <row r="651" spans="1:19" x14ac:dyDescent="0.2">
      <c r="A651" s="2" t="s">
        <v>385</v>
      </c>
      <c r="B651" s="2" t="s">
        <v>33</v>
      </c>
      <c r="C651" s="2" t="s">
        <v>38</v>
      </c>
      <c r="D651" s="2" t="s">
        <v>24</v>
      </c>
      <c r="E651" s="3">
        <v>2400</v>
      </c>
      <c r="F651" s="3">
        <v>1200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S651" s="7"/>
    </row>
    <row r="652" spans="1:19" x14ac:dyDescent="0.2">
      <c r="A652" s="2" t="s">
        <v>385</v>
      </c>
      <c r="B652" s="2" t="s">
        <v>22</v>
      </c>
      <c r="C652" s="2" t="s">
        <v>63</v>
      </c>
      <c r="D652" s="2" t="s">
        <v>24</v>
      </c>
      <c r="E652" s="3">
        <v>0</v>
      </c>
      <c r="F652" s="3">
        <v>0</v>
      </c>
      <c r="G652" s="3">
        <v>5916.7</v>
      </c>
      <c r="H652" s="3">
        <v>35500</v>
      </c>
      <c r="I652" s="3">
        <v>29583.300000000003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S652" s="7"/>
    </row>
    <row r="653" spans="1:19" x14ac:dyDescent="0.2">
      <c r="A653" s="2" t="s">
        <v>385</v>
      </c>
      <c r="B653" s="2" t="s">
        <v>22</v>
      </c>
      <c r="C653" s="2" t="s">
        <v>29</v>
      </c>
      <c r="D653" s="2" t="s">
        <v>24</v>
      </c>
      <c r="E653" s="3">
        <v>0</v>
      </c>
      <c r="F653" s="3">
        <v>0</v>
      </c>
      <c r="G653" s="3">
        <v>395</v>
      </c>
      <c r="H653" s="3">
        <v>1975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S653" s="7"/>
    </row>
    <row r="654" spans="1:19" x14ac:dyDescent="0.2">
      <c r="A654" s="2" t="s">
        <v>386</v>
      </c>
      <c r="B654" s="2" t="s">
        <v>22</v>
      </c>
      <c r="C654" s="2" t="s">
        <v>63</v>
      </c>
      <c r="D654" s="2" t="s">
        <v>24</v>
      </c>
      <c r="E654" s="3">
        <v>37870.000000000007</v>
      </c>
      <c r="F654" s="3">
        <v>37475.000000000007</v>
      </c>
      <c r="G654" s="3">
        <v>35500</v>
      </c>
      <c r="H654" s="3">
        <v>35500</v>
      </c>
      <c r="I654" s="3">
        <v>35500</v>
      </c>
      <c r="J654" s="3">
        <v>35500</v>
      </c>
      <c r="K654" s="3">
        <v>35500.000000000007</v>
      </c>
      <c r="L654" s="3">
        <v>35500.000000000007</v>
      </c>
      <c r="M654" s="3">
        <v>35500.000000000007</v>
      </c>
      <c r="N654" s="3">
        <v>35500.000000000007</v>
      </c>
      <c r="O654" s="3">
        <v>29583.300000000003</v>
      </c>
      <c r="P654" s="3">
        <v>0</v>
      </c>
      <c r="Q654" s="3">
        <v>0</v>
      </c>
      <c r="S654" s="7"/>
    </row>
    <row r="655" spans="1:19" x14ac:dyDescent="0.2">
      <c r="A655" s="2" t="s">
        <v>386</v>
      </c>
      <c r="B655" s="2" t="s">
        <v>22</v>
      </c>
      <c r="C655" s="2" t="s">
        <v>29</v>
      </c>
      <c r="D655" s="2" t="s">
        <v>24</v>
      </c>
      <c r="E655" s="3">
        <v>0</v>
      </c>
      <c r="F655" s="3">
        <v>395</v>
      </c>
      <c r="G655" s="3">
        <v>2370</v>
      </c>
      <c r="H655" s="3">
        <v>2501.6999999999998</v>
      </c>
      <c r="I655" s="3">
        <v>3423.2999999999997</v>
      </c>
      <c r="J655" s="3">
        <v>4740</v>
      </c>
      <c r="K655" s="3">
        <v>4740</v>
      </c>
      <c r="L655" s="3">
        <v>4608.3</v>
      </c>
      <c r="M655" s="3">
        <v>3950.0000000000005</v>
      </c>
      <c r="N655" s="3">
        <v>3950.0000000000005</v>
      </c>
      <c r="O655" s="3">
        <v>3291.36</v>
      </c>
      <c r="P655" s="3">
        <v>0</v>
      </c>
      <c r="Q655" s="3">
        <v>0</v>
      </c>
      <c r="S655" s="7"/>
    </row>
    <row r="656" spans="1:19" x14ac:dyDescent="0.2">
      <c r="A656" s="2" t="s">
        <v>387</v>
      </c>
      <c r="B656" s="2" t="s">
        <v>52</v>
      </c>
      <c r="C656" s="2" t="s">
        <v>53</v>
      </c>
      <c r="D656" s="2" t="s">
        <v>24</v>
      </c>
      <c r="E656" s="3">
        <v>56500</v>
      </c>
      <c r="F656" s="3">
        <v>32320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S656" s="7"/>
    </row>
    <row r="657" spans="1:19" x14ac:dyDescent="0.2">
      <c r="A657" s="2" t="s">
        <v>388</v>
      </c>
      <c r="B657" s="2" t="s">
        <v>22</v>
      </c>
      <c r="C657" s="2" t="s">
        <v>63</v>
      </c>
      <c r="D657" s="2" t="s">
        <v>24</v>
      </c>
      <c r="E657" s="3">
        <v>25750.000000000007</v>
      </c>
      <c r="F657" s="3">
        <v>4228.83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0</v>
      </c>
      <c r="Q657" s="3">
        <v>0</v>
      </c>
      <c r="S657" s="7"/>
    </row>
    <row r="658" spans="1:19" x14ac:dyDescent="0.2">
      <c r="A658" s="2" t="s">
        <v>388</v>
      </c>
      <c r="B658" s="2" t="s">
        <v>33</v>
      </c>
      <c r="C658" s="2" t="s">
        <v>38</v>
      </c>
      <c r="D658" s="2" t="s">
        <v>24</v>
      </c>
      <c r="E658" s="3">
        <v>0</v>
      </c>
      <c r="F658" s="3">
        <v>0</v>
      </c>
      <c r="G658" s="3">
        <v>0</v>
      </c>
      <c r="H658" s="3">
        <v>3750</v>
      </c>
      <c r="I658" s="3">
        <v>6000</v>
      </c>
      <c r="J658" s="3">
        <v>6000</v>
      </c>
      <c r="K658" s="3">
        <v>6000</v>
      </c>
      <c r="L658" s="3">
        <v>5000</v>
      </c>
      <c r="M658" s="3">
        <v>0</v>
      </c>
      <c r="N658" s="3">
        <v>0</v>
      </c>
      <c r="O658" s="3">
        <v>0</v>
      </c>
      <c r="P658" s="3">
        <v>0</v>
      </c>
      <c r="Q658" s="3">
        <v>0</v>
      </c>
      <c r="S658" s="7"/>
    </row>
    <row r="659" spans="1:19" x14ac:dyDescent="0.2">
      <c r="A659" s="2" t="s">
        <v>389</v>
      </c>
      <c r="B659" s="2" t="s">
        <v>22</v>
      </c>
      <c r="C659" s="2" t="s">
        <v>23</v>
      </c>
      <c r="D659" s="2" t="s">
        <v>24</v>
      </c>
      <c r="E659" s="3">
        <v>7875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S659" s="7"/>
    </row>
    <row r="660" spans="1:19" x14ac:dyDescent="0.2">
      <c r="A660" s="2" t="s">
        <v>389</v>
      </c>
      <c r="B660" s="2" t="s">
        <v>33</v>
      </c>
      <c r="C660" s="2" t="s">
        <v>34</v>
      </c>
      <c r="D660" s="2" t="s">
        <v>24</v>
      </c>
      <c r="E660" s="3">
        <v>8200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0</v>
      </c>
      <c r="Q660" s="3">
        <v>0</v>
      </c>
      <c r="S660" s="7"/>
    </row>
    <row r="661" spans="1:19" x14ac:dyDescent="0.2">
      <c r="A661" s="2" t="s">
        <v>389</v>
      </c>
      <c r="B661" s="2" t="s">
        <v>52</v>
      </c>
      <c r="C661" s="2" t="s">
        <v>53</v>
      </c>
      <c r="D661" s="2" t="s">
        <v>24</v>
      </c>
      <c r="E661" s="3">
        <v>7800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S661" s="7"/>
    </row>
    <row r="662" spans="1:19" x14ac:dyDescent="0.2">
      <c r="A662" s="2" t="s">
        <v>390</v>
      </c>
      <c r="B662" s="2" t="s">
        <v>33</v>
      </c>
      <c r="C662" s="2" t="s">
        <v>48</v>
      </c>
      <c r="D662" s="2" t="s">
        <v>24</v>
      </c>
      <c r="E662" s="3">
        <v>12561.29</v>
      </c>
      <c r="F662" s="3">
        <v>20260.45</v>
      </c>
      <c r="G662" s="3">
        <v>53926.67</v>
      </c>
      <c r="H662" s="3">
        <v>82645.16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S662" s="7"/>
    </row>
    <row r="663" spans="1:19" x14ac:dyDescent="0.2">
      <c r="A663" s="2" t="s">
        <v>391</v>
      </c>
      <c r="B663" s="2" t="s">
        <v>22</v>
      </c>
      <c r="C663" s="2" t="s">
        <v>26</v>
      </c>
      <c r="D663" s="2" t="s">
        <v>24</v>
      </c>
      <c r="E663" s="3">
        <v>17439.96</v>
      </c>
      <c r="F663" s="3">
        <v>15784.139999999998</v>
      </c>
      <c r="G663" s="3">
        <v>16028.730000000003</v>
      </c>
      <c r="H663" s="3">
        <v>17535.66</v>
      </c>
      <c r="I663" s="3">
        <v>18254.009999999998</v>
      </c>
      <c r="J663" s="3">
        <v>18041.55</v>
      </c>
      <c r="K663" s="3">
        <v>18312.96</v>
      </c>
      <c r="L663" s="3">
        <v>18053.370000000003</v>
      </c>
      <c r="M663" s="3">
        <v>17628.300000000003</v>
      </c>
      <c r="N663" s="3">
        <v>18244.71</v>
      </c>
      <c r="O663" s="3">
        <v>4620.78</v>
      </c>
      <c r="P663" s="3">
        <v>0</v>
      </c>
      <c r="Q663" s="3">
        <v>0</v>
      </c>
      <c r="S663" s="7"/>
    </row>
    <row r="664" spans="1:19" x14ac:dyDescent="0.2">
      <c r="A664" s="2" t="s">
        <v>391</v>
      </c>
      <c r="B664" s="2" t="s">
        <v>22</v>
      </c>
      <c r="C664" s="2" t="s">
        <v>29</v>
      </c>
      <c r="D664" s="2" t="s">
        <v>24</v>
      </c>
      <c r="E664" s="3">
        <v>2989.71</v>
      </c>
      <c r="F664" s="3">
        <v>2705.8499999999995</v>
      </c>
      <c r="G664" s="3">
        <v>2747.7799999999997</v>
      </c>
      <c r="H664" s="3">
        <v>3006.119999999999</v>
      </c>
      <c r="I664" s="3">
        <v>3129.2400000000002</v>
      </c>
      <c r="J664" s="3">
        <v>3092.87</v>
      </c>
      <c r="K664" s="3">
        <v>3139.3500000000008</v>
      </c>
      <c r="L664" s="3">
        <v>3094.8800000000006</v>
      </c>
      <c r="M664" s="3">
        <v>3021.9800000000005</v>
      </c>
      <c r="N664" s="3">
        <v>3127.6500000000005</v>
      </c>
      <c r="O664" s="3">
        <v>1315.226923076923</v>
      </c>
      <c r="P664" s="3">
        <v>0</v>
      </c>
      <c r="Q664" s="3">
        <v>0</v>
      </c>
      <c r="S664" s="7"/>
    </row>
    <row r="665" spans="1:19" x14ac:dyDescent="0.2">
      <c r="A665" s="2" t="s">
        <v>392</v>
      </c>
      <c r="B665" s="2" t="s">
        <v>22</v>
      </c>
      <c r="C665" s="2" t="s">
        <v>26</v>
      </c>
      <c r="D665" s="2" t="s">
        <v>45</v>
      </c>
      <c r="E665" s="3">
        <v>17650.859999999997</v>
      </c>
      <c r="F665" s="3">
        <v>16510.789999999997</v>
      </c>
      <c r="G665" s="3">
        <v>16168.97</v>
      </c>
      <c r="H665" s="3">
        <v>18064.819999999996</v>
      </c>
      <c r="I665" s="3">
        <v>19292.66</v>
      </c>
      <c r="J665" s="3">
        <v>19233.220000000005</v>
      </c>
      <c r="K665" s="3">
        <v>19492.41</v>
      </c>
      <c r="L665" s="3">
        <v>19052.780000000002</v>
      </c>
      <c r="M665" s="3">
        <v>18635.64</v>
      </c>
      <c r="N665" s="3">
        <v>18637.829999999998</v>
      </c>
      <c r="O665" s="3">
        <v>9266.82</v>
      </c>
      <c r="P665" s="3">
        <v>0</v>
      </c>
      <c r="Q665" s="3">
        <v>0</v>
      </c>
      <c r="S665" s="7"/>
    </row>
    <row r="666" spans="1:19" x14ac:dyDescent="0.2">
      <c r="A666" s="2" t="s">
        <v>393</v>
      </c>
      <c r="B666" s="2" t="s">
        <v>33</v>
      </c>
      <c r="C666" s="2" t="s">
        <v>34</v>
      </c>
      <c r="D666" s="2" t="s">
        <v>394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6250</v>
      </c>
      <c r="N666" s="3">
        <v>0</v>
      </c>
      <c r="O666" s="3">
        <v>0</v>
      </c>
      <c r="P666" s="3">
        <v>0</v>
      </c>
      <c r="Q666" s="3">
        <v>0</v>
      </c>
      <c r="S666" s="7"/>
    </row>
    <row r="667" spans="1:19" x14ac:dyDescent="0.2">
      <c r="A667" s="2" t="s">
        <v>395</v>
      </c>
      <c r="B667" s="2" t="s">
        <v>22</v>
      </c>
      <c r="C667" s="2" t="s">
        <v>26</v>
      </c>
      <c r="D667" s="2" t="s">
        <v>27</v>
      </c>
      <c r="E667" s="3">
        <v>17391.5</v>
      </c>
      <c r="F667" s="3">
        <v>15725.5</v>
      </c>
      <c r="G667" s="3">
        <v>4990.32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S667" s="7"/>
    </row>
    <row r="668" spans="1:19" x14ac:dyDescent="0.2">
      <c r="A668" s="2" t="s">
        <v>396</v>
      </c>
      <c r="B668" s="2" t="s">
        <v>22</v>
      </c>
      <c r="C668" s="2" t="s">
        <v>26</v>
      </c>
      <c r="D668" s="2" t="s">
        <v>24</v>
      </c>
      <c r="E668" s="3">
        <v>14500</v>
      </c>
      <c r="F668" s="3">
        <v>13291.63</v>
      </c>
      <c r="G668" s="3">
        <v>14499.999999999998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S668" s="7"/>
    </row>
    <row r="669" spans="1:19" x14ac:dyDescent="0.2">
      <c r="A669" s="2" t="s">
        <v>396</v>
      </c>
      <c r="B669" s="2" t="s">
        <v>22</v>
      </c>
      <c r="C669" s="2" t="s">
        <v>29</v>
      </c>
      <c r="D669" s="2" t="s">
        <v>24</v>
      </c>
      <c r="E669" s="3">
        <v>18150</v>
      </c>
      <c r="F669" s="3">
        <v>15600</v>
      </c>
      <c r="G669" s="3">
        <v>19950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S669" s="7"/>
    </row>
    <row r="670" spans="1:19" x14ac:dyDescent="0.2">
      <c r="A670" s="2" t="s">
        <v>397</v>
      </c>
      <c r="B670" s="2" t="s">
        <v>22</v>
      </c>
      <c r="C670" s="2" t="s">
        <v>36</v>
      </c>
      <c r="D670" s="2" t="s">
        <v>24</v>
      </c>
      <c r="E670" s="3">
        <v>6800</v>
      </c>
      <c r="F670" s="3">
        <v>6800</v>
      </c>
      <c r="G670" s="3">
        <v>1700.0099999999998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S670" s="7"/>
    </row>
    <row r="671" spans="1:19" x14ac:dyDescent="0.2">
      <c r="A671" s="2" t="s">
        <v>398</v>
      </c>
      <c r="B671" s="2" t="s">
        <v>22</v>
      </c>
      <c r="C671" s="2" t="s">
        <v>29</v>
      </c>
      <c r="D671" s="2" t="s">
        <v>24</v>
      </c>
      <c r="E671" s="3">
        <v>150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S671" s="7"/>
    </row>
    <row r="672" spans="1:19" x14ac:dyDescent="0.2">
      <c r="A672" s="2" t="s">
        <v>399</v>
      </c>
      <c r="B672" s="2" t="s">
        <v>22</v>
      </c>
      <c r="C672" s="2" t="s">
        <v>36</v>
      </c>
      <c r="D672" s="2" t="s">
        <v>24</v>
      </c>
      <c r="E672" s="3">
        <v>9956.7000000000007</v>
      </c>
      <c r="F672" s="3">
        <v>9074.7000000000007</v>
      </c>
      <c r="G672" s="3">
        <v>9349.8000000000011</v>
      </c>
      <c r="H672" s="3">
        <v>10397.700000000003</v>
      </c>
      <c r="I672" s="3">
        <v>10595.58</v>
      </c>
      <c r="J672" s="3">
        <v>5286.4800000000005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S672" s="7"/>
    </row>
    <row r="673" spans="1:19" x14ac:dyDescent="0.2">
      <c r="A673" s="2" t="s">
        <v>399</v>
      </c>
      <c r="B673" s="2" t="s">
        <v>22</v>
      </c>
      <c r="C673" s="2" t="s">
        <v>29</v>
      </c>
      <c r="D673" s="2" t="s">
        <v>24</v>
      </c>
      <c r="E673" s="3">
        <v>746.75</v>
      </c>
      <c r="F673" s="3">
        <v>680.57999999999993</v>
      </c>
      <c r="G673" s="3">
        <v>701.25</v>
      </c>
      <c r="H673" s="3">
        <v>779.87000000000012</v>
      </c>
      <c r="I673" s="3">
        <v>794.6500000000002</v>
      </c>
      <c r="J673" s="3">
        <v>396.47999999999996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S673" s="7"/>
    </row>
    <row r="674" spans="1:19" x14ac:dyDescent="0.2">
      <c r="A674" s="2" t="s">
        <v>400</v>
      </c>
      <c r="B674" s="2" t="s">
        <v>33</v>
      </c>
      <c r="C674" s="2" t="s">
        <v>34</v>
      </c>
      <c r="D674" s="2" t="s">
        <v>24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51500</v>
      </c>
      <c r="N674" s="3">
        <v>176700</v>
      </c>
      <c r="O674" s="3">
        <v>0</v>
      </c>
      <c r="P674" s="3">
        <v>0</v>
      </c>
      <c r="Q674" s="3">
        <v>0</v>
      </c>
      <c r="S674" s="7"/>
    </row>
    <row r="675" spans="1:19" x14ac:dyDescent="0.2">
      <c r="A675" s="2" t="s">
        <v>401</v>
      </c>
      <c r="B675" s="2" t="s">
        <v>22</v>
      </c>
      <c r="C675" s="2" t="s">
        <v>29</v>
      </c>
      <c r="D675" s="2" t="s">
        <v>24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8830</v>
      </c>
      <c r="P675" s="3">
        <v>0</v>
      </c>
      <c r="Q675" s="3">
        <v>0</v>
      </c>
      <c r="S675" s="7"/>
    </row>
    <row r="676" spans="1:19" x14ac:dyDescent="0.2">
      <c r="A676" s="2" t="s">
        <v>402</v>
      </c>
      <c r="B676" s="2" t="s">
        <v>22</v>
      </c>
      <c r="C676" s="2" t="s">
        <v>36</v>
      </c>
      <c r="D676" s="2" t="s">
        <v>24</v>
      </c>
      <c r="E676" s="3">
        <v>31901</v>
      </c>
      <c r="F676" s="3">
        <v>10175</v>
      </c>
      <c r="G676" s="3">
        <v>9000</v>
      </c>
      <c r="H676" s="3">
        <v>9087.4699999999993</v>
      </c>
      <c r="I676" s="3">
        <v>9428.7499999999982</v>
      </c>
      <c r="J676" s="3">
        <v>21066.73</v>
      </c>
      <c r="K676" s="3">
        <v>20674.579999999994</v>
      </c>
      <c r="L676" s="3">
        <v>19993.75</v>
      </c>
      <c r="M676" s="3">
        <v>20873.690000000002</v>
      </c>
      <c r="N676" s="3">
        <v>16800.03</v>
      </c>
      <c r="O676" s="3">
        <v>0</v>
      </c>
      <c r="P676" s="3">
        <v>0</v>
      </c>
      <c r="Q676" s="3">
        <v>0</v>
      </c>
      <c r="S676" s="7"/>
    </row>
    <row r="677" spans="1:19" x14ac:dyDescent="0.2">
      <c r="A677" s="2" t="s">
        <v>402</v>
      </c>
      <c r="B677" s="2" t="s">
        <v>22</v>
      </c>
      <c r="C677" s="2" t="s">
        <v>39</v>
      </c>
      <c r="D677" s="2" t="s">
        <v>24</v>
      </c>
      <c r="E677" s="3">
        <v>179127.51</v>
      </c>
      <c r="F677" s="3">
        <v>119802.1</v>
      </c>
      <c r="G677" s="3">
        <v>100725.97</v>
      </c>
      <c r="H677" s="3">
        <v>105922.49999999999</v>
      </c>
      <c r="I677" s="3">
        <v>128616.76</v>
      </c>
      <c r="J677" s="3">
        <v>161678.80999999997</v>
      </c>
      <c r="K677" s="3">
        <v>130570</v>
      </c>
      <c r="L677" s="3">
        <v>131384.97</v>
      </c>
      <c r="M677" s="3">
        <v>160253.75</v>
      </c>
      <c r="N677" s="3">
        <v>114018.75</v>
      </c>
      <c r="O677" s="3">
        <v>0</v>
      </c>
      <c r="P677" s="3">
        <v>0</v>
      </c>
      <c r="Q677" s="3">
        <v>0</v>
      </c>
      <c r="S677" s="7"/>
    </row>
    <row r="678" spans="1:19" x14ac:dyDescent="0.2">
      <c r="A678" s="2" t="s">
        <v>402</v>
      </c>
      <c r="B678" s="2" t="s">
        <v>52</v>
      </c>
      <c r="C678" s="2" t="s">
        <v>53</v>
      </c>
      <c r="D678" s="2" t="s">
        <v>24</v>
      </c>
      <c r="E678" s="3">
        <v>0</v>
      </c>
      <c r="F678" s="3">
        <v>0</v>
      </c>
      <c r="G678" s="3">
        <v>0</v>
      </c>
      <c r="H678" s="3">
        <v>28890</v>
      </c>
      <c r="I678" s="3">
        <v>47340</v>
      </c>
      <c r="J678" s="3">
        <v>48850</v>
      </c>
      <c r="K678" s="3">
        <v>48990</v>
      </c>
      <c r="L678" s="3">
        <v>45155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S678" s="7"/>
    </row>
    <row r="679" spans="1:19" x14ac:dyDescent="0.2">
      <c r="A679" s="2" t="s">
        <v>403</v>
      </c>
      <c r="B679" s="2" t="s">
        <v>22</v>
      </c>
      <c r="C679" s="2" t="s">
        <v>36</v>
      </c>
      <c r="D679" s="2" t="s">
        <v>24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2625</v>
      </c>
      <c r="K679" s="3">
        <v>10500</v>
      </c>
      <c r="L679" s="3">
        <v>10500</v>
      </c>
      <c r="M679" s="3">
        <v>10500</v>
      </c>
      <c r="N679" s="3">
        <v>10500</v>
      </c>
      <c r="O679" s="3">
        <v>8750</v>
      </c>
      <c r="P679" s="3">
        <v>0</v>
      </c>
      <c r="Q679" s="3">
        <v>0</v>
      </c>
      <c r="S679" s="7"/>
    </row>
    <row r="680" spans="1:19" x14ac:dyDescent="0.2">
      <c r="A680" s="2" t="s">
        <v>403</v>
      </c>
      <c r="B680" s="2" t="s">
        <v>22</v>
      </c>
      <c r="C680" s="2" t="s">
        <v>29</v>
      </c>
      <c r="D680" s="2" t="s">
        <v>24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225</v>
      </c>
      <c r="L680" s="3">
        <v>900</v>
      </c>
      <c r="M680" s="3">
        <v>900</v>
      </c>
      <c r="N680" s="3">
        <v>900</v>
      </c>
      <c r="O680" s="3">
        <v>750</v>
      </c>
      <c r="P680" s="3">
        <v>0</v>
      </c>
      <c r="Q680" s="3">
        <v>0</v>
      </c>
      <c r="S680" s="7"/>
    </row>
    <row r="681" spans="1:19" x14ac:dyDescent="0.2">
      <c r="A681" s="2" t="s">
        <v>404</v>
      </c>
      <c r="B681" s="2" t="s">
        <v>33</v>
      </c>
      <c r="C681" s="2" t="s">
        <v>34</v>
      </c>
      <c r="D681" s="2" t="s">
        <v>69</v>
      </c>
      <c r="E681" s="3">
        <v>161730</v>
      </c>
      <c r="F681" s="3">
        <v>161340</v>
      </c>
      <c r="G681" s="3">
        <v>161340</v>
      </c>
      <c r="H681" s="3">
        <v>161340</v>
      </c>
      <c r="I681" s="3">
        <v>161340</v>
      </c>
      <c r="J681" s="3">
        <v>161340</v>
      </c>
      <c r="K681" s="3">
        <v>161340</v>
      </c>
      <c r="L681" s="3">
        <v>20166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S681" s="7"/>
    </row>
    <row r="682" spans="1:19" x14ac:dyDescent="0.2">
      <c r="A682" s="2" t="s">
        <v>404</v>
      </c>
      <c r="B682" s="2" t="s">
        <v>52</v>
      </c>
      <c r="C682" s="2" t="s">
        <v>53</v>
      </c>
      <c r="D682" s="2" t="s">
        <v>69</v>
      </c>
      <c r="E682" s="3">
        <v>155760</v>
      </c>
      <c r="F682" s="3">
        <v>155760</v>
      </c>
      <c r="G682" s="3">
        <v>155760</v>
      </c>
      <c r="H682" s="3">
        <v>155760</v>
      </c>
      <c r="I682" s="3">
        <v>155760</v>
      </c>
      <c r="J682" s="3">
        <v>155760</v>
      </c>
      <c r="K682" s="3">
        <v>155760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S682" s="7"/>
    </row>
    <row r="683" spans="1:19" x14ac:dyDescent="0.2">
      <c r="A683" s="2" t="s">
        <v>404</v>
      </c>
      <c r="B683" s="2" t="s">
        <v>22</v>
      </c>
      <c r="C683" s="2" t="s">
        <v>26</v>
      </c>
      <c r="D683" s="2" t="s">
        <v>69</v>
      </c>
      <c r="E683" s="3">
        <v>17417.729999999996</v>
      </c>
      <c r="F683" s="3">
        <v>16440.09</v>
      </c>
      <c r="G683" s="3">
        <v>16041.329999999998</v>
      </c>
      <c r="H683" s="3">
        <v>18076.169999999998</v>
      </c>
      <c r="I683" s="3">
        <v>18883.829999999998</v>
      </c>
      <c r="J683" s="3">
        <v>23220.959999999999</v>
      </c>
      <c r="K683" s="3">
        <v>27110.519999999997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S683" s="7"/>
    </row>
    <row r="684" spans="1:19" x14ac:dyDescent="0.2">
      <c r="A684" s="2" t="s">
        <v>404</v>
      </c>
      <c r="B684" s="2" t="s">
        <v>22</v>
      </c>
      <c r="C684" s="2" t="s">
        <v>63</v>
      </c>
      <c r="D684" s="2" t="s">
        <v>69</v>
      </c>
      <c r="E684" s="3">
        <v>26533.970000000005</v>
      </c>
      <c r="F684" s="3">
        <v>25051.660000000003</v>
      </c>
      <c r="G684" s="3">
        <v>24443.97</v>
      </c>
      <c r="H684" s="3">
        <v>27544.609999999997</v>
      </c>
      <c r="I684" s="3">
        <v>28775.360000000001</v>
      </c>
      <c r="J684" s="3">
        <v>21613.949999999997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S684" s="7"/>
    </row>
    <row r="685" spans="1:19" x14ac:dyDescent="0.2">
      <c r="A685" s="2" t="s">
        <v>404</v>
      </c>
      <c r="B685" s="2" t="s">
        <v>22</v>
      </c>
      <c r="C685" s="2" t="s">
        <v>29</v>
      </c>
      <c r="D685" s="2" t="s">
        <v>69</v>
      </c>
      <c r="E685" s="3">
        <v>4478.8500000000004</v>
      </c>
      <c r="F685" s="3">
        <v>4227.4799999999996</v>
      </c>
      <c r="G685" s="3">
        <v>4124.880000000001</v>
      </c>
      <c r="H685" s="3">
        <v>4648.21</v>
      </c>
      <c r="I685" s="3">
        <v>5261.08</v>
      </c>
      <c r="J685" s="3">
        <v>8736.0300000000007</v>
      </c>
      <c r="K685" s="3">
        <v>11618.819999999998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S685" s="7"/>
    </row>
    <row r="686" spans="1:19" x14ac:dyDescent="0.2">
      <c r="A686" s="2" t="s">
        <v>405</v>
      </c>
      <c r="B686" s="2" t="s">
        <v>22</v>
      </c>
      <c r="C686" s="2" t="s">
        <v>29</v>
      </c>
      <c r="D686" s="2" t="s">
        <v>69</v>
      </c>
      <c r="E686" s="3">
        <v>0</v>
      </c>
      <c r="F686" s="3">
        <v>0</v>
      </c>
      <c r="G686" s="3">
        <v>463.27999999999986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S686" s="7"/>
    </row>
    <row r="687" spans="1:19" x14ac:dyDescent="0.2">
      <c r="A687" s="2" t="s">
        <v>406</v>
      </c>
      <c r="B687" s="2" t="s">
        <v>33</v>
      </c>
      <c r="C687" s="2" t="s">
        <v>34</v>
      </c>
      <c r="D687" s="2" t="s">
        <v>24</v>
      </c>
      <c r="E687" s="3">
        <v>70200</v>
      </c>
      <c r="F687" s="3">
        <v>70200</v>
      </c>
      <c r="G687" s="3">
        <v>52650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S687" s="7"/>
    </row>
    <row r="688" spans="1:19" x14ac:dyDescent="0.2">
      <c r="A688" s="2" t="s">
        <v>407</v>
      </c>
      <c r="B688" s="2" t="s">
        <v>22</v>
      </c>
      <c r="C688" s="2" t="s">
        <v>29</v>
      </c>
      <c r="D688" s="2" t="s">
        <v>31</v>
      </c>
      <c r="E688" s="3">
        <v>0</v>
      </c>
      <c r="F688" s="3">
        <v>0</v>
      </c>
      <c r="G688" s="3">
        <v>0</v>
      </c>
      <c r="H688" s="3">
        <v>0</v>
      </c>
      <c r="I688" s="3">
        <v>799.98</v>
      </c>
      <c r="J688" s="3">
        <v>3399.97</v>
      </c>
      <c r="K688" s="3">
        <v>2999.97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S688" s="7"/>
    </row>
    <row r="689" spans="1:19" x14ac:dyDescent="0.2">
      <c r="A689" s="2" t="s">
        <v>407</v>
      </c>
      <c r="B689" s="2" t="s">
        <v>22</v>
      </c>
      <c r="C689" s="2" t="s">
        <v>36</v>
      </c>
      <c r="D689" s="2" t="s">
        <v>31</v>
      </c>
      <c r="E689" s="3">
        <v>0</v>
      </c>
      <c r="F689" s="3">
        <v>0</v>
      </c>
      <c r="G689" s="3">
        <v>0</v>
      </c>
      <c r="H689" s="3">
        <v>0</v>
      </c>
      <c r="I689" s="3">
        <v>2625</v>
      </c>
      <c r="J689" s="3">
        <v>10500</v>
      </c>
      <c r="K689" s="3">
        <v>7875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S689" s="7"/>
    </row>
    <row r="690" spans="1:19" x14ac:dyDescent="0.2">
      <c r="A690" s="2" t="s">
        <v>408</v>
      </c>
      <c r="B690" s="2" t="s">
        <v>33</v>
      </c>
      <c r="C690" s="2" t="s">
        <v>34</v>
      </c>
      <c r="D690" s="2" t="s">
        <v>66</v>
      </c>
      <c r="E690" s="3">
        <v>40385.31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S690" s="7"/>
    </row>
    <row r="691" spans="1:19" x14ac:dyDescent="0.2">
      <c r="A691" s="2" t="s">
        <v>409</v>
      </c>
      <c r="B691" s="2" t="s">
        <v>22</v>
      </c>
      <c r="C691" s="2" t="s">
        <v>36</v>
      </c>
      <c r="D691" s="2" t="s">
        <v>170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8421.52</v>
      </c>
      <c r="K691" s="3">
        <v>19734.730000000003</v>
      </c>
      <c r="L691" s="3">
        <v>22021.300000000003</v>
      </c>
      <c r="M691" s="3">
        <v>10708.08</v>
      </c>
      <c r="N691" s="3">
        <v>0</v>
      </c>
      <c r="O691" s="3">
        <v>0</v>
      </c>
      <c r="P691" s="3">
        <v>0</v>
      </c>
      <c r="Q691" s="3">
        <v>0</v>
      </c>
      <c r="S691" s="7"/>
    </row>
    <row r="692" spans="1:19" x14ac:dyDescent="0.2">
      <c r="A692" s="2" t="s">
        <v>409</v>
      </c>
      <c r="B692" s="2" t="s">
        <v>22</v>
      </c>
      <c r="C692" s="2" t="s">
        <v>29</v>
      </c>
      <c r="D692" s="2" t="s">
        <v>170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808.5</v>
      </c>
      <c r="K692" s="3">
        <v>2030.2399999999998</v>
      </c>
      <c r="L692" s="3">
        <v>2378.3000000000002</v>
      </c>
      <c r="M692" s="3">
        <v>1156.5</v>
      </c>
      <c r="N692" s="3">
        <v>0</v>
      </c>
      <c r="O692" s="3">
        <v>0</v>
      </c>
      <c r="P692" s="3">
        <v>0</v>
      </c>
      <c r="Q692" s="3">
        <v>0</v>
      </c>
      <c r="S692" s="7"/>
    </row>
    <row r="693" spans="1:19" x14ac:dyDescent="0.2">
      <c r="A693" s="2" t="s">
        <v>410</v>
      </c>
      <c r="B693" s="2" t="s">
        <v>22</v>
      </c>
      <c r="C693" s="2" t="s">
        <v>36</v>
      </c>
      <c r="D693" s="2" t="s">
        <v>24</v>
      </c>
      <c r="E693" s="3">
        <v>11091.85</v>
      </c>
      <c r="F693" s="3">
        <v>11535.570000000002</v>
      </c>
      <c r="G693" s="3">
        <v>10960.619999999999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S693" s="7"/>
    </row>
    <row r="694" spans="1:19" x14ac:dyDescent="0.2">
      <c r="A694" s="2" t="s">
        <v>410</v>
      </c>
      <c r="B694" s="2" t="s">
        <v>22</v>
      </c>
      <c r="C694" s="2" t="s">
        <v>29</v>
      </c>
      <c r="D694" s="2" t="s">
        <v>24</v>
      </c>
      <c r="E694" s="3">
        <v>586.95000000000005</v>
      </c>
      <c r="F694" s="3">
        <v>610.41</v>
      </c>
      <c r="G694" s="3">
        <v>580.03000000000009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S694" s="7"/>
    </row>
    <row r="695" spans="1:19" x14ac:dyDescent="0.2">
      <c r="A695" s="2" t="s">
        <v>410</v>
      </c>
      <c r="B695" s="2" t="s">
        <v>22</v>
      </c>
      <c r="C695" s="2" t="s">
        <v>330</v>
      </c>
      <c r="D695" s="2" t="s">
        <v>24</v>
      </c>
      <c r="E695" s="3">
        <v>7000</v>
      </c>
      <c r="F695" s="3">
        <v>7000</v>
      </c>
      <c r="G695" s="3">
        <v>4083.31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S695" s="7"/>
    </row>
    <row r="696" spans="1:19" x14ac:dyDescent="0.2">
      <c r="A696" s="2" t="s">
        <v>411</v>
      </c>
      <c r="B696" s="2" t="s">
        <v>33</v>
      </c>
      <c r="C696" s="2" t="s">
        <v>38</v>
      </c>
      <c r="D696" s="2" t="s">
        <v>24</v>
      </c>
      <c r="E696" s="3">
        <v>19200</v>
      </c>
      <c r="F696" s="3">
        <v>15150</v>
      </c>
      <c r="G696" s="3">
        <v>13500</v>
      </c>
      <c r="H696" s="3">
        <v>12450</v>
      </c>
      <c r="I696" s="3">
        <v>13350</v>
      </c>
      <c r="J696" s="3">
        <v>12000</v>
      </c>
      <c r="K696" s="3">
        <v>13650</v>
      </c>
      <c r="L696" s="3">
        <v>13350</v>
      </c>
      <c r="M696" s="3">
        <v>10950</v>
      </c>
      <c r="N696" s="3">
        <v>-850</v>
      </c>
      <c r="O696" s="3">
        <v>850</v>
      </c>
      <c r="P696" s="3">
        <v>0</v>
      </c>
      <c r="Q696" s="3">
        <v>0</v>
      </c>
      <c r="S696" s="7"/>
    </row>
    <row r="697" spans="1:19" x14ac:dyDescent="0.2">
      <c r="A697" s="2" t="s">
        <v>412</v>
      </c>
      <c r="B697" s="2" t="s">
        <v>33</v>
      </c>
      <c r="C697" s="2" t="s">
        <v>34</v>
      </c>
      <c r="D697" s="2" t="s">
        <v>24</v>
      </c>
      <c r="E697" s="3">
        <v>12020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S697" s="7"/>
    </row>
    <row r="698" spans="1:19" x14ac:dyDescent="0.2">
      <c r="A698" s="2" t="s">
        <v>413</v>
      </c>
      <c r="B698" s="2" t="s">
        <v>22</v>
      </c>
      <c r="C698" s="2" t="s">
        <v>50</v>
      </c>
      <c r="D698" s="2" t="s">
        <v>45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1354.6900000000003</v>
      </c>
      <c r="O698" s="3">
        <v>2450.9300369230768</v>
      </c>
      <c r="P698" s="3">
        <v>0</v>
      </c>
      <c r="Q698" s="3">
        <v>0</v>
      </c>
      <c r="S698" s="7"/>
    </row>
    <row r="699" spans="1:19" x14ac:dyDescent="0.2">
      <c r="A699" s="2" t="s">
        <v>414</v>
      </c>
      <c r="B699" s="2" t="s">
        <v>22</v>
      </c>
      <c r="C699" s="2" t="s">
        <v>36</v>
      </c>
      <c r="D699" s="2" t="s">
        <v>170</v>
      </c>
      <c r="E699" s="3">
        <v>8000</v>
      </c>
      <c r="F699" s="3">
        <v>8000</v>
      </c>
      <c r="G699" s="3">
        <v>8000</v>
      </c>
      <c r="H699" s="3">
        <v>8000</v>
      </c>
      <c r="I699" s="3">
        <v>8000</v>
      </c>
      <c r="J699" s="3">
        <v>8000</v>
      </c>
      <c r="K699" s="3">
        <v>8000</v>
      </c>
      <c r="L699" s="3">
        <v>8000</v>
      </c>
      <c r="M699" s="3">
        <v>8400.0400000000009</v>
      </c>
      <c r="N699" s="3">
        <v>4399.9800000000005</v>
      </c>
      <c r="O699" s="3">
        <v>0</v>
      </c>
      <c r="P699" s="3">
        <v>0</v>
      </c>
      <c r="Q699" s="3">
        <v>0</v>
      </c>
      <c r="S699" s="7"/>
    </row>
    <row r="700" spans="1:19" x14ac:dyDescent="0.2">
      <c r="A700" s="2" t="s">
        <v>415</v>
      </c>
      <c r="B700" s="2" t="s">
        <v>33</v>
      </c>
      <c r="C700" s="2" t="s">
        <v>48</v>
      </c>
      <c r="D700" s="2" t="s">
        <v>69</v>
      </c>
      <c r="E700" s="3">
        <v>0</v>
      </c>
      <c r="F700" s="3">
        <v>10599.36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S700" s="7"/>
    </row>
    <row r="701" spans="1:19" x14ac:dyDescent="0.2">
      <c r="A701" s="2" t="s">
        <v>416</v>
      </c>
      <c r="B701" s="2" t="s">
        <v>41</v>
      </c>
      <c r="C701" s="2" t="s">
        <v>41</v>
      </c>
      <c r="D701" s="2" t="s">
        <v>24</v>
      </c>
      <c r="E701" s="3">
        <v>1500</v>
      </c>
      <c r="F701" s="3">
        <v>1500</v>
      </c>
      <c r="G701" s="3">
        <v>1500</v>
      </c>
      <c r="H701" s="3">
        <v>2875</v>
      </c>
      <c r="I701" s="3">
        <v>1500</v>
      </c>
      <c r="J701" s="3">
        <v>2875</v>
      </c>
      <c r="K701" s="3">
        <v>1500</v>
      </c>
      <c r="L701" s="3">
        <v>1375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S701" s="7"/>
    </row>
    <row r="702" spans="1:19" x14ac:dyDescent="0.2">
      <c r="A702" s="2" t="s">
        <v>416</v>
      </c>
      <c r="B702" s="2" t="s">
        <v>33</v>
      </c>
      <c r="C702" s="2" t="s">
        <v>34</v>
      </c>
      <c r="D702" s="2" t="s">
        <v>24</v>
      </c>
      <c r="E702" s="3">
        <v>28871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11000</v>
      </c>
      <c r="O702" s="3">
        <v>0</v>
      </c>
      <c r="P702" s="3">
        <v>0</v>
      </c>
      <c r="Q702" s="3">
        <v>0</v>
      </c>
      <c r="S702" s="7"/>
    </row>
    <row r="703" spans="1:19" x14ac:dyDescent="0.2">
      <c r="A703" s="2" t="s">
        <v>416</v>
      </c>
      <c r="B703" s="2" t="s">
        <v>22</v>
      </c>
      <c r="C703" s="2" t="s">
        <v>253</v>
      </c>
      <c r="D703" s="2" t="s">
        <v>24</v>
      </c>
      <c r="E703" s="3">
        <v>3000</v>
      </c>
      <c r="F703" s="3">
        <v>3000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S703" s="7"/>
    </row>
    <row r="704" spans="1:19" x14ac:dyDescent="0.2">
      <c r="A704" s="2" t="s">
        <v>417</v>
      </c>
      <c r="B704" s="2" t="s">
        <v>33</v>
      </c>
      <c r="C704" s="2" t="s">
        <v>34</v>
      </c>
      <c r="D704" s="2" t="s">
        <v>24</v>
      </c>
      <c r="E704" s="3">
        <v>0</v>
      </c>
      <c r="F704" s="3">
        <v>0</v>
      </c>
      <c r="G704" s="3">
        <v>7264</v>
      </c>
      <c r="H704" s="3">
        <v>10896</v>
      </c>
      <c r="I704" s="3">
        <v>11328</v>
      </c>
      <c r="J704" s="3">
        <v>11328</v>
      </c>
      <c r="K704" s="3">
        <v>5664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S704" s="7"/>
    </row>
    <row r="705" spans="1:19" x14ac:dyDescent="0.2">
      <c r="A705" s="2" t="s">
        <v>418</v>
      </c>
      <c r="B705" s="2" t="s">
        <v>22</v>
      </c>
      <c r="C705" s="2" t="s">
        <v>63</v>
      </c>
      <c r="D705" s="2" t="s">
        <v>24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91230</v>
      </c>
      <c r="S705" s="7"/>
    </row>
    <row r="706" spans="1:19" x14ac:dyDescent="0.2">
      <c r="A706" s="2" t="s">
        <v>418</v>
      </c>
      <c r="B706" s="2" t="s">
        <v>22</v>
      </c>
      <c r="C706" s="2" t="s">
        <v>29</v>
      </c>
      <c r="D706" s="2" t="s">
        <v>24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17030</v>
      </c>
      <c r="S706" s="7"/>
    </row>
    <row r="707" spans="1:19" x14ac:dyDescent="0.2">
      <c r="A707" s="2" t="s">
        <v>419</v>
      </c>
      <c r="B707" s="2" t="s">
        <v>33</v>
      </c>
      <c r="C707" s="2" t="s">
        <v>34</v>
      </c>
      <c r="D707" s="2" t="s">
        <v>45</v>
      </c>
      <c r="E707" s="3">
        <v>496.89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S707" s="7"/>
    </row>
    <row r="708" spans="1:19" x14ac:dyDescent="0.2">
      <c r="A708" s="2" t="s">
        <v>420</v>
      </c>
      <c r="B708" s="2" t="s">
        <v>33</v>
      </c>
      <c r="C708" s="2" t="s">
        <v>34</v>
      </c>
      <c r="D708" s="2" t="s">
        <v>24</v>
      </c>
      <c r="E708" s="3">
        <v>745.34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S708" s="7"/>
    </row>
    <row r="709" spans="1:19" x14ac:dyDescent="0.2">
      <c r="A709" s="2" t="s">
        <v>421</v>
      </c>
      <c r="B709" s="2" t="s">
        <v>33</v>
      </c>
      <c r="C709" s="2" t="s">
        <v>34</v>
      </c>
      <c r="D709" s="2" t="s">
        <v>27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6000</v>
      </c>
      <c r="S709" s="7"/>
    </row>
    <row r="710" spans="1:19" x14ac:dyDescent="0.2">
      <c r="A710" s="2" t="s">
        <v>422</v>
      </c>
      <c r="B710" s="2" t="s">
        <v>22</v>
      </c>
      <c r="C710" s="2" t="s">
        <v>29</v>
      </c>
      <c r="D710" s="2" t="s">
        <v>91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431.46</v>
      </c>
      <c r="P710" s="3">
        <v>0</v>
      </c>
      <c r="Q710" s="3">
        <v>0</v>
      </c>
      <c r="S710" s="7"/>
    </row>
    <row r="711" spans="1:19" x14ac:dyDescent="0.2">
      <c r="A711" s="2" t="s">
        <v>423</v>
      </c>
      <c r="B711" s="2" t="s">
        <v>22</v>
      </c>
      <c r="C711" s="2" t="s">
        <v>29</v>
      </c>
      <c r="D711" s="2" t="s">
        <v>45</v>
      </c>
      <c r="E711" s="3">
        <v>123.81</v>
      </c>
      <c r="F711" s="3">
        <v>843.65999999999985</v>
      </c>
      <c r="G711" s="3">
        <v>1404.4499999999998</v>
      </c>
      <c r="H711" s="3">
        <v>1687.6400000000003</v>
      </c>
      <c r="I711" s="3">
        <v>1407.9999999999998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S711" s="7"/>
    </row>
    <row r="712" spans="1:19" x14ac:dyDescent="0.2">
      <c r="A712" s="2" t="s">
        <v>424</v>
      </c>
      <c r="B712" s="2" t="s">
        <v>22</v>
      </c>
      <c r="C712" s="2" t="s">
        <v>36</v>
      </c>
      <c r="D712" s="2" t="s">
        <v>45</v>
      </c>
      <c r="E712" s="3">
        <v>1615.96</v>
      </c>
      <c r="F712" s="3">
        <v>14132.059999999996</v>
      </c>
      <c r="G712" s="3">
        <v>9165.8900000000012</v>
      </c>
      <c r="H712" s="3">
        <v>11014.550000000001</v>
      </c>
      <c r="I712" s="3">
        <v>9188.7000000000007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S712" s="7"/>
    </row>
    <row r="713" spans="1:19" x14ac:dyDescent="0.2">
      <c r="A713" s="2" t="s">
        <v>425</v>
      </c>
      <c r="B713" s="2" t="s">
        <v>22</v>
      </c>
      <c r="C713" s="2" t="s">
        <v>28</v>
      </c>
      <c r="D713" s="2" t="s">
        <v>24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5646.3600000000006</v>
      </c>
      <c r="N713" s="3">
        <v>6500</v>
      </c>
      <c r="O713" s="3">
        <v>5000</v>
      </c>
      <c r="P713" s="3">
        <v>0</v>
      </c>
      <c r="Q713" s="3">
        <v>0</v>
      </c>
      <c r="S713" s="7"/>
    </row>
    <row r="714" spans="1:19" x14ac:dyDescent="0.2">
      <c r="A714" s="2" t="s">
        <v>426</v>
      </c>
      <c r="B714" s="2" t="s">
        <v>33</v>
      </c>
      <c r="C714" s="2" t="s">
        <v>34</v>
      </c>
      <c r="D714" s="2" t="s">
        <v>24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1125</v>
      </c>
      <c r="Q714" s="3">
        <v>0</v>
      </c>
      <c r="S714" s="7"/>
    </row>
    <row r="715" spans="1:19" x14ac:dyDescent="0.2">
      <c r="A715" s="2" t="s">
        <v>427</v>
      </c>
      <c r="B715" s="2" t="s">
        <v>52</v>
      </c>
      <c r="C715" s="2" t="s">
        <v>53</v>
      </c>
      <c r="D715" s="2" t="s">
        <v>77</v>
      </c>
      <c r="E715" s="3">
        <v>0</v>
      </c>
      <c r="F715" s="3">
        <v>0</v>
      </c>
      <c r="G715" s="3">
        <v>12385.150000000001</v>
      </c>
      <c r="H715" s="3">
        <v>893.95</v>
      </c>
      <c r="I715" s="3">
        <v>6639.55</v>
      </c>
      <c r="J715" s="3">
        <v>6639.55</v>
      </c>
      <c r="K715" s="3">
        <v>6639.55</v>
      </c>
      <c r="L715" s="3">
        <v>7303.54</v>
      </c>
      <c r="M715" s="3">
        <v>7303.54</v>
      </c>
      <c r="N715" s="3">
        <v>0</v>
      </c>
      <c r="O715" s="3">
        <v>0</v>
      </c>
      <c r="P715" s="3">
        <v>0</v>
      </c>
      <c r="Q715" s="3">
        <v>0</v>
      </c>
      <c r="S715" s="7"/>
    </row>
    <row r="716" spans="1:19" x14ac:dyDescent="0.2">
      <c r="A716" s="2" t="s">
        <v>427</v>
      </c>
      <c r="B716" s="2" t="s">
        <v>52</v>
      </c>
      <c r="C716" s="2" t="s">
        <v>277</v>
      </c>
      <c r="D716" s="2" t="s">
        <v>77</v>
      </c>
      <c r="E716" s="3">
        <v>894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S716" s="7"/>
    </row>
    <row r="717" spans="1:19" x14ac:dyDescent="0.2">
      <c r="A717" s="2" t="s">
        <v>427</v>
      </c>
      <c r="B717" s="2" t="s">
        <v>22</v>
      </c>
      <c r="C717" s="2" t="s">
        <v>253</v>
      </c>
      <c r="D717" s="2" t="s">
        <v>77</v>
      </c>
      <c r="E717" s="3">
        <v>6639.55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S717" s="7"/>
    </row>
    <row r="718" spans="1:19" x14ac:dyDescent="0.2">
      <c r="A718" s="2" t="s">
        <v>427</v>
      </c>
      <c r="B718" s="2" t="s">
        <v>22</v>
      </c>
      <c r="C718" s="2" t="s">
        <v>28</v>
      </c>
      <c r="D718" s="2" t="s">
        <v>77</v>
      </c>
      <c r="E718" s="3">
        <v>0</v>
      </c>
      <c r="F718" s="3">
        <v>0</v>
      </c>
      <c r="G718" s="3">
        <v>0</v>
      </c>
      <c r="H718" s="3">
        <v>4950</v>
      </c>
      <c r="I718" s="3">
        <v>5400</v>
      </c>
      <c r="J718" s="3">
        <v>5400</v>
      </c>
      <c r="K718" s="3">
        <v>5400</v>
      </c>
      <c r="L718" s="3">
        <v>5400</v>
      </c>
      <c r="M718" s="3">
        <v>5400</v>
      </c>
      <c r="N718" s="3">
        <v>5400</v>
      </c>
      <c r="O718" s="3">
        <v>1350</v>
      </c>
      <c r="P718" s="3">
        <v>0</v>
      </c>
      <c r="Q718" s="3">
        <v>0</v>
      </c>
      <c r="S718" s="7"/>
    </row>
    <row r="719" spans="1:19" x14ac:dyDescent="0.2">
      <c r="A719" s="2" t="s">
        <v>428</v>
      </c>
      <c r="B719" s="2" t="s">
        <v>22</v>
      </c>
      <c r="C719" s="2" t="s">
        <v>28</v>
      </c>
      <c r="D719" s="2" t="s">
        <v>45</v>
      </c>
      <c r="E719" s="3">
        <v>4200</v>
      </c>
      <c r="F719" s="3">
        <v>4200</v>
      </c>
      <c r="G719" s="3">
        <v>1400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S719" s="7"/>
    </row>
    <row r="720" spans="1:19" x14ac:dyDescent="0.2">
      <c r="A720" s="2" t="s">
        <v>429</v>
      </c>
      <c r="B720" s="2" t="s">
        <v>22</v>
      </c>
      <c r="C720" s="2" t="s">
        <v>36</v>
      </c>
      <c r="D720" s="2" t="s">
        <v>31</v>
      </c>
      <c r="E720" s="3">
        <v>5417.6500000000015</v>
      </c>
      <c r="F720" s="3">
        <v>414.05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S720" s="7"/>
    </row>
    <row r="721" spans="1:19" x14ac:dyDescent="0.2">
      <c r="A721" s="2" t="s">
        <v>429</v>
      </c>
      <c r="B721" s="2" t="s">
        <v>22</v>
      </c>
      <c r="C721" s="2" t="s">
        <v>29</v>
      </c>
      <c r="D721" s="2" t="s">
        <v>31</v>
      </c>
      <c r="E721" s="3">
        <v>406.3300000000001</v>
      </c>
      <c r="F721" s="3">
        <v>31.05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S721" s="7"/>
    </row>
    <row r="722" spans="1:19" x14ac:dyDescent="0.2">
      <c r="A722" s="2" t="s">
        <v>430</v>
      </c>
      <c r="B722" s="2" t="s">
        <v>33</v>
      </c>
      <c r="C722" s="2" t="s">
        <v>34</v>
      </c>
      <c r="D722" s="2" t="s">
        <v>91</v>
      </c>
      <c r="E722" s="3">
        <v>120191.15000000001</v>
      </c>
      <c r="F722" s="3">
        <v>108581.90000000002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S722" s="7"/>
    </row>
    <row r="723" spans="1:19" x14ac:dyDescent="0.2">
      <c r="A723" s="2" t="s">
        <v>431</v>
      </c>
      <c r="B723" s="2" t="s">
        <v>33</v>
      </c>
      <c r="C723" s="2" t="s">
        <v>277</v>
      </c>
      <c r="D723" s="2" t="s">
        <v>31</v>
      </c>
      <c r="E723" s="3">
        <v>4250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S723" s="7"/>
    </row>
    <row r="724" spans="1:19" x14ac:dyDescent="0.2">
      <c r="A724" s="2" t="s">
        <v>432</v>
      </c>
      <c r="B724" s="2" t="s">
        <v>33</v>
      </c>
      <c r="C724" s="2" t="s">
        <v>34</v>
      </c>
      <c r="D724" s="2" t="s">
        <v>31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60728</v>
      </c>
      <c r="O724" s="3">
        <v>60728</v>
      </c>
      <c r="P724" s="3">
        <v>0</v>
      </c>
      <c r="Q724" s="3">
        <v>0</v>
      </c>
      <c r="S724" s="7"/>
    </row>
    <row r="725" spans="1:19" x14ac:dyDescent="0.2">
      <c r="A725" s="2" t="s">
        <v>433</v>
      </c>
      <c r="B725" s="2" t="s">
        <v>33</v>
      </c>
      <c r="C725" s="2" t="s">
        <v>277</v>
      </c>
      <c r="D725" s="2" t="s">
        <v>31</v>
      </c>
      <c r="E725" s="3">
        <v>800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S725" s="7"/>
    </row>
    <row r="726" spans="1:19" x14ac:dyDescent="0.2">
      <c r="A726" s="2" t="s">
        <v>434</v>
      </c>
      <c r="B726" s="2" t="s">
        <v>22</v>
      </c>
      <c r="C726" s="2" t="s">
        <v>36</v>
      </c>
      <c r="D726" s="2" t="s">
        <v>24</v>
      </c>
      <c r="E726" s="3">
        <v>7010.8499999999985</v>
      </c>
      <c r="F726" s="3">
        <v>6098.3999999999987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S726" s="7"/>
    </row>
    <row r="727" spans="1:19" x14ac:dyDescent="0.2">
      <c r="A727" s="2" t="s">
        <v>435</v>
      </c>
      <c r="B727" s="2" t="s">
        <v>33</v>
      </c>
      <c r="C727" s="2" t="s">
        <v>34</v>
      </c>
      <c r="D727" s="2" t="s">
        <v>91</v>
      </c>
      <c r="E727" s="3">
        <v>43980</v>
      </c>
      <c r="F727" s="3">
        <v>44280</v>
      </c>
      <c r="G727" s="3">
        <v>44280</v>
      </c>
      <c r="H727" s="3">
        <v>44280</v>
      </c>
      <c r="I727" s="3">
        <v>44280</v>
      </c>
      <c r="J727" s="3">
        <v>44280</v>
      </c>
      <c r="K727" s="3">
        <v>44280</v>
      </c>
      <c r="L727" s="3">
        <v>3690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S727" s="7"/>
    </row>
    <row r="728" spans="1:19" x14ac:dyDescent="0.2">
      <c r="A728" s="2" t="s">
        <v>435</v>
      </c>
      <c r="B728" s="2" t="s">
        <v>22</v>
      </c>
      <c r="C728" s="2" t="s">
        <v>28</v>
      </c>
      <c r="D728" s="2" t="s">
        <v>91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8250</v>
      </c>
      <c r="M728" s="3">
        <v>9000</v>
      </c>
      <c r="N728" s="3">
        <v>9000</v>
      </c>
      <c r="O728" s="3">
        <v>8250</v>
      </c>
      <c r="P728" s="3">
        <v>0</v>
      </c>
      <c r="Q728" s="3">
        <v>0</v>
      </c>
      <c r="S728" s="7"/>
    </row>
    <row r="729" spans="1:19" x14ac:dyDescent="0.2">
      <c r="A729" s="2" t="s">
        <v>436</v>
      </c>
      <c r="B729" s="2" t="s">
        <v>33</v>
      </c>
      <c r="C729" s="2" t="s">
        <v>34</v>
      </c>
      <c r="D729" s="2" t="s">
        <v>170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41000</v>
      </c>
      <c r="S729" s="7"/>
    </row>
    <row r="730" spans="1:19" x14ac:dyDescent="0.2">
      <c r="A730" s="2" t="s">
        <v>437</v>
      </c>
      <c r="B730" s="2" t="s">
        <v>33</v>
      </c>
      <c r="C730" s="2" t="s">
        <v>34</v>
      </c>
      <c r="D730" s="2" t="s">
        <v>66</v>
      </c>
      <c r="E730" s="3">
        <v>28915.500000000004</v>
      </c>
      <c r="F730" s="3">
        <v>26122.350000000002</v>
      </c>
      <c r="G730" s="3">
        <v>35709.240000000005</v>
      </c>
      <c r="H730" s="3">
        <v>42226.28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S730" s="7"/>
    </row>
    <row r="731" spans="1:19" x14ac:dyDescent="0.2">
      <c r="A731" s="2" t="s">
        <v>438</v>
      </c>
      <c r="B731" s="2" t="s">
        <v>22</v>
      </c>
      <c r="C731" s="2" t="s">
        <v>29</v>
      </c>
      <c r="D731" s="2" t="s">
        <v>24</v>
      </c>
      <c r="E731" s="3">
        <v>0</v>
      </c>
      <c r="F731" s="3">
        <v>7504.9999999999991</v>
      </c>
      <c r="G731" s="3">
        <v>5529.9800000000005</v>
      </c>
      <c r="H731" s="3">
        <v>2699.1399999999994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S731" s="7"/>
    </row>
    <row r="732" spans="1:19" x14ac:dyDescent="0.2">
      <c r="A732" s="2"/>
      <c r="B732" s="2"/>
      <c r="C732" s="2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S732" s="7"/>
    </row>
    <row r="733" spans="1:19" x14ac:dyDescent="0.2">
      <c r="A733" s="2"/>
      <c r="B733" s="2"/>
      <c r="C733" s="2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S733" s="7"/>
    </row>
    <row r="734" spans="1:19" x14ac:dyDescent="0.2">
      <c r="A734" s="2"/>
      <c r="B734" s="2"/>
      <c r="C734" s="2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S734" s="7"/>
    </row>
    <row r="735" spans="1:19" x14ac:dyDescent="0.2">
      <c r="A735" s="2"/>
      <c r="B735" s="2"/>
      <c r="C735" s="2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S735" s="7"/>
    </row>
    <row r="736" spans="1:19" x14ac:dyDescent="0.2">
      <c r="A736" s="2"/>
      <c r="B736" s="2"/>
      <c r="C736" s="2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S736" s="7"/>
    </row>
    <row r="737" spans="1:19" x14ac:dyDescent="0.2">
      <c r="A737" s="2"/>
      <c r="B737" s="2"/>
      <c r="C737" s="2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S737" s="7"/>
    </row>
    <row r="738" spans="1:19" x14ac:dyDescent="0.2">
      <c r="A738" s="2"/>
      <c r="B738" s="2"/>
      <c r="C738" s="2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S738" s="7"/>
    </row>
    <row r="739" spans="1:19" x14ac:dyDescent="0.2">
      <c r="A739" s="2"/>
      <c r="B739" s="2"/>
      <c r="C739" s="2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S739" s="7"/>
    </row>
    <row r="740" spans="1:19" x14ac:dyDescent="0.2">
      <c r="A740" s="2"/>
      <c r="B740" s="2"/>
      <c r="C740" s="2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S740" s="7"/>
    </row>
    <row r="741" spans="1:19" x14ac:dyDescent="0.2">
      <c r="A741" s="2"/>
      <c r="B741" s="2"/>
      <c r="C741" s="2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S741" s="7"/>
    </row>
    <row r="742" spans="1:19" x14ac:dyDescent="0.2">
      <c r="A742" s="2"/>
      <c r="B742" s="2"/>
      <c r="C742" s="2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S742" s="7"/>
    </row>
    <row r="743" spans="1:19" x14ac:dyDescent="0.2">
      <c r="A743" s="2"/>
      <c r="B743" s="2"/>
      <c r="C743" s="2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S743" s="7"/>
    </row>
    <row r="744" spans="1:19" x14ac:dyDescent="0.2">
      <c r="A744" s="2"/>
      <c r="B744" s="2"/>
      <c r="C744" s="2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S744" s="7"/>
    </row>
    <row r="745" spans="1:19" x14ac:dyDescent="0.2">
      <c r="A745" s="2"/>
      <c r="B745" s="2"/>
      <c r="C745" s="2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S745" s="7"/>
    </row>
    <row r="746" spans="1:19" x14ac:dyDescent="0.2">
      <c r="A746" s="2"/>
      <c r="B746" s="2"/>
      <c r="C746" s="2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S746" s="7"/>
    </row>
    <row r="747" spans="1:19" x14ac:dyDescent="0.2">
      <c r="A747" s="2"/>
      <c r="B747" s="2"/>
      <c r="C747" s="2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S747" s="7"/>
    </row>
    <row r="748" spans="1:19" x14ac:dyDescent="0.2">
      <c r="A748" s="2"/>
      <c r="B748" s="2"/>
      <c r="C748" s="2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S748" s="7"/>
    </row>
    <row r="749" spans="1:19" x14ac:dyDescent="0.2">
      <c r="A749" s="2"/>
      <c r="B749" s="2"/>
      <c r="C749" s="2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S749" s="7"/>
    </row>
    <row r="750" spans="1:19" x14ac:dyDescent="0.2">
      <c r="A750" s="2"/>
      <c r="B750" s="2"/>
      <c r="C750" s="2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S750" s="7"/>
    </row>
    <row r="751" spans="1:19" x14ac:dyDescent="0.2">
      <c r="A751" s="2"/>
      <c r="B751" s="2"/>
      <c r="C751" s="2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S751" s="7"/>
    </row>
    <row r="752" spans="1:19" x14ac:dyDescent="0.2">
      <c r="A752" s="2"/>
      <c r="B752" s="2"/>
      <c r="C752" s="2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S752" s="7"/>
    </row>
    <row r="753" spans="1:19" x14ac:dyDescent="0.2">
      <c r="A753" s="2"/>
      <c r="B753" s="2"/>
      <c r="C753" s="2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S753" s="7"/>
    </row>
    <row r="754" spans="1:19" x14ac:dyDescent="0.2">
      <c r="A754" s="2"/>
      <c r="B754" s="2"/>
      <c r="C754" s="2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S754" s="7"/>
    </row>
    <row r="755" spans="1:19" x14ac:dyDescent="0.2">
      <c r="A755" s="2"/>
      <c r="B755" s="2"/>
      <c r="C755" s="2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S755" s="7"/>
    </row>
    <row r="756" spans="1:19" x14ac:dyDescent="0.2">
      <c r="A756" s="2"/>
      <c r="B756" s="2"/>
      <c r="C756" s="2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S756" s="7"/>
    </row>
    <row r="757" spans="1:19" x14ac:dyDescent="0.2">
      <c r="A757" s="2"/>
      <c r="B757" s="2"/>
      <c r="C757" s="2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S757" s="7"/>
    </row>
    <row r="758" spans="1:19" x14ac:dyDescent="0.2">
      <c r="A758" s="2"/>
      <c r="B758" s="2"/>
      <c r="C758" s="2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S758" s="7"/>
    </row>
    <row r="759" spans="1:19" x14ac:dyDescent="0.2">
      <c r="A759" s="2"/>
      <c r="B759" s="2"/>
      <c r="C759" s="2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S759" s="7"/>
    </row>
    <row r="760" spans="1:19" x14ac:dyDescent="0.2">
      <c r="A760" s="2"/>
      <c r="B760" s="2"/>
      <c r="C760" s="2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S760" s="7"/>
    </row>
    <row r="761" spans="1:19" x14ac:dyDescent="0.2">
      <c r="A761" s="2"/>
      <c r="B761" s="2"/>
      <c r="C761" s="2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S761" s="7"/>
    </row>
    <row r="762" spans="1:19" x14ac:dyDescent="0.2">
      <c r="A762" s="2"/>
      <c r="B762" s="2"/>
      <c r="C762" s="2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S762" s="7"/>
    </row>
    <row r="763" spans="1:19" x14ac:dyDescent="0.2">
      <c r="A763" s="2"/>
      <c r="B763" s="2"/>
      <c r="C763" s="2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S763" s="7"/>
    </row>
    <row r="764" spans="1:19" x14ac:dyDescent="0.2">
      <c r="A764" s="2"/>
      <c r="B764" s="2"/>
      <c r="C764" s="2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S764" s="7"/>
    </row>
    <row r="765" spans="1:19" x14ac:dyDescent="0.2">
      <c r="A765" s="2"/>
      <c r="B765" s="2"/>
      <c r="C765" s="2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S765" s="7"/>
    </row>
    <row r="766" spans="1:19" x14ac:dyDescent="0.2">
      <c r="A766" s="2"/>
      <c r="B766" s="2"/>
      <c r="C766" s="2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S766" s="7"/>
    </row>
    <row r="767" spans="1:19" x14ac:dyDescent="0.2">
      <c r="A767" s="2"/>
      <c r="B767" s="2"/>
      <c r="C767" s="2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S767" s="7"/>
    </row>
    <row r="768" spans="1:19" x14ac:dyDescent="0.2">
      <c r="A768" s="2"/>
      <c r="B768" s="2"/>
      <c r="C768" s="2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S768" s="7"/>
    </row>
    <row r="769" spans="1:17" x14ac:dyDescent="0.2">
      <c r="A769" s="2"/>
      <c r="B769" s="2"/>
      <c r="C769" s="2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x14ac:dyDescent="0.2">
      <c r="A770" s="2"/>
      <c r="B770" s="2"/>
      <c r="C770" s="2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x14ac:dyDescent="0.2">
      <c r="A771" s="2"/>
      <c r="B771" s="2"/>
      <c r="C771" s="2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x14ac:dyDescent="0.2">
      <c r="A772" s="2"/>
      <c r="B772" s="2"/>
      <c r="C772" s="2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x14ac:dyDescent="0.2">
      <c r="A773" s="2"/>
      <c r="B773" s="2"/>
      <c r="C773" s="2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x14ac:dyDescent="0.2">
      <c r="A774" s="2"/>
      <c r="B774" s="2"/>
      <c r="C774" s="2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x14ac:dyDescent="0.2">
      <c r="A775" s="2"/>
      <c r="B775" s="2"/>
      <c r="C775" s="2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x14ac:dyDescent="0.2">
      <c r="A776" s="2"/>
      <c r="B776" s="2"/>
      <c r="C776" s="2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x14ac:dyDescent="0.2">
      <c r="A777" s="2"/>
      <c r="B777" s="2"/>
      <c r="C777" s="2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x14ac:dyDescent="0.2">
      <c r="A778" s="2"/>
      <c r="B778" s="2"/>
      <c r="C778" s="2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x14ac:dyDescent="0.2">
      <c r="A779" s="2"/>
      <c r="B779" s="2"/>
      <c r="C779" s="2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x14ac:dyDescent="0.2">
      <c r="A780" s="2"/>
      <c r="B780" s="2"/>
      <c r="C780" s="2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x14ac:dyDescent="0.2">
      <c r="A781" s="2"/>
      <c r="B781" s="2"/>
      <c r="C781" s="2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x14ac:dyDescent="0.2">
      <c r="A782" s="2"/>
      <c r="B782" s="2"/>
      <c r="C782" s="2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x14ac:dyDescent="0.2">
      <c r="A783" s="2"/>
      <c r="B783" s="2"/>
      <c r="C783" s="2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x14ac:dyDescent="0.2">
      <c r="A784" s="2"/>
      <c r="B784" s="2"/>
      <c r="C784" s="2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x14ac:dyDescent="0.2">
      <c r="A785" s="2"/>
      <c r="B785" s="2"/>
      <c r="C785" s="2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x14ac:dyDescent="0.2">
      <c r="A786" s="2"/>
      <c r="B786" s="2"/>
      <c r="C786" s="2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x14ac:dyDescent="0.2">
      <c r="A787" s="2"/>
      <c r="B787" s="2"/>
      <c r="C787" s="2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x14ac:dyDescent="0.2">
      <c r="A788" s="2"/>
      <c r="B788" s="2"/>
      <c r="C788" s="2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x14ac:dyDescent="0.2">
      <c r="A789" s="2"/>
      <c r="B789" s="2"/>
      <c r="C789" s="2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x14ac:dyDescent="0.2">
      <c r="A790" s="2"/>
      <c r="B790" s="2"/>
      <c r="C790" s="2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x14ac:dyDescent="0.2">
      <c r="A791" s="2"/>
      <c r="B791" s="2"/>
      <c r="C791" s="2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x14ac:dyDescent="0.2">
      <c r="A792" s="2"/>
      <c r="B792" s="2"/>
      <c r="C792" s="2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x14ac:dyDescent="0.2">
      <c r="A793" s="2"/>
      <c r="B793" s="2"/>
      <c r="C793" s="2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x14ac:dyDescent="0.2">
      <c r="A794" s="2"/>
      <c r="B794" s="2"/>
      <c r="C794" s="2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x14ac:dyDescent="0.2">
      <c r="A795" s="2"/>
      <c r="B795" s="2"/>
      <c r="C795" s="2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x14ac:dyDescent="0.2">
      <c r="A796" s="2"/>
      <c r="B796" s="2"/>
      <c r="C796" s="2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x14ac:dyDescent="0.2">
      <c r="A797" s="2"/>
      <c r="B797" s="2"/>
      <c r="C797" s="2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x14ac:dyDescent="0.2">
      <c r="A798" s="2"/>
      <c r="B798" s="2"/>
      <c r="C798" s="2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x14ac:dyDescent="0.2">
      <c r="A799" s="2"/>
      <c r="B799" s="2"/>
      <c r="C799" s="2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x14ac:dyDescent="0.2">
      <c r="A800" s="2"/>
      <c r="B800" s="2"/>
      <c r="C800" s="2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x14ac:dyDescent="0.2">
      <c r="A801" s="2"/>
      <c r="B801" s="2"/>
      <c r="C801" s="2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x14ac:dyDescent="0.2">
      <c r="A802" s="2"/>
      <c r="B802" s="2"/>
      <c r="C802" s="2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x14ac:dyDescent="0.2">
      <c r="A803" s="2"/>
      <c r="B803" s="2"/>
      <c r="C803" s="2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x14ac:dyDescent="0.2">
      <c r="A804" s="2"/>
      <c r="B804" s="2"/>
      <c r="C804" s="2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x14ac:dyDescent="0.2">
      <c r="A805" s="2"/>
      <c r="B805" s="2"/>
      <c r="C805" s="2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x14ac:dyDescent="0.2">
      <c r="A806" s="2"/>
      <c r="B806" s="2"/>
      <c r="C806" s="2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x14ac:dyDescent="0.2">
      <c r="A807" s="2"/>
      <c r="B807" s="2"/>
      <c r="C807" s="2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x14ac:dyDescent="0.2">
      <c r="A808" s="2"/>
      <c r="B808" s="2"/>
      <c r="C808" s="2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x14ac:dyDescent="0.2">
      <c r="A809" s="2"/>
      <c r="B809" s="2"/>
      <c r="C809" s="2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x14ac:dyDescent="0.2">
      <c r="A810" s="2"/>
      <c r="B810" s="2"/>
      <c r="C810" s="2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x14ac:dyDescent="0.2">
      <c r="A811" s="2"/>
      <c r="B811" s="2"/>
      <c r="C811" s="2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x14ac:dyDescent="0.2">
      <c r="A812" s="2"/>
      <c r="B812" s="2"/>
      <c r="C812" s="2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x14ac:dyDescent="0.2">
      <c r="A813" s="2"/>
      <c r="B813" s="2"/>
      <c r="C813" s="2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x14ac:dyDescent="0.2">
      <c r="A814" s="2"/>
      <c r="B814" s="2"/>
      <c r="C814" s="2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x14ac:dyDescent="0.2">
      <c r="A815" s="2"/>
      <c r="B815" s="2"/>
      <c r="C815" s="2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x14ac:dyDescent="0.2">
      <c r="A816" s="2"/>
      <c r="B816" s="2"/>
      <c r="C816" s="2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x14ac:dyDescent="0.2">
      <c r="A817" s="2"/>
      <c r="B817" s="2"/>
      <c r="C817" s="2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x14ac:dyDescent="0.2">
      <c r="A818" s="2"/>
      <c r="B818" s="2"/>
      <c r="C818" s="2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x14ac:dyDescent="0.2">
      <c r="A819" s="2"/>
      <c r="B819" s="2"/>
      <c r="C819" s="2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x14ac:dyDescent="0.2">
      <c r="A820" s="2"/>
      <c r="B820" s="2"/>
      <c r="C820" s="2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x14ac:dyDescent="0.2">
      <c r="A821" s="2"/>
      <c r="B821" s="2"/>
      <c r="C821" s="2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x14ac:dyDescent="0.2">
      <c r="A822" s="2"/>
      <c r="B822" s="2"/>
      <c r="C822" s="2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x14ac:dyDescent="0.2">
      <c r="A823" s="2"/>
      <c r="B823" s="2"/>
      <c r="C823" s="2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x14ac:dyDescent="0.2">
      <c r="A824" s="2"/>
      <c r="B824" s="2"/>
      <c r="C824" s="2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x14ac:dyDescent="0.2">
      <c r="A825" s="2"/>
      <c r="B825" s="2"/>
      <c r="C825" s="2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x14ac:dyDescent="0.2">
      <c r="A826" s="2"/>
      <c r="B826" s="2"/>
      <c r="C826" s="2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x14ac:dyDescent="0.2">
      <c r="A827" s="2"/>
      <c r="B827" s="2"/>
      <c r="C827" s="2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x14ac:dyDescent="0.2">
      <c r="A828" s="2"/>
      <c r="B828" s="2"/>
      <c r="C828" s="2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x14ac:dyDescent="0.2">
      <c r="A829" s="2"/>
      <c r="B829" s="2"/>
      <c r="C829" s="2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x14ac:dyDescent="0.2">
      <c r="A830" s="2"/>
      <c r="B830" s="2"/>
      <c r="C830" s="2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x14ac:dyDescent="0.2">
      <c r="A831" s="2"/>
      <c r="B831" s="2"/>
      <c r="C831" s="2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x14ac:dyDescent="0.2">
      <c r="A832" s="2"/>
      <c r="B832" s="2"/>
      <c r="C832" s="2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x14ac:dyDescent="0.2">
      <c r="A833" s="2"/>
      <c r="B833" s="2"/>
      <c r="C833" s="2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x14ac:dyDescent="0.2">
      <c r="A834" s="2"/>
      <c r="B834" s="2"/>
      <c r="C834" s="2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x14ac:dyDescent="0.2">
      <c r="A835" s="2"/>
      <c r="B835" s="2"/>
      <c r="C835" s="2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x14ac:dyDescent="0.2">
      <c r="A836" s="2"/>
      <c r="B836" s="2"/>
      <c r="C836" s="2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x14ac:dyDescent="0.2">
      <c r="A837" s="2"/>
      <c r="B837" s="2"/>
      <c r="C837" s="2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x14ac:dyDescent="0.2">
      <c r="A838" s="2"/>
      <c r="B838" s="2"/>
      <c r="C838" s="2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x14ac:dyDescent="0.2">
      <c r="A839" s="2"/>
      <c r="B839" s="2"/>
      <c r="C839" s="2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x14ac:dyDescent="0.2">
      <c r="A840" s="2"/>
      <c r="B840" s="2"/>
      <c r="C840" s="2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x14ac:dyDescent="0.2">
      <c r="A841" s="2"/>
      <c r="B841" s="2"/>
      <c r="C841" s="2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x14ac:dyDescent="0.2">
      <c r="A842" s="2"/>
      <c r="B842" s="2"/>
      <c r="C842" s="2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x14ac:dyDescent="0.2">
      <c r="A843" s="2"/>
      <c r="B843" s="2"/>
      <c r="C843" s="2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x14ac:dyDescent="0.2">
      <c r="A844" s="2"/>
      <c r="B844" s="2"/>
      <c r="C844" s="2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x14ac:dyDescent="0.2">
      <c r="A845" s="2"/>
      <c r="B845" s="2"/>
      <c r="C845" s="2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x14ac:dyDescent="0.2">
      <c r="A846" s="2"/>
      <c r="B846" s="2"/>
      <c r="C846" s="2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x14ac:dyDescent="0.2">
      <c r="A847" s="2"/>
      <c r="B847" s="2"/>
      <c r="C847" s="2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x14ac:dyDescent="0.2">
      <c r="A848" s="2"/>
      <c r="B848" s="2"/>
      <c r="C848" s="2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x14ac:dyDescent="0.2">
      <c r="A849" s="2"/>
      <c r="B849" s="2"/>
      <c r="C849" s="2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x14ac:dyDescent="0.2">
      <c r="A850" s="2"/>
      <c r="B850" s="2"/>
      <c r="C850" s="2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x14ac:dyDescent="0.2">
      <c r="A851" s="2"/>
      <c r="B851" s="2"/>
      <c r="C851" s="2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x14ac:dyDescent="0.2">
      <c r="A852" s="2"/>
      <c r="B852" s="2"/>
      <c r="C852" s="2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x14ac:dyDescent="0.2">
      <c r="A853" s="2"/>
      <c r="B853" s="2"/>
      <c r="C853" s="2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x14ac:dyDescent="0.2">
      <c r="A854" s="2"/>
      <c r="B854" s="2"/>
      <c r="C854" s="2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x14ac:dyDescent="0.2">
      <c r="A855" s="2"/>
      <c r="B855" s="2"/>
      <c r="C855" s="2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x14ac:dyDescent="0.2">
      <c r="A856" s="2"/>
      <c r="B856" s="2"/>
      <c r="C856" s="2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x14ac:dyDescent="0.2">
      <c r="A857" s="2"/>
      <c r="B857" s="2"/>
      <c r="C857" s="2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x14ac:dyDescent="0.2">
      <c r="A858" s="2"/>
      <c r="B858" s="2"/>
      <c r="C858" s="2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x14ac:dyDescent="0.2">
      <c r="A859" s="2"/>
      <c r="B859" s="2"/>
      <c r="C859" s="2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x14ac:dyDescent="0.2">
      <c r="A860" s="2"/>
      <c r="B860" s="2"/>
      <c r="C860" s="2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x14ac:dyDescent="0.2">
      <c r="A861" s="2"/>
      <c r="B861" s="2"/>
      <c r="C861" s="2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x14ac:dyDescent="0.2">
      <c r="A862" s="2"/>
      <c r="B862" s="2"/>
      <c r="C862" s="2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x14ac:dyDescent="0.2">
      <c r="A863" s="2"/>
      <c r="B863" s="2"/>
      <c r="C863" s="2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x14ac:dyDescent="0.2">
      <c r="A864" s="2"/>
      <c r="B864" s="2"/>
      <c r="C864" s="2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x14ac:dyDescent="0.2">
      <c r="A865" s="2"/>
      <c r="B865" s="2"/>
      <c r="C865" s="2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x14ac:dyDescent="0.2">
      <c r="A866" s="2"/>
      <c r="B866" s="2"/>
      <c r="C866" s="2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x14ac:dyDescent="0.2">
      <c r="A867" s="2"/>
      <c r="B867" s="2"/>
      <c r="C867" s="2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x14ac:dyDescent="0.2">
      <c r="A868" s="2"/>
      <c r="B868" s="2"/>
      <c r="C868" s="2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x14ac:dyDescent="0.2">
      <c r="A869" s="2"/>
      <c r="B869" s="2"/>
      <c r="C869" s="2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x14ac:dyDescent="0.2">
      <c r="A870" s="2"/>
      <c r="B870" s="2"/>
      <c r="C870" s="2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x14ac:dyDescent="0.2">
      <c r="A871" s="2"/>
      <c r="B871" s="2"/>
      <c r="C871" s="2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x14ac:dyDescent="0.2">
      <c r="A872" s="2"/>
      <c r="B872" s="2"/>
      <c r="C872" s="2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x14ac:dyDescent="0.2">
      <c r="A873" s="2"/>
      <c r="B873" s="2"/>
      <c r="C873" s="2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x14ac:dyDescent="0.2">
      <c r="A874" s="2"/>
      <c r="B874" s="2"/>
      <c r="C874" s="2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x14ac:dyDescent="0.2">
      <c r="A875" s="2"/>
      <c r="B875" s="2"/>
      <c r="C875" s="2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x14ac:dyDescent="0.2">
      <c r="A876" s="2"/>
      <c r="B876" s="2"/>
      <c r="C876" s="2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x14ac:dyDescent="0.2">
      <c r="A877" s="2"/>
      <c r="B877" s="2"/>
      <c r="C877" s="2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x14ac:dyDescent="0.2">
      <c r="A878" s="2"/>
      <c r="B878" s="2"/>
      <c r="C878" s="2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x14ac:dyDescent="0.2">
      <c r="A879" s="2"/>
      <c r="B879" s="2"/>
      <c r="C879" s="2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x14ac:dyDescent="0.2">
      <c r="A880" s="2"/>
      <c r="B880" s="2"/>
      <c r="C880" s="2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x14ac:dyDescent="0.2">
      <c r="A881" s="2"/>
      <c r="B881" s="2"/>
      <c r="C881" s="2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x14ac:dyDescent="0.2">
      <c r="A882" s="2"/>
      <c r="B882" s="2"/>
      <c r="C882" s="2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x14ac:dyDescent="0.2">
      <c r="A883" s="2"/>
      <c r="B883" s="2"/>
      <c r="C883" s="2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x14ac:dyDescent="0.2">
      <c r="A884" s="2"/>
      <c r="B884" s="2"/>
      <c r="C884" s="2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x14ac:dyDescent="0.2">
      <c r="A885" s="2"/>
      <c r="B885" s="2"/>
      <c r="C885" s="2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x14ac:dyDescent="0.2">
      <c r="A886" s="2"/>
      <c r="B886" s="2"/>
      <c r="C886" s="2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x14ac:dyDescent="0.2">
      <c r="A887" s="2"/>
      <c r="B887" s="2"/>
      <c r="C887" s="2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x14ac:dyDescent="0.2">
      <c r="A888" s="2"/>
      <c r="B888" s="2"/>
      <c r="C888" s="2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x14ac:dyDescent="0.2">
      <c r="A889" s="2"/>
      <c r="B889" s="2"/>
      <c r="C889" s="2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x14ac:dyDescent="0.2">
      <c r="A890" s="2"/>
      <c r="B890" s="2"/>
      <c r="C890" s="2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x14ac:dyDescent="0.2">
      <c r="A891" s="2"/>
      <c r="B891" s="2"/>
      <c r="C891" s="2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x14ac:dyDescent="0.2">
      <c r="A892" s="2"/>
      <c r="B892" s="2"/>
      <c r="C892" s="2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x14ac:dyDescent="0.2">
      <c r="A893" s="2"/>
      <c r="B893" s="2"/>
      <c r="C893" s="2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x14ac:dyDescent="0.2">
      <c r="A894" s="2"/>
      <c r="B894" s="2"/>
      <c r="C894" s="2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x14ac:dyDescent="0.2">
      <c r="A895" s="2"/>
      <c r="B895" s="2"/>
      <c r="C895" s="2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x14ac:dyDescent="0.2">
      <c r="A896" s="2"/>
      <c r="B896" s="2"/>
      <c r="C896" s="2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x14ac:dyDescent="0.2">
      <c r="A897" s="2"/>
      <c r="B897" s="2"/>
      <c r="C897" s="2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x14ac:dyDescent="0.2">
      <c r="A898" s="2"/>
      <c r="B898" s="2"/>
      <c r="C898" s="2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x14ac:dyDescent="0.2">
      <c r="A899" s="2"/>
      <c r="B899" s="2"/>
      <c r="C899" s="2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x14ac:dyDescent="0.2">
      <c r="A900" s="2"/>
      <c r="B900" s="2"/>
      <c r="C900" s="2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x14ac:dyDescent="0.2">
      <c r="A901" s="2"/>
      <c r="B901" s="2"/>
      <c r="C901" s="2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x14ac:dyDescent="0.2">
      <c r="A902" s="2"/>
      <c r="B902" s="2"/>
      <c r="C902" s="2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x14ac:dyDescent="0.2">
      <c r="A903" s="2"/>
      <c r="B903" s="2"/>
      <c r="C903" s="2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x14ac:dyDescent="0.2">
      <c r="A904" s="2"/>
      <c r="B904" s="2"/>
      <c r="C904" s="2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x14ac:dyDescent="0.2">
      <c r="A905" s="2"/>
      <c r="B905" s="2"/>
      <c r="C905" s="2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x14ac:dyDescent="0.2">
      <c r="A906" s="2"/>
      <c r="B906" s="2"/>
      <c r="C906" s="2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x14ac:dyDescent="0.2">
      <c r="A907" s="2"/>
      <c r="B907" s="2"/>
      <c r="C907" s="2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x14ac:dyDescent="0.2">
      <c r="A908" s="2"/>
      <c r="B908" s="2"/>
      <c r="C908" s="2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x14ac:dyDescent="0.2">
      <c r="A909" s="2"/>
      <c r="B909" s="2"/>
      <c r="C909" s="2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x14ac:dyDescent="0.2">
      <c r="A910" s="2"/>
      <c r="B910" s="2"/>
      <c r="C910" s="2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x14ac:dyDescent="0.2">
      <c r="A911" s="2"/>
      <c r="B911" s="2"/>
      <c r="C911" s="2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x14ac:dyDescent="0.2">
      <c r="A912" s="2"/>
      <c r="B912" s="2"/>
      <c r="C912" s="2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x14ac:dyDescent="0.2">
      <c r="A913" s="2"/>
      <c r="B913" s="2"/>
      <c r="C913" s="2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x14ac:dyDescent="0.2">
      <c r="A914" s="2"/>
      <c r="B914" s="2"/>
      <c r="C914" s="2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x14ac:dyDescent="0.2">
      <c r="A915" s="2"/>
      <c r="B915" s="2"/>
      <c r="C915" s="2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x14ac:dyDescent="0.2">
      <c r="A916" s="2"/>
      <c r="B916" s="2"/>
      <c r="C916" s="2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x14ac:dyDescent="0.2">
      <c r="A917" s="2"/>
      <c r="B917" s="2"/>
      <c r="C917" s="2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x14ac:dyDescent="0.2">
      <c r="A918" s="2"/>
      <c r="B918" s="2"/>
      <c r="C918" s="2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x14ac:dyDescent="0.2">
      <c r="A919" s="2"/>
      <c r="B919" s="2"/>
      <c r="C919" s="2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x14ac:dyDescent="0.2">
      <c r="A920" s="2"/>
      <c r="B920" s="2"/>
      <c r="C920" s="2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x14ac:dyDescent="0.2">
      <c r="A921" s="2"/>
      <c r="B921" s="2"/>
      <c r="C921" s="2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x14ac:dyDescent="0.2">
      <c r="A922" s="2"/>
      <c r="B922" s="2"/>
      <c r="C922" s="2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x14ac:dyDescent="0.2">
      <c r="A923" s="2"/>
      <c r="B923" s="2"/>
      <c r="C923" s="2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x14ac:dyDescent="0.2">
      <c r="A924" s="2"/>
      <c r="B924" s="2"/>
      <c r="C924" s="2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x14ac:dyDescent="0.2">
      <c r="A925" s="2"/>
      <c r="B925" s="2"/>
      <c r="C925" s="2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x14ac:dyDescent="0.2">
      <c r="A926" s="2"/>
      <c r="B926" s="2"/>
      <c r="C926" s="2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x14ac:dyDescent="0.2">
      <c r="A927" s="2"/>
      <c r="B927" s="2"/>
      <c r="C927" s="2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x14ac:dyDescent="0.2">
      <c r="A928" s="2"/>
      <c r="B928" s="2"/>
      <c r="C928" s="2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x14ac:dyDescent="0.2">
      <c r="A929" s="2"/>
      <c r="B929" s="2"/>
      <c r="C929" s="2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x14ac:dyDescent="0.2">
      <c r="A930" s="2"/>
      <c r="B930" s="2"/>
      <c r="C930" s="2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x14ac:dyDescent="0.2">
      <c r="A931" s="2"/>
      <c r="B931" s="2"/>
      <c r="C931" s="2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x14ac:dyDescent="0.2">
      <c r="A932" s="2"/>
      <c r="B932" s="2"/>
      <c r="C932" s="2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x14ac:dyDescent="0.2">
      <c r="A933" s="2"/>
      <c r="B933" s="2"/>
      <c r="C933" s="2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x14ac:dyDescent="0.2">
      <c r="A934" s="2"/>
      <c r="B934" s="2"/>
      <c r="C934" s="2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x14ac:dyDescent="0.2">
      <c r="A935" s="2"/>
      <c r="B935" s="2"/>
      <c r="C935" s="2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x14ac:dyDescent="0.2">
      <c r="A936" s="2"/>
      <c r="B936" s="2"/>
      <c r="C936" s="2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x14ac:dyDescent="0.2">
      <c r="A937" s="2"/>
      <c r="B937" s="2"/>
      <c r="C937" s="2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x14ac:dyDescent="0.2">
      <c r="A938" s="2"/>
      <c r="B938" s="2"/>
      <c r="C938" s="2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x14ac:dyDescent="0.2">
      <c r="A939" s="2"/>
      <c r="B939" s="2"/>
      <c r="C939" s="2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x14ac:dyDescent="0.2">
      <c r="A940" s="2"/>
      <c r="B940" s="2"/>
      <c r="C940" s="2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x14ac:dyDescent="0.2">
      <c r="A941" s="2"/>
      <c r="B941" s="2"/>
      <c r="C941" s="2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x14ac:dyDescent="0.2">
      <c r="A942" s="2"/>
      <c r="B942" s="2"/>
      <c r="C942" s="2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x14ac:dyDescent="0.2">
      <c r="A943" s="2"/>
      <c r="B943" s="2"/>
      <c r="C943" s="2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x14ac:dyDescent="0.2">
      <c r="A944" s="2"/>
      <c r="B944" s="2"/>
      <c r="C944" s="2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x14ac:dyDescent="0.2">
      <c r="A945" s="2"/>
      <c r="B945" s="2"/>
      <c r="C945" s="2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x14ac:dyDescent="0.2">
      <c r="A946" s="2"/>
      <c r="B946" s="2"/>
      <c r="C946" s="2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x14ac:dyDescent="0.2">
      <c r="A947" s="2"/>
      <c r="B947" s="2"/>
      <c r="C947" s="2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x14ac:dyDescent="0.2">
      <c r="A948" s="2"/>
      <c r="B948" s="2"/>
      <c r="C948" s="2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x14ac:dyDescent="0.2">
      <c r="A949" s="2"/>
      <c r="B949" s="2"/>
      <c r="C949" s="2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x14ac:dyDescent="0.2">
      <c r="A950" s="2"/>
      <c r="B950" s="2"/>
      <c r="C950" s="2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x14ac:dyDescent="0.2">
      <c r="A951" s="2"/>
      <c r="B951" s="2"/>
      <c r="C951" s="2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x14ac:dyDescent="0.2">
      <c r="A952" s="2"/>
      <c r="B952" s="2"/>
      <c r="C952" s="2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x14ac:dyDescent="0.2">
      <c r="A953" s="2"/>
      <c r="B953" s="2"/>
      <c r="C953" s="2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x14ac:dyDescent="0.2">
      <c r="A954" s="2"/>
      <c r="B954" s="2"/>
      <c r="C954" s="2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x14ac:dyDescent="0.2">
      <c r="A955" s="2"/>
      <c r="B955" s="2"/>
      <c r="C955" s="2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x14ac:dyDescent="0.2">
      <c r="A956" s="2"/>
      <c r="B956" s="2"/>
      <c r="C956" s="2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x14ac:dyDescent="0.2">
      <c r="A957" s="2"/>
      <c r="B957" s="2"/>
      <c r="C957" s="2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x14ac:dyDescent="0.2">
      <c r="A958" s="2"/>
      <c r="B958" s="2"/>
      <c r="C958" s="2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x14ac:dyDescent="0.2">
      <c r="A959" s="2"/>
      <c r="B959" s="2"/>
      <c r="C959" s="2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x14ac:dyDescent="0.2">
      <c r="A960" s="2"/>
      <c r="B960" s="2"/>
      <c r="C960" s="2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x14ac:dyDescent="0.2">
      <c r="A961" s="2"/>
      <c r="B961" s="2"/>
      <c r="C961" s="2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x14ac:dyDescent="0.2">
      <c r="A962" s="2"/>
      <c r="B962" s="2"/>
      <c r="C962" s="2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x14ac:dyDescent="0.2">
      <c r="A963" s="2"/>
      <c r="B963" s="2"/>
      <c r="C963" s="2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x14ac:dyDescent="0.2">
      <c r="A964" s="2"/>
      <c r="B964" s="2"/>
      <c r="C964" s="2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x14ac:dyDescent="0.2">
      <c r="A965" s="2"/>
      <c r="B965" s="2"/>
      <c r="C965" s="2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x14ac:dyDescent="0.2">
      <c r="A966" s="2"/>
      <c r="B966" s="2"/>
      <c r="C966" s="2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x14ac:dyDescent="0.2">
      <c r="A967" s="2"/>
      <c r="B967" s="2"/>
      <c r="C967" s="2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x14ac:dyDescent="0.2">
      <c r="A968" s="2"/>
      <c r="B968" s="2"/>
      <c r="C968" s="2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x14ac:dyDescent="0.2">
      <c r="A969" s="2"/>
      <c r="B969" s="2"/>
      <c r="C969" s="2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x14ac:dyDescent="0.2">
      <c r="A970" s="2"/>
      <c r="B970" s="2"/>
      <c r="C970" s="2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x14ac:dyDescent="0.2">
      <c r="A971" s="2"/>
      <c r="B971" s="2"/>
      <c r="C971" s="2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x14ac:dyDescent="0.2">
      <c r="A972" s="2"/>
      <c r="B972" s="2"/>
      <c r="C972" s="2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x14ac:dyDescent="0.2">
      <c r="A973" s="2"/>
      <c r="B973" s="2"/>
      <c r="C973" s="2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x14ac:dyDescent="0.2">
      <c r="A974" s="2"/>
      <c r="B974" s="2"/>
      <c r="C974" s="2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x14ac:dyDescent="0.2">
      <c r="A975" s="2"/>
      <c r="B975" s="2"/>
      <c r="C975" s="2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x14ac:dyDescent="0.2">
      <c r="A976" s="2"/>
      <c r="B976" s="2"/>
      <c r="C976" s="2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x14ac:dyDescent="0.2">
      <c r="A977" s="2"/>
      <c r="B977" s="2"/>
      <c r="C977" s="2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x14ac:dyDescent="0.2">
      <c r="A978" s="2"/>
      <c r="B978" s="2"/>
      <c r="C978" s="2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x14ac:dyDescent="0.2">
      <c r="A979" s="2"/>
      <c r="B979" s="2"/>
      <c r="C979" s="2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x14ac:dyDescent="0.2">
      <c r="A980" s="2"/>
      <c r="B980" s="2"/>
      <c r="C980" s="2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x14ac:dyDescent="0.2">
      <c r="A981" s="2"/>
      <c r="B981" s="2"/>
      <c r="C981" s="2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x14ac:dyDescent="0.2">
      <c r="A982" s="2"/>
      <c r="B982" s="2"/>
      <c r="C982" s="2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x14ac:dyDescent="0.2">
      <c r="A983" s="2"/>
      <c r="B983" s="2"/>
      <c r="C983" s="2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x14ac:dyDescent="0.2">
      <c r="A984" s="2"/>
      <c r="B984" s="2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  <row r="985" spans="1:17" x14ac:dyDescent="0.2">
      <c r="A985" s="2"/>
      <c r="B985" s="2"/>
      <c r="C985" s="2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</row>
    <row r="986" spans="1:17" x14ac:dyDescent="0.2">
      <c r="A986" s="2"/>
      <c r="B986" s="2"/>
      <c r="C986" s="2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</row>
    <row r="987" spans="1:17" x14ac:dyDescent="0.2">
      <c r="A987" s="2"/>
      <c r="B987" s="2"/>
      <c r="C987" s="2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</row>
    <row r="988" spans="1:17" x14ac:dyDescent="0.2">
      <c r="A988" s="2"/>
      <c r="B988" s="2"/>
      <c r="C988" s="2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</row>
    <row r="989" spans="1:17" x14ac:dyDescent="0.2">
      <c r="A989" s="2"/>
      <c r="B989" s="2"/>
      <c r="C989" s="2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</row>
    <row r="990" spans="1:17" x14ac:dyDescent="0.2">
      <c r="A990" s="2"/>
      <c r="B990" s="2"/>
      <c r="C990" s="2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</row>
    <row r="991" spans="1:17" x14ac:dyDescent="0.2">
      <c r="A991" s="2"/>
      <c r="B991" s="2"/>
      <c r="C991" s="2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</row>
    <row r="992" spans="1:17" x14ac:dyDescent="0.2">
      <c r="A992" s="2"/>
      <c r="B992" s="2"/>
      <c r="C992" s="2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</row>
    <row r="993" spans="1:17" x14ac:dyDescent="0.2">
      <c r="A993" s="2"/>
      <c r="B993" s="2"/>
      <c r="C993" s="2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</row>
    <row r="994" spans="1:17" x14ac:dyDescent="0.2">
      <c r="A994" s="2"/>
      <c r="B994" s="2"/>
      <c r="C994" s="2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</row>
    <row r="995" spans="1:17" x14ac:dyDescent="0.2">
      <c r="A995" s="2"/>
      <c r="B995" s="2"/>
      <c r="C995" s="2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</row>
    <row r="996" spans="1:17" x14ac:dyDescent="0.2">
      <c r="A996" s="2"/>
      <c r="B996" s="2"/>
      <c r="C996" s="2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</row>
    <row r="997" spans="1:17" x14ac:dyDescent="0.2">
      <c r="A997" s="2"/>
      <c r="B997" s="2"/>
      <c r="C997" s="2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</row>
    <row r="998" spans="1:17" x14ac:dyDescent="0.2">
      <c r="A998" s="2"/>
      <c r="B998" s="2"/>
      <c r="C998" s="2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</row>
    <row r="999" spans="1:17" x14ac:dyDescent="0.2">
      <c r="A999" s="2"/>
      <c r="B999" s="2"/>
      <c r="C999" s="2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</row>
    <row r="1000" spans="1:17" x14ac:dyDescent="0.2">
      <c r="A1000" s="2"/>
      <c r="B1000" s="2"/>
      <c r="C1000" s="2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</row>
  </sheetData>
  <mergeCells count="4">
    <mergeCell ref="B1:B2"/>
    <mergeCell ref="C1:C2"/>
    <mergeCell ref="D1:D2"/>
    <mergeCell ref="A1:A2"/>
  </mergeCells>
  <conditionalFormatting sqref="A987:A1000">
    <cfRule type="expression" dxfId="0" priority="1">
      <formula>COUNTIF(A:A,A987)&gt;1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1DBAB85753E846A13E3C6137166678" ma:contentTypeVersion="3" ma:contentTypeDescription="Create a new document." ma:contentTypeScope="" ma:versionID="2a4242c3a2087ff39cf902b251d2658b">
  <xsd:schema xmlns:xsd="http://www.w3.org/2001/XMLSchema" xmlns:xs="http://www.w3.org/2001/XMLSchema" xmlns:p="http://schemas.microsoft.com/office/2006/metadata/properties" xmlns:ns2="79113974-5088-4e6a-a8d2-dbedddb97376" targetNamespace="http://schemas.microsoft.com/office/2006/metadata/properties" ma:root="true" ma:fieldsID="e3d0b94563e03b3e877ca81a8dcea77d" ns2:_="">
    <xsd:import namespace="79113974-5088-4e6a-a8d2-dbedddb973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113974-5088-4e6a-a8d2-dbedddb973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DC431B-117A-473B-A8E9-BD21D08FC37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000B008-C56F-4BF1-A33C-A0F9B69FA2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113974-5088-4e6a-a8d2-dbedddb973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27E8DF-F93A-49E0-B8F4-28FC2B3437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Evolution</vt:lpstr>
    </vt:vector>
  </TitlesOfParts>
  <Manager/>
  <Company>Gas Management Services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Wych</dc:creator>
  <cp:keywords/>
  <dc:description/>
  <cp:lastModifiedBy>Grégoire  Bonnet</cp:lastModifiedBy>
  <cp:revision/>
  <dcterms:created xsi:type="dcterms:W3CDTF">2026-03-30T08:33:38Z</dcterms:created>
  <dcterms:modified xsi:type="dcterms:W3CDTF">2026-04-07T09:51:12Z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0x010100731DBAB85753E846A13E3C6137166678</vt:lpwstr>
  </property>
  <property fmtid="{D5CDD505-2E9C-101B-9397-08002B2CF9AE}" pid="3" name="MSIP_Label_333cdbff-b0ce-4dec-b1c3-09f47745f4fb_Enabled">
    <vt:lpwstr>True</vt:lpwstr>
  </property>
  <property fmtid="{D5CDD505-2E9C-101B-9397-08002B2CF9AE}" pid="4" name="MSIP_Label_333cdbff-b0ce-4dec-b1c3-09f47745f4fb_SiteId">
    <vt:lpwstr>dd973f7c-84f5-470b-91d0-043bee87e07f</vt:lpwstr>
  </property>
  <property fmtid="{D5CDD505-2E9C-101B-9397-08002B2CF9AE}" pid="5" name="MSIP_Label_333cdbff-b0ce-4dec-b1c3-09f47745f4fb_SetDate">
    <vt:lpwstr>2026-04-05T15:21:50Z</vt:lpwstr>
  </property>
  <property fmtid="{D5CDD505-2E9C-101B-9397-08002B2CF9AE}" pid="6" name="MSIP_Label_333cdbff-b0ce-4dec-b1c3-09f47745f4fb_Name">
    <vt:lpwstr>Strictly Confidential \ Standard</vt:lpwstr>
  </property>
  <property fmtid="{D5CDD505-2E9C-101B-9397-08002B2CF9AE}" pid="7" name="MSIP_Label_333cdbff-b0ce-4dec-b1c3-09f47745f4fb_ActionId">
    <vt:lpwstr>8c131c05-3b0b-4164-9a46-2571382cf6b8</vt:lpwstr>
  </property>
  <property fmtid="{D5CDD505-2E9C-101B-9397-08002B2CF9AE}" pid="8" name="MSIP_Label_333cdbff-b0ce-4dec-b1c3-09f47745f4fb_Removed">
    <vt:lpwstr>False</vt:lpwstr>
  </property>
  <property fmtid="{D5CDD505-2E9C-101B-9397-08002B2CF9AE}" pid="9" name="MSIP_Label_333cdbff-b0ce-4dec-b1c3-09f47745f4fb_Parent">
    <vt:lpwstr>0793ceed-0c10-47fd-83b6-06acdf88f82f</vt:lpwstr>
  </property>
  <property fmtid="{D5CDD505-2E9C-101B-9397-08002B2CF9AE}" pid="10" name="MSIP_Label_333cdbff-b0ce-4dec-b1c3-09f47745f4fb_Extended_MSFT_Method">
    <vt:lpwstr>Standard</vt:lpwstr>
  </property>
  <property fmtid="{D5CDD505-2E9C-101B-9397-08002B2CF9AE}" pid="11" name="MSIP_Label_0793ceed-0c10-47fd-83b6-06acdf88f82f_Enabled">
    <vt:lpwstr>True</vt:lpwstr>
  </property>
  <property fmtid="{D5CDD505-2E9C-101B-9397-08002B2CF9AE}" pid="12" name="MSIP_Label_0793ceed-0c10-47fd-83b6-06acdf88f82f_SiteId">
    <vt:lpwstr>dd973f7c-84f5-470b-91d0-043bee87e07f</vt:lpwstr>
  </property>
  <property fmtid="{D5CDD505-2E9C-101B-9397-08002B2CF9AE}" pid="13" name="MSIP_Label_0793ceed-0c10-47fd-83b6-06acdf88f82f_SetDate">
    <vt:lpwstr>2026-04-05T15:21:50Z</vt:lpwstr>
  </property>
  <property fmtid="{D5CDD505-2E9C-101B-9397-08002B2CF9AE}" pid="14" name="MSIP_Label_0793ceed-0c10-47fd-83b6-06acdf88f82f_Name">
    <vt:lpwstr>Strictly Confidential</vt:lpwstr>
  </property>
  <property fmtid="{D5CDD505-2E9C-101B-9397-08002B2CF9AE}" pid="15" name="MSIP_Label_0793ceed-0c10-47fd-83b6-06acdf88f82f_ActionId">
    <vt:lpwstr>99abb298-b2d9-4071-9fb7-42ddeea083a6</vt:lpwstr>
  </property>
  <property fmtid="{D5CDD505-2E9C-101B-9397-08002B2CF9AE}" pid="16" name="MSIP_Label_0793ceed-0c10-47fd-83b6-06acdf88f82f_Extended_MSFT_Method">
    <vt:lpwstr>Standard</vt:lpwstr>
  </property>
  <property fmtid="{D5CDD505-2E9C-101B-9397-08002B2CF9AE}" pid="17" name="Sensitivity">
    <vt:lpwstr>Strictly Confidential \ Standard Strictly Confidential</vt:lpwstr>
  </property>
</Properties>
</file>